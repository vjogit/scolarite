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RES 18 " sheetId="1" state="visible" r:id="rId3"/>
    <sheet name="INFRES 17" sheetId="2" state="visible" r:id="rId4"/>
    <sheet name="INFRES 16" sheetId="3" state="visible" r:id="rId5"/>
  </sheets>
  <definedNames>
    <definedName function="false" hidden="false" localSheetId="2" name="_xlnm.Print_Area" vbProcedure="false">'INFRES 16'!$A$1:$F$64,'INFRES 16'!$B$66:$L$118,'INFRES 16'!$B$121:$L$179</definedName>
    <definedName function="false" hidden="false" localSheetId="1" name="_xlnm.Print_Area" vbProcedure="false">'INFRES 17'!$A$1:$F$64,'INFRES 17'!$B$66:$L$118,'INFRES 17'!$B$121:$L$179</definedName>
    <definedName function="false" hidden="false" localSheetId="0" name="_xlnm.Print_Area" vbProcedure="false">'INFRES 18 '!$A$1:$F$58,'INFRES 18 '!$B$60:$H$110,'INFRES 18 '!$B$113:$H$148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<sst xmlns="http://schemas.openxmlformats.org/spreadsheetml/2006/main" count="903" uniqueCount="209">
  <si>
    <t xml:space="preserve">SEMESTRE 5</t>
  </si>
  <si>
    <t xml:space="preserve">UE - Unité d'Enseignement</t>
  </si>
  <si>
    <t xml:space="preserve">h</t>
  </si>
  <si>
    <t xml:space="preserve">Coef</t>
  </si>
  <si>
    <t xml:space="preserve">ECTS</t>
  </si>
  <si>
    <t xml:space="preserve">5.1  MATH</t>
  </si>
  <si>
    <t xml:space="preserve">UE Mathématiques Outils et Concepts</t>
  </si>
  <si>
    <t xml:space="preserve">Mathématiques pour l'ingénieur</t>
  </si>
  <si>
    <t xml:space="preserve">Probabilités et statistiques</t>
  </si>
  <si>
    <t xml:space="preserve">*</t>
  </si>
  <si>
    <t xml:space="preserve">Structures de données et Algorithmique</t>
  </si>
  <si>
    <t xml:space="preserve">5.2  BST</t>
  </si>
  <si>
    <t xml:space="preserve">UE Bases Scientifiques ou Technologiques</t>
  </si>
  <si>
    <t xml:space="preserve">DevOps : fondamentaux</t>
  </si>
  <si>
    <t xml:space="preserve">-</t>
  </si>
  <si>
    <t xml:space="preserve">Langage de développement fonctionnel</t>
  </si>
  <si>
    <t xml:space="preserve">Réseaux et protocoles - 1</t>
  </si>
  <si>
    <t xml:space="preserve">5.3  BST</t>
  </si>
  <si>
    <t xml:space="preserve">UE Bases Scientifiques ou Technologiques </t>
  </si>
  <si>
    <t xml:space="preserve">Projets intégrateurs</t>
  </si>
  <si>
    <t xml:space="preserve">Unix utilisateurs</t>
  </si>
  <si>
    <t xml:space="preserve">5.4  BST</t>
  </si>
  <si>
    <t xml:space="preserve">Frontend</t>
  </si>
  <si>
    <t xml:space="preserve">Langage de développement orienté objet</t>
  </si>
  <si>
    <t xml:space="preserve">5.5  ASSI</t>
  </si>
  <si>
    <t xml:space="preserve">UE Architecture et Sécurité du Système d'Information</t>
  </si>
  <si>
    <t xml:space="preserve">Ethical hacking</t>
  </si>
  <si>
    <t xml:space="preserve">Virtualisation et conteneurisation: fondamentaux</t>
  </si>
  <si>
    <t xml:space="preserve">5.6  DIM</t>
  </si>
  <si>
    <t xml:space="preserve">UE Développement de l'Ingénieur Manager</t>
  </si>
  <si>
    <t xml:space="preserve">Jeu d'entreprise : initiation à la gestion</t>
  </si>
  <si>
    <t xml:space="preserve">Gestion de projet: outils et méthodes</t>
  </si>
  <si>
    <t xml:space="preserve">5.7  LING</t>
  </si>
  <si>
    <t xml:space="preserve">UE Linguistique</t>
  </si>
  <si>
    <t xml:space="preserve">Anglais</t>
  </si>
  <si>
    <t xml:space="preserve">5.8  DPPA</t>
  </si>
  <si>
    <t xml:space="preserve">UE Développement Personnel et Professionnel de l'Apprenti</t>
  </si>
  <si>
    <t xml:space="preserve">Mission 1 : projet d'emploi</t>
  </si>
  <si>
    <t xml:space="preserve">TOTAL Ecole</t>
  </si>
  <si>
    <t xml:space="preserve">5.9  EE</t>
  </si>
  <si>
    <t xml:space="preserve">UE Entreprise: comprendre le rôle de l'ingénieur</t>
  </si>
  <si>
    <t xml:space="preserve">SEMESTRE 6</t>
  </si>
  <si>
    <t xml:space="preserve">6.1  MATH</t>
  </si>
  <si>
    <t xml:space="preserve">Fondements de l'IA</t>
  </si>
  <si>
    <t xml:space="preserve">Mathématiques pour l'ingénieur : graphes, analyse numérique</t>
  </si>
  <si>
    <t xml:space="preserve">Traitement numérique de l'information</t>
  </si>
  <si>
    <t xml:space="preserve">6.2  BST</t>
  </si>
  <si>
    <t xml:space="preserve">Gestion de versions décentralisée</t>
  </si>
  <si>
    <t xml:space="preserve">Architectures middleware / Téléphonie IP </t>
  </si>
  <si>
    <t xml:space="preserve">6.3  ASSI</t>
  </si>
  <si>
    <t xml:space="preserve">Réseaux et protocoles - 2</t>
  </si>
  <si>
    <t xml:space="preserve">Cryptographie</t>
  </si>
  <si>
    <t xml:space="preserve">Gestion du cycle de vie des certificats</t>
  </si>
  <si>
    <t xml:space="preserve">6.4  ASSI</t>
  </si>
  <si>
    <t xml:space="preserve">Orchestration de conteneur</t>
  </si>
  <si>
    <t xml:space="preserve">Bases de données : SGBDR</t>
  </si>
  <si>
    <t xml:space="preserve">6.5  PROJ</t>
  </si>
  <si>
    <t xml:space="preserve">UE Projet</t>
  </si>
  <si>
    <t xml:space="preserve">Analyse fonctionnelle et rédaction de cahier des charges</t>
  </si>
  <si>
    <t xml:space="preserve">Projet</t>
  </si>
  <si>
    <t xml:space="preserve">6.6  LING</t>
  </si>
  <si>
    <t xml:space="preserve">6.7  DPPA</t>
  </si>
  <si>
    <t xml:space="preserve">Séminaire créativité</t>
  </si>
  <si>
    <t xml:space="preserve">Mission 2 : Responsabilité sociétale de l’ingénieur</t>
  </si>
  <si>
    <t xml:space="preserve">6.9  EE</t>
  </si>
  <si>
    <t xml:space="preserve">SEMESTRE 7 - parcours DL : Développement Logiciel</t>
  </si>
  <si>
    <t xml:space="preserve">Coef.</t>
  </si>
  <si>
    <t xml:space="preserve">7.1  BST</t>
  </si>
  <si>
    <t xml:space="preserve">Analyse des risques numériques</t>
  </si>
  <si>
    <t xml:space="preserve">Technologie des médias</t>
  </si>
  <si>
    <t xml:space="preserve">7.2  ASSI</t>
  </si>
  <si>
    <t xml:space="preserve">Securité applicative</t>
  </si>
  <si>
    <t xml:space="preserve">Infrastructure as code</t>
  </si>
  <si>
    <t xml:space="preserve">7.3  GL    </t>
  </si>
  <si>
    <t xml:space="preserve">UE Génie Logiciel</t>
  </si>
  <si>
    <t xml:space="preserve">Validation des logiciels</t>
  </si>
  <si>
    <t xml:space="preserve">Bonnes pratiques de production de code</t>
  </si>
  <si>
    <t xml:space="preserve">7.4  GL    </t>
  </si>
  <si>
    <t xml:space="preserve">Architecture logicielle: Microservices - 1</t>
  </si>
  <si>
    <t xml:space="preserve">Intégration et déploiement continus</t>
  </si>
  <si>
    <t xml:space="preserve">7.5  DIM</t>
  </si>
  <si>
    <t xml:space="preserve">Gestion de projet : ateliers électifs</t>
  </si>
  <si>
    <t xml:space="preserve">Droits social et spécifiques au métier (droits informatique)</t>
  </si>
  <si>
    <t xml:space="preserve">7.6  LING</t>
  </si>
  <si>
    <t xml:space="preserve">Anglais ou autre langue vivante</t>
  </si>
  <si>
    <t xml:space="preserve">7.7  DPPA</t>
  </si>
  <si>
    <t xml:space="preserve">Mission 3 : transition de technicien à ingénieur</t>
  </si>
  <si>
    <t xml:space="preserve">7.8  EE</t>
  </si>
  <si>
    <t xml:space="preserve">UE Entreprise: Devenir ingénieur</t>
  </si>
  <si>
    <t xml:space="preserve">SEMESTRE 8 - parcours DL : Développement Logiciel</t>
  </si>
  <si>
    <t xml:space="preserve">8.1.a  DEV </t>
  </si>
  <si>
    <t xml:space="preserve">UE Développement</t>
  </si>
  <si>
    <t xml:space="preserve">Systèmes embarqués et I.O.T</t>
  </si>
  <si>
    <t xml:space="preserve">Informatique mobile: Androïd </t>
  </si>
  <si>
    <t xml:space="preserve">8.1.b  DEV </t>
  </si>
  <si>
    <t xml:space="preserve">modélisations et résolutions de problèmes à base d'IA</t>
  </si>
  <si>
    <t xml:space="preserve">Optimisation de code</t>
  </si>
  <si>
    <t xml:space="preserve">8.2  GL    </t>
  </si>
  <si>
    <t xml:space="preserve">Architecture logicielle: Microservices - 2</t>
  </si>
  <si>
    <t xml:space="preserve">Métrologie</t>
  </si>
  <si>
    <t xml:space="preserve">8.3  PROJ</t>
  </si>
  <si>
    <t xml:space="preserve">UE projet</t>
  </si>
  <si>
    <t xml:space="preserve">Scrum Master : préparation à la certification</t>
  </si>
  <si>
    <t xml:space="preserve">Initiation à la Recherche</t>
  </si>
  <si>
    <t xml:space="preserve">Projet fil rouge ou projet Recherche</t>
  </si>
  <si>
    <t xml:space="preserve">8.4  DIM</t>
  </si>
  <si>
    <t xml:space="preserve">Management entreprise et équipe </t>
  </si>
  <si>
    <t xml:space="preserve">Qualité</t>
  </si>
  <si>
    <t xml:space="preserve">8.5  LING</t>
  </si>
  <si>
    <t xml:space="preserve">8.6  DPPA</t>
  </si>
  <si>
    <t xml:space="preserve">Mission 4 : cœur de métier</t>
  </si>
  <si>
    <t xml:space="preserve">8.7  EE</t>
  </si>
  <si>
    <t xml:space="preserve">SEMESTRE 9 - parcours DL : Développement Logiciel</t>
  </si>
  <si>
    <t xml:space="preserve">9.1 BST</t>
  </si>
  <si>
    <t xml:space="preserve">Sobriété numérique : Green IT</t>
  </si>
  <si>
    <t xml:space="preserve">Open Source </t>
  </si>
  <si>
    <t xml:space="preserve">Veille technologique</t>
  </si>
  <si>
    <t xml:space="preserve">9.2  DEV </t>
  </si>
  <si>
    <t xml:space="preserve">Machine Learning Opérations : (MLOps)</t>
  </si>
  <si>
    <t xml:space="preserve">Environnement ASP .Net</t>
  </si>
  <si>
    <t xml:space="preserve">Intelligence artificielle : apprentissage profond</t>
  </si>
  <si>
    <t xml:space="preserve">9.3  GL     </t>
  </si>
  <si>
    <t xml:space="preserve">Cours gestion des dépendances, risques et maintenabilité</t>
  </si>
  <si>
    <t xml:space="preserve">Expérience utilisateur : UX et UI Design</t>
  </si>
  <si>
    <t xml:space="preserve">9.4  GL      </t>
  </si>
  <si>
    <t xml:space="preserve">Base de données NoSQL</t>
  </si>
  <si>
    <t xml:space="preserve">Big data et modélisation</t>
  </si>
  <si>
    <t xml:space="preserve">9.5  ASSI </t>
  </si>
  <si>
    <t xml:space="preserve">UE Architectures et Sécurité du Système d'Information</t>
  </si>
  <si>
    <t xml:space="preserve">Solutions Clouds</t>
  </si>
  <si>
    <t xml:space="preserve">Function &amp; Back-end as a service : FaaS &amp; BaaS</t>
  </si>
  <si>
    <t xml:space="preserve">9.6  PROJ</t>
  </si>
  <si>
    <t xml:space="preserve">Création d'entreprise et d'activités (incubateur technologique)</t>
  </si>
  <si>
    <t xml:space="preserve">Qualités des services informatiques: ITIL</t>
  </si>
  <si>
    <t xml:space="preserve">9.7 DPPA</t>
  </si>
  <si>
    <t xml:space="preserve">Mission 5 : bilan de compétences</t>
  </si>
  <si>
    <t xml:space="preserve">9.8  EE</t>
  </si>
  <si>
    <t xml:space="preserve">UE Entreprise: Agir en ingénieur</t>
  </si>
  <si>
    <t xml:space="preserve">SEMESTRE 10</t>
  </si>
  <si>
    <t xml:space="preserve">Unité d'enseignement</t>
  </si>
  <si>
    <t xml:space="preserve">10.1  DPPA</t>
  </si>
  <si>
    <t xml:space="preserve">Mission 6 : bilan de formation</t>
  </si>
  <si>
    <t xml:space="preserve">/</t>
  </si>
  <si>
    <t xml:space="preserve">10.2  EE</t>
  </si>
  <si>
    <t xml:space="preserve">Programme des enseignements - Spécialité Informatique et Réseaux</t>
  </si>
  <si>
    <t xml:space="preserve">Formation d'ingénieurs par apprentissage - Promotion INFRES 17 (2024-2027)</t>
  </si>
  <si>
    <t xml:space="preserve">Programme des enseignements 2024-2025 réalisé</t>
  </si>
  <si>
    <t xml:space="preserve">Développement web</t>
  </si>
  <si>
    <t xml:space="preserve">Gestion de projet : simulation chef de projet</t>
  </si>
  <si>
    <t xml:space="preserve">Probabilités et statistiques </t>
  </si>
  <si>
    <t xml:space="preserve">Securité applicative / Sécurité des réseaux et systèmes</t>
  </si>
  <si>
    <t xml:space="preserve">Programme des enseignements 2025-2026 prévisionnel</t>
  </si>
  <si>
    <t xml:space="preserve">SEMESTRE 7 - parcours SR :  Systèmes et Réseaux</t>
  </si>
  <si>
    <t xml:space="preserve">Cryptographie et preuve numérique</t>
  </si>
  <si>
    <t xml:space="preserve">Applications de la cryptographie</t>
  </si>
  <si>
    <t xml:space="preserve">Infrastructure : open Stack</t>
  </si>
  <si>
    <t xml:space="preserve">7.3  SI        </t>
  </si>
  <si>
    <t xml:space="preserve">UE Systèmes Informatiques</t>
  </si>
  <si>
    <t xml:space="preserve">Service d'annuaire Windows</t>
  </si>
  <si>
    <t xml:space="preserve">7.4  RI    </t>
  </si>
  <si>
    <t xml:space="preserve">UE Réseaux Informatiques</t>
  </si>
  <si>
    <t xml:space="preserve">Réseaux avancés</t>
  </si>
  <si>
    <t xml:space="preserve">Administration des services réseaux</t>
  </si>
  <si>
    <t xml:space="preserve">SEMESTRE 8 - parcours SR :  Systèmes et Réseaux</t>
  </si>
  <si>
    <t xml:space="preserve">8.1  SI     </t>
  </si>
  <si>
    <t xml:space="preserve">Langage de script</t>
  </si>
  <si>
    <t xml:space="preserve">Administration système Linux</t>
  </si>
  <si>
    <t xml:space="preserve">8.2  RI    </t>
  </si>
  <si>
    <t xml:space="preserve">Sécurité des réseaux: outils et équipements dédiés</t>
  </si>
  <si>
    <t xml:space="preserve">Supervision et gestion des réseaux</t>
  </si>
  <si>
    <t xml:space="preserve">8.5 LING</t>
  </si>
  <si>
    <t xml:space="preserve">Programme des enseignements 2026-2027 prévisionnel</t>
  </si>
  <si>
    <t xml:space="preserve">SEMESTRE 9 - parcours SR : Systèmes et Réseaux</t>
  </si>
  <si>
    <t xml:space="preserve">9.2  SI     </t>
  </si>
  <si>
    <t xml:space="preserve">UE Systèmes informatiques</t>
  </si>
  <si>
    <t xml:space="preserve">Gestion de parc</t>
  </si>
  <si>
    <t xml:space="preserve">Microservices</t>
  </si>
  <si>
    <t xml:space="preserve">9.3  SI      </t>
  </si>
  <si>
    <t xml:space="preserve">Virtualisation de stockage</t>
  </si>
  <si>
    <t xml:space="preserve">Gestion et traitement des données informatiques</t>
  </si>
  <si>
    <t xml:space="preserve">9.4  RI       </t>
  </si>
  <si>
    <t xml:space="preserve">Réseaux mobiles et IOT</t>
  </si>
  <si>
    <t xml:space="preserve">Réseaux WiFi</t>
  </si>
  <si>
    <t xml:space="preserve">Automatisation réseaux</t>
  </si>
  <si>
    <t xml:space="preserve">Forensics et preuves numériques</t>
  </si>
  <si>
    <t xml:space="preserve">9.8 DPPA</t>
  </si>
  <si>
    <t xml:space="preserve">9.9  EE</t>
  </si>
  <si>
    <t xml:space="preserve">Comité de programme du 2 juin 2025</t>
  </si>
  <si>
    <t xml:space="preserve">Volet mutualisé</t>
  </si>
  <si>
    <t xml:space="preserve">vol. h</t>
  </si>
  <si>
    <t xml:space="preserve">Total</t>
  </si>
  <si>
    <t xml:space="preserve">Volet métier - parcours DL : Développement Logiciel</t>
  </si>
  <si>
    <t xml:space="preserve">Volet métier - parcours SR : Systèmes et Réseaux</t>
  </si>
  <si>
    <t xml:space="preserve">UE Réseaux informatiques</t>
  </si>
  <si>
    <t xml:space="preserve">Volet entreprise</t>
  </si>
  <si>
    <t xml:space="preserve">Total entreprise</t>
  </si>
  <si>
    <t xml:space="preserve">Formation d'ingénieurs par apprentissage - Promotion INFRES 16 (2023-2026)</t>
  </si>
  <si>
    <t xml:space="preserve">* Ces matières se déroulent en totalité ou partie à l'étranger</t>
  </si>
  <si>
    <t xml:space="preserve">Programme des enseignements 2023-2024 réalisé</t>
  </si>
  <si>
    <t xml:space="preserve">Modules</t>
  </si>
  <si>
    <t xml:space="preserve">Probabilités et statistiques *</t>
  </si>
  <si>
    <t xml:space="preserve">Architectures middleware / Téléphonie IP *</t>
  </si>
  <si>
    <t xml:space="preserve">Securité applicative / Sécurité des réseaux et systèmes*</t>
  </si>
  <si>
    <t xml:space="preserve">6.6  DIM</t>
  </si>
  <si>
    <t xml:space="preserve">6.7  LING</t>
  </si>
  <si>
    <t xml:space="preserve">Anglais *</t>
  </si>
  <si>
    <t xml:space="preserve">6.8  DPPA</t>
  </si>
  <si>
    <t xml:space="preserve">Programme des enseignements 2024-2025 réalisée</t>
  </si>
  <si>
    <t xml:space="preserve">Administration système Windows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</si>
</sst>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General"/>
    <numFmt numFmtId="168" formatCode="0.0%"/>
    <numFmt numFmtId="169" formatCode="0.000"/>
    <numFmt numFmtId="170" formatCode="0\ %"/>
  </numFmts>
  <fonts count="3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theme="1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Arial"/>
      <family val="2"/>
      <charset val="1"/>
    </font>
    <font>
      <i val="true"/>
      <sz val="14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12"/>
      <color rgb="FF000000"/>
      <name val="Arial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b val="true"/>
      <i val="true"/>
      <sz val="12"/>
      <color rgb="FFFF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b val="true"/>
      <i val="true"/>
      <sz val="12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0" tint="-0.05"/>
        <bgColor rgb="FFFFFFFF"/>
      </patternFill>
    </fill>
    <fill>
      <patternFill patternType="solid">
        <fgColor rgb="FFD9D9D9"/>
        <bgColor rgb="FFDDDDDD"/>
      </patternFill>
    </fill>
  </fills>
  <borders count="6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 style="thin"/>
      <right style="thin"/>
      <top style="hair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>
        <color rgb="FF333300"/>
      </right>
      <top/>
      <bottom style="thin"/>
      <diagonal/>
    </border>
    <border diagonalUp="false" diagonalDown="false">
      <left style="thin">
        <color rgb="FF333300"/>
      </left>
      <right style="thin"/>
      <top/>
      <bottom style="thin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/>
      <top style="hair"/>
      <bottom style="hair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thin"/>
      <top style="hair"/>
      <bottom style="hair">
        <color rgb="FF333300"/>
      </bottom>
      <diagonal/>
    </border>
    <border diagonalUp="false" diagonalDown="false">
      <left/>
      <right/>
      <top style="hair"/>
      <bottom style="hair">
        <color rgb="FF33330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333300"/>
      </left>
      <right style="thin">
        <color rgb="FF333300"/>
      </right>
      <top style="hair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/>
      <top style="medium"/>
      <bottom style="hair"/>
      <diagonal/>
    </border>
    <border diagonalUp="false" diagonalDown="false">
      <left/>
      <right/>
      <top style="medium"/>
      <bottom style="hair"/>
      <diagonal/>
    </border>
    <border diagonalUp="false" diagonalDown="false">
      <left/>
      <right style="thin"/>
      <top style="medium"/>
      <bottom style="hair"/>
      <diagonal/>
    </border>
    <border diagonalUp="false" diagonalDown="false">
      <left style="thin">
        <color rgb="FF333300"/>
      </left>
      <right style="thin">
        <color rgb="FF333300"/>
      </right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/>
      <top style="thin"/>
      <bottom style="thin"/>
      <diagonal/>
    </border>
    <border diagonalUp="false" diagonalDown="false">
      <left style="hair"/>
      <right style="medium"/>
      <top style="thin"/>
      <bottom style="thin"/>
      <diagonal/>
    </border>
  </borders>
  <cellStyleXfs count="4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center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8" borderId="1" applyFont="true" applyBorder="tru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center" vertical="bottom" textRotation="9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0" xfId="39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9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2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9" borderId="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9" borderId="0" xfId="39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4" fillId="9" borderId="4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6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0" xfId="39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24" fillId="9" borderId="7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9" borderId="8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9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9" borderId="10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9" borderId="1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10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2" fillId="9" borderId="1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5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9" borderId="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10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9" borderId="12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1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9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9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6" fontId="23" fillId="0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5" fillId="0" borderId="1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15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9" borderId="16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1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25" fillId="0" borderId="10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10" borderId="7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8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6" fillId="10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10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10" borderId="1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5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10" borderId="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7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8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0" borderId="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9" borderId="17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9" borderId="1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0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9" borderId="5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9" borderId="8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9" borderId="18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3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2" fillId="0" borderId="1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9" borderId="1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9" borderId="8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6" fillId="9" borderId="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9" borderId="0" xfId="39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5" fillId="9" borderId="13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5" fillId="9" borderId="1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9" borderId="1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20" xfId="39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27" fillId="9" borderId="21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9" borderId="2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7" fillId="9" borderId="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9" borderId="0" xfId="39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4" fillId="11" borderId="22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1" borderId="23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11" borderId="24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1" borderId="2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1" borderId="25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39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39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25" fillId="0" borderId="1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2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26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9" borderId="27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9" borderId="1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0" borderId="1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5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9" borderId="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1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15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8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16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28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10" borderId="28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29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4" fillId="10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7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10" borderId="28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13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9" borderId="1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0" borderId="1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5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5" fillId="0" borderId="3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3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10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5" fillId="0" borderId="30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9" borderId="30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5" fillId="9" borderId="13" xfId="39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25" fillId="0" borderId="1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1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20" xfId="39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27" fillId="0" borderId="21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31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7" fillId="0" borderId="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0" borderId="0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9" borderId="0" xfId="39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0" xfId="39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32" xfId="38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5" fillId="9" borderId="11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0" xfId="38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5" fillId="9" borderId="3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10" borderId="34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35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3" fillId="9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17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0" xfId="39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20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5" fillId="10" borderId="2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9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9" borderId="0" xfId="39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2" fillId="10" borderId="10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5" fillId="10" borderId="1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10" borderId="12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10" borderId="5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10" borderId="1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10" borderId="8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10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5" fillId="10" borderId="1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1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5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9" borderId="28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9" borderId="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30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9" borderId="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9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9" borderId="1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2" fillId="9" borderId="3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23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1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0" borderId="21" xfId="39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27" fillId="0" borderId="2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7" fillId="0" borderId="3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7" fillId="0" borderId="1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11" borderId="24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11" borderId="37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11" borderId="25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9" fillId="9" borderId="0" xfId="39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2" fillId="0" borderId="0" xfId="39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2" fillId="0" borderId="0" xfId="39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4" fillId="10" borderId="38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3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11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10" borderId="4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4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6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28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19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5" fillId="10" borderId="4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42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9" borderId="4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9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0" xfId="39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27" fillId="0" borderId="2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0" xfId="39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9" borderId="22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23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43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44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0" borderId="17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0" borderId="45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10" borderId="11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11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46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10" xfId="38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10" borderId="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46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10" borderId="33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33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30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10" borderId="1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0" borderId="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0" xfId="39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9" borderId="13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9" borderId="1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9" borderId="1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9" fillId="9" borderId="20" xfId="39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5" fontId="27" fillId="9" borderId="21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27" fillId="9" borderId="1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3" fillId="9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39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0" xfId="39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24" fillId="0" borderId="0" xfId="39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9" fillId="0" borderId="0" xfId="39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7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13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0" borderId="1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39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0" borderId="2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0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0" fillId="0" borderId="1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9" borderId="0" xfId="39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21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1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3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25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5" fillId="0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4" fillId="0" borderId="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9" borderId="1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10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3" fillId="0" borderId="0" xfId="39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17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33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10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47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48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49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4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32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10" borderId="5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10" borderId="51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10" borderId="19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10" borderId="13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13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0" borderId="4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28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10" borderId="9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5" fillId="10" borderId="12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11" xfId="3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5" fillId="10" borderId="10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10" borderId="13" xfId="3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0" borderId="40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10" borderId="19" xfId="39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6" fillId="0" borderId="0" xfId="39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0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0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2" fillId="0" borderId="0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39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9" fillId="0" borderId="0" xfId="39" applyFont="true" applyBorder="false" applyAlignment="true" applyProtection="true">
      <alignment horizontal="right" vertical="center" textRotation="0" wrapText="true" indent="0" shrinkToFit="false"/>
      <protection locked="false" hidden="false"/>
    </xf>
    <xf numFmtId="164" fontId="30" fillId="0" borderId="0" xfId="39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0" xfId="39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43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52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4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7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2" fillId="0" borderId="3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0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3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4" fillId="0" borderId="22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0" borderId="2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0" borderId="2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43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0" borderId="52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4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0" borderId="7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2" fillId="10" borderId="3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10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0" borderId="22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4" fillId="10" borderId="2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0" borderId="2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0" borderId="2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2" fillId="0" borderId="0" xfId="39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43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11" borderId="52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1" borderId="44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1" borderId="7" xfId="39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12" fillId="11" borderId="31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11" borderId="9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22" xfId="3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24" fillId="11" borderId="23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4" fillId="11" borderId="25" xfId="3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9" borderId="5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9" borderId="31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9" borderId="9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2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54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7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31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9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6" fillId="9" borderId="16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9" borderId="5" xfId="39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0" borderId="53" xfId="39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0" borderId="22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23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25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10" borderId="43" xfId="39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10" borderId="18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55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4" fillId="10" borderId="56" xfId="39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31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57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58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4" fillId="0" borderId="59" xfId="39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23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23" fillId="0" borderId="0" xfId="39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39" applyFont="true" applyBorder="false" applyAlignment="true" applyProtection="true">
      <alignment horizontal="left" vertical="center" textRotation="0" wrapText="true" indent="0" shrinkToFit="false"/>
      <protection locked="false" hidden="false"/>
    </xf>
  </cellXfs>
  <cellStyles count="3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5" xfId="20"/>
    <cellStyle name="Accent 2 6" xfId="21"/>
    <cellStyle name="Accent 3 7" xfId="22"/>
    <cellStyle name="Accent 4" xfId="23"/>
    <cellStyle name="Bad 8" xfId="24"/>
    <cellStyle name="En-tête" xfId="25"/>
    <cellStyle name="Error 9" xfId="26"/>
    <cellStyle name="Footnote 10" xfId="27"/>
    <cellStyle name="Good 11" xfId="28"/>
    <cellStyle name="Heading 1 12" xfId="29"/>
    <cellStyle name="Heading 2 13" xfId="30"/>
    <cellStyle name="Hyperlink 14" xfId="31"/>
    <cellStyle name="Neutral 15" xfId="32"/>
    <cellStyle name="Normal 2" xfId="33"/>
    <cellStyle name="Normal 2 2" xfId="34"/>
    <cellStyle name="Normal 2 3" xfId="35"/>
    <cellStyle name="Normal 2 4" xfId="36"/>
    <cellStyle name="Normal 3" xfId="37"/>
    <cellStyle name="Normal 4" xfId="38"/>
    <cellStyle name="Normal 5" xfId="39"/>
    <cellStyle name="Note 16" xfId="40"/>
    <cellStyle name="Résultat2" xfId="41"/>
    <cellStyle name="Status 17" xfId="42"/>
    <cellStyle name="Text 18" xfId="43"/>
    <cellStyle name="Titre1" xfId="44"/>
    <cellStyle name="Warning 19" xfId="45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123840</xdr:colOff>
      <xdr:row>0</xdr:row>
      <xdr:rowOff>57240</xdr:rowOff>
    </xdr:from>
    <xdr:to>
      <xdr:col>1</xdr:col>
      <xdr:colOff>324360</xdr:colOff>
      <xdr:row>3</xdr:row>
      <xdr:rowOff>163440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23840" y="57240"/>
          <a:ext cx="1237320" cy="744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123840</xdr:colOff>
      <xdr:row>0</xdr:row>
      <xdr:rowOff>57240</xdr:rowOff>
    </xdr:from>
    <xdr:to>
      <xdr:col>1</xdr:col>
      <xdr:colOff>324360</xdr:colOff>
      <xdr:row>3</xdr:row>
      <xdr:rowOff>163440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123840" y="57240"/>
          <a:ext cx="1237320" cy="74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1BD"/>
    <pageSetUpPr fitToPage="true"/>
  </sheetPr>
  <dimension ref="B1:AMK148"/>
  <sheetViews>
    <sheetView showFormulas="false" showGridLines="false" showRowColHeaders="true" showZeros="true" rightToLeft="false" tabSelected="true" showOutlineSymbols="true" defaultGridColor="true" view="normal" topLeftCell="A79" colorId="64" zoomScale="100" zoomScaleNormal="100" zoomScalePageLayoutView="100" workbookViewId="0">
      <selection pane="topLeft" activeCell="I109" activeCellId="0" sqref="I109"/>
    </sheetView>
  </sheetViews>
  <sheetFormatPr defaultColWidth="9.859375" defaultRowHeight="18.7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2" width="13.71"/>
    <col collapsed="false" customWidth="true" hidden="false" outlineLevel="0" max="3" min="3" style="2" width="80.57"/>
    <col collapsed="false" customWidth="true" hidden="false" outlineLevel="0" max="4" min="4" style="3" width="7.29"/>
    <col collapsed="false" customWidth="true" hidden="false" outlineLevel="0" max="5" min="5" style="3" width="7.16"/>
    <col collapsed="false" customWidth="true" hidden="false" outlineLevel="0" max="6" min="6" style="3" width="6.57"/>
    <col collapsed="false" customWidth="true" hidden="false" outlineLevel="0" max="7" min="7" style="4" width="6.57"/>
    <col collapsed="false" customWidth="true" hidden="false" outlineLevel="0" max="8" min="8" style="5" width="6.71"/>
    <col collapsed="false" customWidth="false" hidden="false" outlineLevel="0" max="999" min="9" style="3" width="9.86"/>
    <col collapsed="false" customWidth="false" hidden="false" outlineLevel="0" max="16358" min="1026" style="6" width="9.86"/>
    <col collapsed="false" customWidth="true" hidden="false" outlineLevel="0" max="16384" min="16359" style="6" width="11.53"/>
  </cols>
  <sheetData>
    <row r="1" s="7" customFormat="true" ht="15.75" hidden="false" customHeight="true" outlineLevel="0" collapsed="false">
      <c r="B1" s="8"/>
      <c r="C1" s="8"/>
      <c r="D1" s="8"/>
      <c r="E1" s="8"/>
      <c r="F1" s="8"/>
      <c r="G1" s="9"/>
      <c r="H1" s="1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  <c r="AMK1" s="0"/>
    </row>
    <row r="2" s="7" customFormat="true" ht="15.75" hidden="false" customHeight="true" outlineLevel="0" collapsed="false">
      <c r="B2" s="11" t="s">
        <v>0</v>
      </c>
      <c r="C2" s="11"/>
      <c r="D2" s="12"/>
      <c r="E2" s="12"/>
      <c r="F2" s="12"/>
      <c r="G2" s="13"/>
      <c r="H2" s="1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  <c r="AMK2" s="0"/>
    </row>
    <row r="3" s="7" customFormat="true" ht="15.75" hidden="false" customHeight="true" outlineLevel="0" collapsed="false">
      <c r="B3" s="14" t="s">
        <v>1</v>
      </c>
      <c r="C3" s="14"/>
      <c r="D3" s="15" t="s">
        <v>2</v>
      </c>
      <c r="E3" s="15" t="s">
        <v>3</v>
      </c>
      <c r="F3" s="16" t="s">
        <v>4</v>
      </c>
      <c r="G3" s="17"/>
      <c r="H3" s="1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  <c r="AMK3" s="0"/>
    </row>
    <row r="4" s="7" customFormat="true" ht="15.75" hidden="false" customHeight="true" outlineLevel="0" collapsed="false">
      <c r="B4" s="18" t="s">
        <v>5</v>
      </c>
      <c r="C4" s="19" t="s">
        <v>6</v>
      </c>
      <c r="D4" s="19"/>
      <c r="E4" s="19"/>
      <c r="F4" s="20" t="n">
        <v>4</v>
      </c>
      <c r="G4" s="21"/>
      <c r="H4" s="1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</row>
    <row r="5" s="7" customFormat="true" ht="15.75" hidden="false" customHeight="true" outlineLevel="0" collapsed="false">
      <c r="B5" s="18"/>
      <c r="C5" s="22" t="s">
        <v>7</v>
      </c>
      <c r="D5" s="23" t="n">
        <v>36</v>
      </c>
      <c r="E5" s="23" t="n">
        <v>3</v>
      </c>
      <c r="F5" s="20"/>
      <c r="G5" s="21"/>
      <c r="H5" s="24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  <c r="AMK5" s="0"/>
    </row>
    <row r="6" s="7" customFormat="true" ht="15.75" hidden="false" customHeight="true" outlineLevel="0" collapsed="false">
      <c r="B6" s="18"/>
      <c r="C6" s="25" t="s">
        <v>8</v>
      </c>
      <c r="D6" s="26" t="n">
        <v>25</v>
      </c>
      <c r="E6" s="23" t="n">
        <v>2</v>
      </c>
      <c r="F6" s="20"/>
      <c r="G6" s="21" t="s">
        <v>9</v>
      </c>
      <c r="H6" s="24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  <c r="AMK6" s="0"/>
    </row>
    <row r="7" s="7" customFormat="true" ht="15.75" hidden="false" customHeight="true" outlineLevel="0" collapsed="false">
      <c r="B7" s="18"/>
      <c r="C7" s="27" t="s">
        <v>10</v>
      </c>
      <c r="D7" s="28" t="n">
        <v>12</v>
      </c>
      <c r="E7" s="28" t="n">
        <v>1</v>
      </c>
      <c r="F7" s="20"/>
      <c r="G7" s="21"/>
      <c r="H7" s="24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</row>
    <row r="8" s="7" customFormat="true" ht="15.75" hidden="false" customHeight="true" outlineLevel="0" collapsed="false">
      <c r="B8" s="18" t="s">
        <v>11</v>
      </c>
      <c r="C8" s="19" t="s">
        <v>12</v>
      </c>
      <c r="D8" s="19"/>
      <c r="E8" s="19"/>
      <c r="F8" s="20" t="n">
        <v>4</v>
      </c>
      <c r="G8" s="21"/>
      <c r="H8" s="24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  <c r="AMK8" s="0"/>
    </row>
    <row r="9" s="7" customFormat="true" ht="15.75" hidden="false" customHeight="true" outlineLevel="0" collapsed="false">
      <c r="B9" s="18"/>
      <c r="C9" s="29" t="s">
        <v>13</v>
      </c>
      <c r="D9" s="26" t="n">
        <v>6</v>
      </c>
      <c r="E9" s="30" t="s">
        <v>14</v>
      </c>
      <c r="F9" s="20"/>
      <c r="G9" s="21"/>
      <c r="H9" s="24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  <c r="AMK9" s="0"/>
    </row>
    <row r="10" s="7" customFormat="true" ht="15.75" hidden="false" customHeight="true" outlineLevel="0" collapsed="false">
      <c r="B10" s="18"/>
      <c r="C10" s="29" t="s">
        <v>15</v>
      </c>
      <c r="D10" s="26" t="n">
        <v>24</v>
      </c>
      <c r="E10" s="23" t="n">
        <v>1</v>
      </c>
      <c r="F10" s="20"/>
      <c r="G10" s="21"/>
      <c r="H10" s="24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  <c r="AMK10" s="0"/>
    </row>
    <row r="11" s="7" customFormat="true" ht="15.75" hidden="false" customHeight="true" outlineLevel="0" collapsed="false">
      <c r="B11" s="18"/>
      <c r="C11" s="29" t="s">
        <v>16</v>
      </c>
      <c r="D11" s="31" t="n">
        <v>27</v>
      </c>
      <c r="E11" s="31" t="n">
        <v>1</v>
      </c>
      <c r="F11" s="20"/>
      <c r="G11" s="21"/>
      <c r="H11" s="24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  <c r="AMI11" s="0"/>
      <c r="AMJ11" s="0"/>
      <c r="AMK11" s="0"/>
    </row>
    <row r="12" s="7" customFormat="true" ht="15.75" hidden="false" customHeight="true" outlineLevel="0" collapsed="false">
      <c r="B12" s="18" t="s">
        <v>17</v>
      </c>
      <c r="C12" s="19" t="s">
        <v>18</v>
      </c>
      <c r="D12" s="19"/>
      <c r="E12" s="19"/>
      <c r="F12" s="32" t="n">
        <v>3</v>
      </c>
      <c r="G12" s="33"/>
      <c r="H12" s="24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  <c r="AMI12" s="0"/>
      <c r="AMJ12" s="0"/>
      <c r="AMK12" s="0"/>
    </row>
    <row r="13" s="7" customFormat="true" ht="15.75" hidden="false" customHeight="true" outlineLevel="0" collapsed="false">
      <c r="B13" s="18"/>
      <c r="C13" s="29" t="s">
        <v>19</v>
      </c>
      <c r="D13" s="26" t="n">
        <v>21</v>
      </c>
      <c r="E13" s="30" t="n">
        <v>1</v>
      </c>
      <c r="F13" s="32"/>
      <c r="G13" s="33" t="s">
        <v>9</v>
      </c>
      <c r="H13" s="34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</row>
    <row r="14" s="7" customFormat="true" ht="15.75" hidden="false" customHeight="true" outlineLevel="0" collapsed="false">
      <c r="B14" s="18"/>
      <c r="C14" s="27" t="s">
        <v>20</v>
      </c>
      <c r="D14" s="35" t="n">
        <v>30</v>
      </c>
      <c r="E14" s="31" t="n">
        <v>1</v>
      </c>
      <c r="F14" s="32"/>
      <c r="G14" s="33"/>
      <c r="H14" s="24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  <c r="AMK14" s="0"/>
    </row>
    <row r="15" s="7" customFormat="true" ht="15.75" hidden="false" customHeight="true" outlineLevel="0" collapsed="false">
      <c r="B15" s="36" t="s">
        <v>21</v>
      </c>
      <c r="C15" s="19" t="s">
        <v>18</v>
      </c>
      <c r="D15" s="19"/>
      <c r="E15" s="19"/>
      <c r="F15" s="37" t="n">
        <v>2</v>
      </c>
      <c r="G15" s="33"/>
      <c r="H15" s="24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  <c r="AMI15" s="0"/>
      <c r="AMJ15" s="0"/>
      <c r="AMK15" s="0"/>
    </row>
    <row r="16" s="7" customFormat="true" ht="15.75" hidden="false" customHeight="true" outlineLevel="0" collapsed="false">
      <c r="B16" s="36"/>
      <c r="C16" s="29" t="s">
        <v>22</v>
      </c>
      <c r="D16" s="38" t="n">
        <v>18</v>
      </c>
      <c r="E16" s="38" t="n">
        <v>1</v>
      </c>
      <c r="F16" s="37"/>
      <c r="G16" s="33" t="s">
        <v>9</v>
      </c>
      <c r="H16" s="39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</row>
    <row r="17" s="7" customFormat="true" ht="15.75" hidden="false" customHeight="true" outlineLevel="0" collapsed="false">
      <c r="B17" s="36"/>
      <c r="C17" s="40" t="s">
        <v>23</v>
      </c>
      <c r="D17" s="38" t="n">
        <v>21</v>
      </c>
      <c r="E17" s="38" t="n">
        <v>1</v>
      </c>
      <c r="F17" s="37"/>
      <c r="G17" s="33"/>
      <c r="H17" s="24"/>
      <c r="ALL17" s="0"/>
      <c r="ALM17" s="0"/>
      <c r="ALN17" s="0"/>
      <c r="ALO17" s="0"/>
      <c r="ALP17" s="0"/>
      <c r="ALQ17" s="0"/>
      <c r="ALR17" s="0"/>
      <c r="ALS17" s="0"/>
      <c r="ALT17" s="0"/>
      <c r="ALU17" s="0"/>
      <c r="ALV17" s="0"/>
      <c r="ALW17" s="0"/>
      <c r="ALX17" s="0"/>
      <c r="ALY17" s="0"/>
      <c r="ALZ17" s="0"/>
      <c r="AMA17" s="0"/>
      <c r="AMB17" s="0"/>
      <c r="AMC17" s="0"/>
      <c r="AMD17" s="0"/>
      <c r="AME17" s="0"/>
      <c r="AMF17" s="0"/>
      <c r="AMG17" s="0"/>
      <c r="AMH17" s="0"/>
      <c r="AMI17" s="0"/>
      <c r="AMJ17" s="0"/>
      <c r="AMK17" s="0"/>
    </row>
    <row r="18" s="7" customFormat="true" ht="15.75" hidden="false" customHeight="true" outlineLevel="0" collapsed="false">
      <c r="B18" s="41" t="s">
        <v>24</v>
      </c>
      <c r="C18" s="42" t="s">
        <v>25</v>
      </c>
      <c r="D18" s="42"/>
      <c r="E18" s="42"/>
      <c r="F18" s="43" t="n">
        <v>3</v>
      </c>
      <c r="G18" s="33"/>
      <c r="H18" s="24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</row>
    <row r="19" s="7" customFormat="true" ht="15.75" hidden="false" customHeight="true" outlineLevel="0" collapsed="false">
      <c r="B19" s="41"/>
      <c r="C19" s="44" t="s">
        <v>26</v>
      </c>
      <c r="D19" s="45" t="n">
        <v>24</v>
      </c>
      <c r="E19" s="45" t="n">
        <v>1</v>
      </c>
      <c r="F19" s="43"/>
      <c r="G19" s="33"/>
      <c r="H19" s="24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</row>
    <row r="20" s="7" customFormat="true" ht="15.75" hidden="false" customHeight="true" outlineLevel="0" collapsed="false">
      <c r="B20" s="41"/>
      <c r="C20" s="46" t="s">
        <v>27</v>
      </c>
      <c r="D20" s="47" t="n">
        <v>30</v>
      </c>
      <c r="E20" s="47" t="n">
        <v>1</v>
      </c>
      <c r="F20" s="43"/>
      <c r="G20" s="33"/>
      <c r="H20" s="24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</row>
    <row r="21" s="7" customFormat="true" ht="15.75" hidden="false" customHeight="true" outlineLevel="0" collapsed="false">
      <c r="B21" s="48" t="s">
        <v>28</v>
      </c>
      <c r="C21" s="49" t="s">
        <v>29</v>
      </c>
      <c r="D21" s="49"/>
      <c r="E21" s="49"/>
      <c r="F21" s="50" t="n">
        <v>2</v>
      </c>
      <c r="G21" s="13" t="s">
        <v>9</v>
      </c>
      <c r="H21" s="51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</row>
    <row r="22" s="7" customFormat="true" ht="15.75" hidden="false" customHeight="true" outlineLevel="0" collapsed="false">
      <c r="B22" s="48"/>
      <c r="C22" s="52" t="s">
        <v>30</v>
      </c>
      <c r="D22" s="53" t="n">
        <v>21</v>
      </c>
      <c r="E22" s="53" t="n">
        <v>1</v>
      </c>
      <c r="F22" s="50"/>
      <c r="G22" s="13"/>
      <c r="H22" s="24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</row>
    <row r="23" s="7" customFormat="true" ht="15.75" hidden="false" customHeight="true" outlineLevel="0" collapsed="false">
      <c r="B23" s="48"/>
      <c r="C23" s="54" t="s">
        <v>31</v>
      </c>
      <c r="D23" s="55" t="n">
        <v>18</v>
      </c>
      <c r="E23" s="55" t="n">
        <v>1</v>
      </c>
      <c r="F23" s="50"/>
      <c r="G23" s="13"/>
      <c r="H23" s="24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</row>
    <row r="24" s="7" customFormat="true" ht="15.75" hidden="false" customHeight="true" outlineLevel="0" collapsed="false">
      <c r="B24" s="48" t="s">
        <v>32</v>
      </c>
      <c r="C24" s="56" t="s">
        <v>33</v>
      </c>
      <c r="D24" s="57"/>
      <c r="E24" s="57"/>
      <c r="F24" s="50" t="n">
        <v>1</v>
      </c>
      <c r="G24" s="13"/>
      <c r="H24" s="24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</row>
    <row r="25" s="7" customFormat="true" ht="15.75" hidden="false" customHeight="true" outlineLevel="0" collapsed="false">
      <c r="B25" s="48"/>
      <c r="C25" s="58" t="s">
        <v>34</v>
      </c>
      <c r="D25" s="59" t="n">
        <v>27</v>
      </c>
      <c r="E25" s="60" t="n">
        <v>1</v>
      </c>
      <c r="F25" s="50"/>
      <c r="G25" s="13"/>
      <c r="H25" s="24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</row>
    <row r="26" s="7" customFormat="true" ht="15.75" hidden="false" customHeight="true" outlineLevel="0" collapsed="false">
      <c r="B26" s="48" t="s">
        <v>35</v>
      </c>
      <c r="C26" s="61" t="s">
        <v>36</v>
      </c>
      <c r="D26" s="61"/>
      <c r="E26" s="61"/>
      <c r="F26" s="62" t="n">
        <v>1</v>
      </c>
      <c r="G26" s="63"/>
      <c r="H26" s="24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</row>
    <row r="27" s="7" customFormat="true" ht="15.75" hidden="false" customHeight="true" outlineLevel="0" collapsed="false">
      <c r="B27" s="48"/>
      <c r="C27" s="64" t="s">
        <v>37</v>
      </c>
      <c r="D27" s="65" t="n">
        <v>20</v>
      </c>
      <c r="E27" s="65" t="n">
        <v>1</v>
      </c>
      <c r="F27" s="62"/>
      <c r="G27" s="63"/>
      <c r="H27" s="24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</row>
    <row r="28" s="7" customFormat="true" ht="15.75" hidden="false" customHeight="true" outlineLevel="0" collapsed="false">
      <c r="B28" s="66"/>
      <c r="C28" s="67" t="s">
        <v>38</v>
      </c>
      <c r="D28" s="68" t="n">
        <f aca="false">SUM(D4:D27)</f>
        <v>360</v>
      </c>
      <c r="E28" s="69"/>
      <c r="F28" s="70" t="n">
        <f aca="false">SUM(F4:F27)</f>
        <v>20</v>
      </c>
      <c r="G28" s="71"/>
      <c r="H28" s="24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</row>
    <row r="29" s="7" customFormat="true" ht="15.75" hidden="false" customHeight="true" outlineLevel="0" collapsed="false">
      <c r="B29" s="72" t="s">
        <v>39</v>
      </c>
      <c r="C29" s="73" t="s">
        <v>40</v>
      </c>
      <c r="D29" s="74" t="n">
        <v>455</v>
      </c>
      <c r="E29" s="75"/>
      <c r="F29" s="76" t="n">
        <v>10</v>
      </c>
      <c r="G29" s="13"/>
      <c r="H29" s="24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</row>
    <row r="30" s="7" customFormat="true" ht="15.75" hidden="false" customHeight="true" outlineLevel="0" collapsed="false">
      <c r="B30" s="77"/>
      <c r="C30" s="77"/>
      <c r="D30" s="78"/>
      <c r="E30" s="78"/>
      <c r="F30" s="78"/>
      <c r="G30" s="9"/>
      <c r="H30" s="1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</row>
    <row r="31" s="7" customFormat="true" ht="15.75" hidden="false" customHeight="true" outlineLevel="0" collapsed="false">
      <c r="B31" s="77"/>
      <c r="C31" s="79"/>
      <c r="D31" s="78"/>
      <c r="E31" s="78"/>
      <c r="F31" s="78"/>
      <c r="G31" s="9"/>
      <c r="H31" s="1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</row>
    <row r="32" s="7" customFormat="true" ht="15.75" hidden="false" customHeight="true" outlineLevel="0" collapsed="false">
      <c r="B32" s="11" t="s">
        <v>41</v>
      </c>
      <c r="C32" s="11"/>
      <c r="D32" s="12"/>
      <c r="E32" s="12"/>
      <c r="F32" s="12"/>
      <c r="G32" s="13"/>
      <c r="H32" s="1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</row>
    <row r="33" s="7" customFormat="true" ht="15.75" hidden="false" customHeight="true" outlineLevel="0" collapsed="false">
      <c r="B33" s="14" t="s">
        <v>1</v>
      </c>
      <c r="C33" s="14"/>
      <c r="D33" s="15" t="s">
        <v>2</v>
      </c>
      <c r="E33" s="15" t="s">
        <v>3</v>
      </c>
      <c r="F33" s="16" t="s">
        <v>4</v>
      </c>
      <c r="G33" s="17"/>
      <c r="H33" s="1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</row>
    <row r="34" s="7" customFormat="true" ht="15.75" hidden="false" customHeight="true" outlineLevel="0" collapsed="false">
      <c r="B34" s="18" t="s">
        <v>42</v>
      </c>
      <c r="C34" s="49" t="s">
        <v>6</v>
      </c>
      <c r="D34" s="49"/>
      <c r="E34" s="49"/>
      <c r="F34" s="20" t="n">
        <v>4</v>
      </c>
      <c r="G34" s="21"/>
      <c r="H34" s="1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  <c r="AMK34" s="0"/>
    </row>
    <row r="35" s="7" customFormat="true" ht="15.75" hidden="false" customHeight="true" outlineLevel="0" collapsed="false">
      <c r="B35" s="18"/>
      <c r="C35" s="29" t="s">
        <v>43</v>
      </c>
      <c r="D35" s="80" t="n">
        <v>25</v>
      </c>
      <c r="E35" s="81" t="n">
        <v>1</v>
      </c>
      <c r="F35" s="20"/>
      <c r="G35" s="21"/>
      <c r="H35" s="24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  <c r="AMI35" s="0"/>
      <c r="AMJ35" s="0"/>
      <c r="AMK35" s="0"/>
    </row>
    <row r="36" s="7" customFormat="true" ht="15.75" hidden="false" customHeight="true" outlineLevel="0" collapsed="false">
      <c r="B36" s="18"/>
      <c r="C36" s="29" t="s">
        <v>44</v>
      </c>
      <c r="D36" s="81" t="n">
        <v>24</v>
      </c>
      <c r="E36" s="82" t="n">
        <v>1</v>
      </c>
      <c r="F36" s="20"/>
      <c r="G36" s="21"/>
      <c r="H36" s="24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</row>
    <row r="37" s="7" customFormat="true" ht="15.75" hidden="false" customHeight="true" outlineLevel="0" collapsed="false">
      <c r="B37" s="18"/>
      <c r="C37" s="83" t="s">
        <v>45</v>
      </c>
      <c r="D37" s="84" t="n">
        <v>23</v>
      </c>
      <c r="E37" s="85" t="n">
        <v>1</v>
      </c>
      <c r="F37" s="20"/>
      <c r="G37" s="21"/>
      <c r="H37" s="24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</row>
    <row r="38" s="7" customFormat="true" ht="15.75" hidden="false" customHeight="true" outlineLevel="0" collapsed="false">
      <c r="B38" s="18" t="s">
        <v>46</v>
      </c>
      <c r="C38" s="19" t="s">
        <v>18</v>
      </c>
      <c r="D38" s="19"/>
      <c r="E38" s="19"/>
      <c r="F38" s="86" t="n">
        <v>3</v>
      </c>
      <c r="G38" s="21"/>
      <c r="H38" s="24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</row>
    <row r="39" s="7" customFormat="true" ht="15.75" hidden="false" customHeight="true" outlineLevel="0" collapsed="false">
      <c r="B39" s="18"/>
      <c r="C39" s="40" t="s">
        <v>47</v>
      </c>
      <c r="D39" s="87" t="n">
        <f aca="false">12</f>
        <v>12</v>
      </c>
      <c r="E39" s="38" t="n">
        <v>1</v>
      </c>
      <c r="F39" s="86"/>
      <c r="G39" s="21"/>
      <c r="H39" s="24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  <c r="AMI39" s="0"/>
      <c r="AMJ39" s="0"/>
      <c r="AMK39" s="0"/>
    </row>
    <row r="40" s="7" customFormat="true" ht="15.75" hidden="false" customHeight="true" outlineLevel="0" collapsed="false">
      <c r="B40" s="18"/>
      <c r="C40" s="88" t="s">
        <v>48</v>
      </c>
      <c r="D40" s="89" t="n">
        <v>33</v>
      </c>
      <c r="E40" s="90" t="n">
        <v>3</v>
      </c>
      <c r="F40" s="86"/>
      <c r="G40" s="21"/>
      <c r="H40" s="24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  <c r="AMI40" s="0"/>
      <c r="AMJ40" s="0"/>
      <c r="AMK40" s="0"/>
    </row>
    <row r="41" s="7" customFormat="true" ht="15.75" hidden="false" customHeight="true" outlineLevel="0" collapsed="false">
      <c r="B41" s="91" t="s">
        <v>49</v>
      </c>
      <c r="C41" s="92" t="s">
        <v>25</v>
      </c>
      <c r="D41" s="92"/>
      <c r="E41" s="92"/>
      <c r="F41" s="93" t="n">
        <v>3</v>
      </c>
      <c r="G41" s="21"/>
      <c r="H41" s="24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</row>
    <row r="42" s="7" customFormat="true" ht="15.75" hidden="false" customHeight="true" outlineLevel="0" collapsed="false">
      <c r="B42" s="91"/>
      <c r="C42" s="94" t="s">
        <v>50</v>
      </c>
      <c r="D42" s="95" t="n">
        <v>24</v>
      </c>
      <c r="E42" s="95" t="n">
        <v>2</v>
      </c>
      <c r="F42" s="93"/>
      <c r="G42" s="21"/>
      <c r="H42" s="24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  <c r="AMI42" s="0"/>
      <c r="AMJ42" s="0"/>
      <c r="AMK42" s="0"/>
    </row>
    <row r="43" s="7" customFormat="true" ht="15.75" hidden="false" customHeight="true" outlineLevel="0" collapsed="false">
      <c r="B43" s="91"/>
      <c r="C43" s="96" t="s">
        <v>51</v>
      </c>
      <c r="D43" s="95" t="n">
        <v>18</v>
      </c>
      <c r="E43" s="45" t="n">
        <v>2</v>
      </c>
      <c r="F43" s="93"/>
      <c r="G43" s="21" t="s">
        <v>9</v>
      </c>
      <c r="H43" s="34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  <c r="AMI43" s="0"/>
      <c r="AMJ43" s="0"/>
      <c r="AMK43" s="0"/>
    </row>
    <row r="44" s="7" customFormat="true" ht="15.75" hidden="false" customHeight="true" outlineLevel="0" collapsed="false">
      <c r="B44" s="91"/>
      <c r="C44" s="44" t="s">
        <v>52</v>
      </c>
      <c r="D44" s="45" t="n">
        <v>12</v>
      </c>
      <c r="E44" s="45" t="n">
        <v>1</v>
      </c>
      <c r="F44" s="93"/>
      <c r="G44" s="21" t="s">
        <v>9</v>
      </c>
      <c r="H44" s="24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  <c r="AMI44" s="0"/>
      <c r="AMJ44" s="0"/>
      <c r="AMK44" s="0"/>
    </row>
    <row r="45" s="7" customFormat="true" ht="15.75" hidden="false" customHeight="true" outlineLevel="0" collapsed="false">
      <c r="B45" s="91" t="s">
        <v>53</v>
      </c>
      <c r="C45" s="92" t="s">
        <v>25</v>
      </c>
      <c r="D45" s="92"/>
      <c r="E45" s="92"/>
      <c r="F45" s="97" t="n">
        <v>3</v>
      </c>
      <c r="G45" s="21"/>
      <c r="H45" s="24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  <c r="AMI45" s="0"/>
      <c r="AMJ45" s="0"/>
      <c r="AMK45" s="0"/>
    </row>
    <row r="46" s="7" customFormat="true" ht="15.75" hidden="false" customHeight="true" outlineLevel="0" collapsed="false">
      <c r="B46" s="91"/>
      <c r="C46" s="94" t="s">
        <v>54</v>
      </c>
      <c r="D46" s="45" t="n">
        <v>25</v>
      </c>
      <c r="E46" s="45" t="n">
        <v>1</v>
      </c>
      <c r="F46" s="97"/>
      <c r="G46" s="21"/>
      <c r="H46" s="24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  <c r="AMI46" s="0"/>
      <c r="AMJ46" s="0"/>
      <c r="AMK46" s="0"/>
    </row>
    <row r="47" s="7" customFormat="true" ht="15.75" hidden="false" customHeight="true" outlineLevel="0" collapsed="false">
      <c r="B47" s="91"/>
      <c r="C47" s="44" t="s">
        <v>55</v>
      </c>
      <c r="D47" s="45" t="n">
        <v>30</v>
      </c>
      <c r="E47" s="45" t="n">
        <v>1</v>
      </c>
      <c r="F47" s="97"/>
      <c r="G47" s="21"/>
      <c r="H47" s="24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  <c r="AMI47" s="0"/>
      <c r="AMJ47" s="0"/>
      <c r="AMK47" s="0"/>
    </row>
    <row r="48" s="7" customFormat="true" ht="15.75" hidden="false" customHeight="true" outlineLevel="0" collapsed="false">
      <c r="B48" s="91" t="s">
        <v>56</v>
      </c>
      <c r="C48" s="42" t="s">
        <v>57</v>
      </c>
      <c r="D48" s="42"/>
      <c r="E48" s="42"/>
      <c r="F48" s="97" t="n">
        <v>3</v>
      </c>
      <c r="G48" s="21"/>
      <c r="H48" s="24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  <c r="AMI48" s="0"/>
      <c r="AMJ48" s="0"/>
      <c r="AMK48" s="0"/>
    </row>
    <row r="49" s="7" customFormat="true" ht="15.75" hidden="false" customHeight="true" outlineLevel="0" collapsed="false">
      <c r="B49" s="91"/>
      <c r="C49" s="98" t="s">
        <v>58</v>
      </c>
      <c r="D49" s="99" t="n">
        <v>20</v>
      </c>
      <c r="E49" s="99" t="n">
        <v>1</v>
      </c>
      <c r="F49" s="97"/>
      <c r="G49" s="21"/>
      <c r="H49" s="24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  <c r="AMI49" s="0"/>
      <c r="AMJ49" s="0"/>
      <c r="AMK49" s="0"/>
    </row>
    <row r="50" s="7" customFormat="true" ht="15.75" hidden="false" customHeight="true" outlineLevel="0" collapsed="false">
      <c r="B50" s="91"/>
      <c r="C50" s="100" t="s">
        <v>59</v>
      </c>
      <c r="D50" s="45" t="n">
        <f aca="false">47-20+7</f>
        <v>34</v>
      </c>
      <c r="E50" s="45" t="n">
        <v>1</v>
      </c>
      <c r="F50" s="97"/>
      <c r="G50" s="21"/>
      <c r="H50" s="24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  <c r="AMI50" s="0"/>
      <c r="AMJ50" s="0"/>
      <c r="AMK50" s="0"/>
    </row>
    <row r="51" s="7" customFormat="true" ht="15.75" hidden="false" customHeight="true" outlineLevel="0" collapsed="false">
      <c r="B51" s="101" t="s">
        <v>60</v>
      </c>
      <c r="C51" s="61" t="s">
        <v>33</v>
      </c>
      <c r="D51" s="61"/>
      <c r="E51" s="61"/>
      <c r="F51" s="102" t="n">
        <v>3</v>
      </c>
      <c r="G51" s="63"/>
      <c r="H51" s="24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  <c r="AMI51" s="0"/>
      <c r="AMJ51" s="0"/>
      <c r="AMK51" s="0"/>
    </row>
    <row r="52" s="7" customFormat="true" ht="15.75" hidden="false" customHeight="true" outlineLevel="0" collapsed="false">
      <c r="B52" s="101"/>
      <c r="C52" s="103" t="s">
        <v>34</v>
      </c>
      <c r="D52" s="104" t="n">
        <v>51</v>
      </c>
      <c r="E52" s="105" t="n">
        <v>1</v>
      </c>
      <c r="F52" s="102"/>
      <c r="G52" s="63"/>
      <c r="H52" s="34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  <c r="AMI52" s="0"/>
      <c r="AMJ52" s="0"/>
      <c r="AMK52" s="0"/>
    </row>
    <row r="53" s="7" customFormat="true" ht="15.75" hidden="false" customHeight="true" outlineLevel="0" collapsed="false">
      <c r="B53" s="48" t="s">
        <v>61</v>
      </c>
      <c r="C53" s="61" t="s">
        <v>36</v>
      </c>
      <c r="D53" s="61"/>
      <c r="E53" s="61"/>
      <c r="F53" s="62" t="n">
        <v>1</v>
      </c>
      <c r="G53" s="63"/>
      <c r="H53" s="24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  <c r="AMI53" s="0"/>
      <c r="AMJ53" s="0"/>
      <c r="AMK53" s="0"/>
    </row>
    <row r="54" s="7" customFormat="true" ht="15.75" hidden="false" customHeight="true" outlineLevel="0" collapsed="false">
      <c r="B54" s="48"/>
      <c r="C54" s="106" t="s">
        <v>62</v>
      </c>
      <c r="D54" s="107" t="n">
        <v>12</v>
      </c>
      <c r="E54" s="108"/>
      <c r="F54" s="62"/>
      <c r="G54" s="63"/>
      <c r="H54" s="24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  <c r="AMI54" s="0"/>
      <c r="AMJ54" s="0"/>
      <c r="AMK54" s="0"/>
    </row>
    <row r="55" s="7" customFormat="true" ht="15.75" hidden="false" customHeight="true" outlineLevel="0" collapsed="false">
      <c r="B55" s="48"/>
      <c r="C55" s="109" t="s">
        <v>63</v>
      </c>
      <c r="D55" s="110" t="n">
        <v>17</v>
      </c>
      <c r="E55" s="65" t="n">
        <v>1</v>
      </c>
      <c r="F55" s="62"/>
      <c r="G55" s="63"/>
      <c r="H55" s="24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  <c r="AMI55" s="0"/>
      <c r="AMJ55" s="0"/>
      <c r="AMK55" s="0"/>
    </row>
    <row r="56" s="7" customFormat="true" ht="15.75" hidden="false" customHeight="true" outlineLevel="0" collapsed="false">
      <c r="B56" s="111"/>
      <c r="C56" s="112" t="s">
        <v>38</v>
      </c>
      <c r="D56" s="113" t="n">
        <f aca="false">SUM(D34:D55)</f>
        <v>360</v>
      </c>
      <c r="E56" s="114"/>
      <c r="F56" s="115" t="n">
        <f aca="false">SUM(F34:F55)</f>
        <v>20</v>
      </c>
      <c r="G56" s="71"/>
      <c r="H56" s="24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  <c r="AMK56" s="0"/>
    </row>
    <row r="57" s="7" customFormat="true" ht="15.75" hidden="false" customHeight="true" outlineLevel="0" collapsed="false">
      <c r="B57" s="72" t="s">
        <v>64</v>
      </c>
      <c r="C57" s="73" t="s">
        <v>40</v>
      </c>
      <c r="D57" s="75" t="n">
        <v>490</v>
      </c>
      <c r="E57" s="75"/>
      <c r="F57" s="76" t="n">
        <v>10</v>
      </c>
      <c r="G57" s="13"/>
      <c r="H57" s="24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  <c r="AMK57" s="0"/>
    </row>
    <row r="58" s="7" customFormat="true" ht="15.75" hidden="false" customHeight="true" outlineLevel="0" collapsed="false">
      <c r="B58" s="116"/>
      <c r="C58" s="116"/>
      <c r="D58" s="116"/>
      <c r="E58" s="116"/>
      <c r="F58" s="116"/>
      <c r="G58" s="117"/>
      <c r="H58" s="1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  <c r="AMK58" s="0"/>
    </row>
    <row r="59" s="7" customFormat="true" ht="15.75" hidden="false" customHeight="true" outlineLevel="0" collapsed="false">
      <c r="B59" s="118"/>
      <c r="C59" s="118"/>
      <c r="D59" s="118"/>
      <c r="E59" s="118"/>
      <c r="F59" s="118"/>
      <c r="G59" s="117"/>
      <c r="H59" s="1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  <c r="AMI59" s="0"/>
      <c r="AMJ59" s="0"/>
      <c r="AMK59" s="0"/>
    </row>
    <row r="60" s="7" customFormat="true" ht="15.75" hidden="false" customHeight="true" outlineLevel="0" collapsed="false">
      <c r="B60" s="8"/>
      <c r="C60" s="8"/>
      <c r="D60" s="8"/>
      <c r="E60" s="8"/>
      <c r="F60" s="8"/>
      <c r="G60" s="9"/>
      <c r="H60" s="1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  <c r="AMI60" s="0"/>
      <c r="AMJ60" s="0"/>
      <c r="AMK60" s="0"/>
    </row>
    <row r="61" s="7" customFormat="true" ht="15.75" hidden="false" customHeight="true" outlineLevel="0" collapsed="false">
      <c r="B61" s="11" t="s">
        <v>65</v>
      </c>
      <c r="C61" s="11"/>
      <c r="D61" s="12"/>
      <c r="E61" s="12"/>
      <c r="F61" s="12"/>
      <c r="G61" s="13"/>
      <c r="H61" s="1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  <c r="AMI61" s="0"/>
      <c r="AMJ61" s="0"/>
      <c r="AMK61" s="0"/>
    </row>
    <row r="62" s="7" customFormat="true" ht="15.75" hidden="false" customHeight="true" outlineLevel="0" collapsed="false">
      <c r="B62" s="14" t="s">
        <v>1</v>
      </c>
      <c r="C62" s="14"/>
      <c r="D62" s="15" t="s">
        <v>2</v>
      </c>
      <c r="E62" s="15" t="s">
        <v>66</v>
      </c>
      <c r="F62" s="16" t="s">
        <v>4</v>
      </c>
      <c r="G62" s="17"/>
      <c r="H62" s="1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  <c r="AMI62" s="0"/>
      <c r="AMJ62" s="0"/>
      <c r="AMK62" s="0"/>
    </row>
    <row r="63" s="7" customFormat="true" ht="15.75" hidden="false" customHeight="true" outlineLevel="0" collapsed="false">
      <c r="B63" s="18" t="s">
        <v>67</v>
      </c>
      <c r="C63" s="19" t="s">
        <v>12</v>
      </c>
      <c r="D63" s="19"/>
      <c r="E63" s="19"/>
      <c r="F63" s="20" t="n">
        <v>3</v>
      </c>
      <c r="G63" s="21"/>
      <c r="H63" s="1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  <c r="AMI63" s="0"/>
      <c r="AMJ63" s="0"/>
      <c r="AMK63" s="0"/>
    </row>
    <row r="64" s="7" customFormat="true" ht="15.75" hidden="false" customHeight="true" outlineLevel="0" collapsed="false">
      <c r="B64" s="18"/>
      <c r="C64" s="119" t="s">
        <v>68</v>
      </c>
      <c r="D64" s="81" t="n">
        <v>24</v>
      </c>
      <c r="E64" s="120" t="n">
        <v>1</v>
      </c>
      <c r="F64" s="20"/>
      <c r="G64" s="21"/>
      <c r="H64" s="24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  <c r="AMI64" s="0"/>
      <c r="AMJ64" s="0"/>
      <c r="AMK64" s="0"/>
    </row>
    <row r="65" s="7" customFormat="true" ht="15.75" hidden="false" customHeight="true" outlineLevel="0" collapsed="false">
      <c r="B65" s="18"/>
      <c r="C65" s="121" t="s">
        <v>69</v>
      </c>
      <c r="D65" s="85" t="n">
        <v>28</v>
      </c>
      <c r="E65" s="122" t="n">
        <v>1</v>
      </c>
      <c r="F65" s="20"/>
      <c r="G65" s="21"/>
      <c r="H65" s="24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  <c r="AMI65" s="0"/>
      <c r="AMJ65" s="0"/>
      <c r="AMK65" s="0"/>
    </row>
    <row r="66" s="7" customFormat="true" ht="15.75" hidden="false" customHeight="true" outlineLevel="0" collapsed="false">
      <c r="B66" s="91" t="s">
        <v>70</v>
      </c>
      <c r="C66" s="92" t="s">
        <v>25</v>
      </c>
      <c r="D66" s="92"/>
      <c r="E66" s="92"/>
      <c r="F66" s="93" t="n">
        <v>3</v>
      </c>
      <c r="G66" s="21"/>
      <c r="H66" s="24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  <c r="AMI66" s="0"/>
      <c r="AMJ66" s="0"/>
      <c r="AMK66" s="0"/>
    </row>
    <row r="67" s="7" customFormat="true" ht="15.75" hidden="false" customHeight="true" outlineLevel="0" collapsed="false">
      <c r="B67" s="91"/>
      <c r="C67" s="96" t="s">
        <v>71</v>
      </c>
      <c r="D67" s="123" t="n">
        <v>30</v>
      </c>
      <c r="E67" s="124" t="n">
        <v>1</v>
      </c>
      <c r="F67" s="93"/>
      <c r="G67" s="21" t="s">
        <v>9</v>
      </c>
      <c r="H67" s="125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  <c r="AMI67" s="0"/>
      <c r="AMJ67" s="0"/>
      <c r="AMK67" s="0"/>
    </row>
    <row r="68" s="7" customFormat="true" ht="15.75" hidden="false" customHeight="true" outlineLevel="0" collapsed="false">
      <c r="B68" s="91"/>
      <c r="C68" s="46" t="s">
        <v>72</v>
      </c>
      <c r="D68" s="126" t="n">
        <v>19</v>
      </c>
      <c r="E68" s="127" t="n">
        <v>1</v>
      </c>
      <c r="F68" s="93"/>
      <c r="G68" s="21" t="s">
        <v>9</v>
      </c>
      <c r="H68" s="24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  <c r="AMI68" s="0"/>
      <c r="AMJ68" s="0"/>
      <c r="AMK68" s="0"/>
    </row>
    <row r="69" s="7" customFormat="true" ht="15.75" hidden="false" customHeight="true" outlineLevel="0" collapsed="false">
      <c r="B69" s="91" t="s">
        <v>73</v>
      </c>
      <c r="C69" s="128" t="s">
        <v>74</v>
      </c>
      <c r="D69" s="129"/>
      <c r="E69" s="129"/>
      <c r="F69" s="130" t="n">
        <v>4</v>
      </c>
      <c r="G69" s="131"/>
      <c r="H69" s="24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  <c r="AMI69" s="0"/>
      <c r="AMJ69" s="0"/>
      <c r="AMK69" s="0"/>
    </row>
    <row r="70" s="7" customFormat="true" ht="15.75" hidden="false" customHeight="true" outlineLevel="0" collapsed="false">
      <c r="B70" s="91"/>
      <c r="C70" s="132" t="s">
        <v>75</v>
      </c>
      <c r="D70" s="133" t="n">
        <v>30</v>
      </c>
      <c r="E70" s="134" t="n">
        <v>1</v>
      </c>
      <c r="F70" s="130"/>
      <c r="G70" s="131"/>
      <c r="H70" s="24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</row>
    <row r="71" s="7" customFormat="true" ht="15.75" hidden="false" customHeight="true" outlineLevel="0" collapsed="false">
      <c r="B71" s="91"/>
      <c r="C71" s="132" t="s">
        <v>76</v>
      </c>
      <c r="D71" s="135" t="n">
        <v>34</v>
      </c>
      <c r="E71" s="136" t="n">
        <v>1</v>
      </c>
      <c r="F71" s="130"/>
      <c r="G71" s="131"/>
      <c r="H71" s="24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  <c r="AMI71" s="0"/>
      <c r="AMJ71" s="0"/>
      <c r="AMK71" s="0"/>
    </row>
    <row r="72" s="7" customFormat="true" ht="15.75" hidden="false" customHeight="true" outlineLevel="0" collapsed="false">
      <c r="B72" s="41" t="s">
        <v>77</v>
      </c>
      <c r="C72" s="128" t="s">
        <v>74</v>
      </c>
      <c r="D72" s="137"/>
      <c r="E72" s="137"/>
      <c r="F72" s="97" t="n">
        <v>4</v>
      </c>
      <c r="G72" s="21"/>
      <c r="H72" s="24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</row>
    <row r="73" s="7" customFormat="true" ht="15.75" hidden="false" customHeight="true" outlineLevel="0" collapsed="false">
      <c r="B73" s="41"/>
      <c r="C73" s="138" t="s">
        <v>78</v>
      </c>
      <c r="D73" s="139" t="n">
        <v>30</v>
      </c>
      <c r="E73" s="140" t="n">
        <v>3</v>
      </c>
      <c r="F73" s="97"/>
      <c r="G73" s="21"/>
      <c r="H73" s="24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</row>
    <row r="74" s="7" customFormat="true" ht="15.75" hidden="false" customHeight="true" outlineLevel="0" collapsed="false">
      <c r="B74" s="41"/>
      <c r="C74" s="46" t="s">
        <v>79</v>
      </c>
      <c r="D74" s="135" t="n">
        <v>20</v>
      </c>
      <c r="E74" s="141" t="n">
        <v>2</v>
      </c>
      <c r="F74" s="97"/>
      <c r="G74" s="21"/>
      <c r="H74" s="24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</row>
    <row r="75" s="7" customFormat="true" ht="15.75" hidden="false" customHeight="true" outlineLevel="0" collapsed="false">
      <c r="B75" s="14" t="s">
        <v>80</v>
      </c>
      <c r="C75" s="142" t="s">
        <v>29</v>
      </c>
      <c r="D75" s="142"/>
      <c r="E75" s="142"/>
      <c r="F75" s="143" t="n">
        <v>3</v>
      </c>
      <c r="G75" s="13"/>
      <c r="H75" s="24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</row>
    <row r="76" s="7" customFormat="true" ht="15.75" hidden="false" customHeight="true" outlineLevel="0" collapsed="false">
      <c r="B76" s="14"/>
      <c r="C76" s="144" t="s">
        <v>81</v>
      </c>
      <c r="D76" s="81" t="n">
        <v>18</v>
      </c>
      <c r="E76" s="120" t="n">
        <v>1</v>
      </c>
      <c r="F76" s="143"/>
      <c r="G76" s="13"/>
      <c r="H76" s="24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</row>
    <row r="77" s="7" customFormat="true" ht="15.75" hidden="false" customHeight="true" outlineLevel="0" collapsed="false">
      <c r="B77" s="14"/>
      <c r="C77" s="64" t="s">
        <v>82</v>
      </c>
      <c r="D77" s="85" t="n">
        <v>20</v>
      </c>
      <c r="E77" s="122" t="n">
        <v>1</v>
      </c>
      <c r="F77" s="143"/>
      <c r="G77" s="13"/>
      <c r="H77" s="24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</row>
    <row r="78" s="7" customFormat="true" ht="15.75" hidden="false" customHeight="true" outlineLevel="0" collapsed="false">
      <c r="B78" s="48" t="s">
        <v>83</v>
      </c>
      <c r="C78" s="61" t="s">
        <v>33</v>
      </c>
      <c r="D78" s="61"/>
      <c r="E78" s="61"/>
      <c r="F78" s="145" t="n">
        <v>2</v>
      </c>
      <c r="G78" s="13"/>
      <c r="H78" s="24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</row>
    <row r="79" s="7" customFormat="true" ht="15.75" hidden="false" customHeight="true" outlineLevel="0" collapsed="false">
      <c r="B79" s="48"/>
      <c r="C79" s="64" t="s">
        <v>84</v>
      </c>
      <c r="D79" s="85" t="n">
        <v>30</v>
      </c>
      <c r="E79" s="122" t="n">
        <v>1</v>
      </c>
      <c r="F79" s="145"/>
      <c r="G79" s="13"/>
      <c r="H79" s="24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</row>
    <row r="80" s="7" customFormat="true" ht="15.75" hidden="false" customHeight="true" outlineLevel="0" collapsed="false">
      <c r="B80" s="48" t="s">
        <v>85</v>
      </c>
      <c r="C80" s="61" t="s">
        <v>36</v>
      </c>
      <c r="D80" s="61"/>
      <c r="E80" s="61"/>
      <c r="F80" s="145" t="n">
        <v>1</v>
      </c>
      <c r="G80" s="13"/>
      <c r="H80" s="24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</row>
    <row r="81" s="7" customFormat="true" ht="15.75" hidden="false" customHeight="true" outlineLevel="0" collapsed="false">
      <c r="B81" s="48"/>
      <c r="C81" s="146" t="s">
        <v>86</v>
      </c>
      <c r="D81" s="147" t="n">
        <v>20</v>
      </c>
      <c r="E81" s="148" t="n">
        <v>1</v>
      </c>
      <c r="F81" s="145"/>
      <c r="G81" s="13"/>
      <c r="H81" s="149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</row>
    <row r="82" s="7" customFormat="true" ht="15.75" hidden="false" customHeight="true" outlineLevel="0" collapsed="false">
      <c r="B82" s="150"/>
      <c r="C82" s="151" t="s">
        <v>38</v>
      </c>
      <c r="D82" s="152" t="n">
        <f aca="false">D74+D73+D71+D70+D81+D79+D77+D76+D64+D65+D68+D67</f>
        <v>303</v>
      </c>
      <c r="E82" s="153"/>
      <c r="F82" s="154" t="n">
        <f aca="false">SUM(F63:F81)</f>
        <v>20</v>
      </c>
      <c r="G82" s="71"/>
      <c r="H82" s="24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  <c r="AMK82" s="0"/>
    </row>
    <row r="83" s="7" customFormat="true" ht="15.75" hidden="false" customHeight="true" outlineLevel="0" collapsed="false">
      <c r="B83" s="72" t="s">
        <v>87</v>
      </c>
      <c r="C83" s="155" t="s">
        <v>88</v>
      </c>
      <c r="D83" s="75" t="n">
        <v>525</v>
      </c>
      <c r="E83" s="156"/>
      <c r="F83" s="157" t="n">
        <v>10</v>
      </c>
      <c r="G83" s="158"/>
      <c r="H83" s="1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  <c r="AMK83" s="0"/>
    </row>
    <row r="84" s="7" customFormat="true" ht="15.75" hidden="false" customHeight="true" outlineLevel="0" collapsed="false">
      <c r="B84" s="77"/>
      <c r="C84" s="159"/>
      <c r="D84" s="8"/>
      <c r="E84" s="8"/>
      <c r="F84" s="8"/>
      <c r="G84" s="9"/>
      <c r="H84" s="1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  <c r="AMK84" s="0"/>
    </row>
    <row r="85" s="7" customFormat="true" ht="15.75" hidden="false" customHeight="true" outlineLevel="0" collapsed="false">
      <c r="B85" s="77"/>
      <c r="C85" s="159"/>
      <c r="D85" s="8"/>
      <c r="E85" s="8"/>
      <c r="F85" s="8"/>
      <c r="G85" s="9"/>
      <c r="H85" s="1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  <c r="AMK85" s="0"/>
    </row>
    <row r="86" s="7" customFormat="true" ht="15.75" hidden="false" customHeight="true" outlineLevel="0" collapsed="false">
      <c r="B86" s="77"/>
      <c r="C86" s="160"/>
      <c r="F86" s="8"/>
      <c r="G86" s="9"/>
      <c r="H86" s="1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  <c r="AMK86" s="0"/>
    </row>
    <row r="87" s="7" customFormat="true" ht="15.75" hidden="false" customHeight="true" outlineLevel="0" collapsed="false">
      <c r="B87" s="11" t="s">
        <v>89</v>
      </c>
      <c r="C87" s="11"/>
      <c r="D87" s="12"/>
      <c r="E87" s="12"/>
      <c r="F87" s="12"/>
      <c r="G87" s="13"/>
      <c r="H87" s="1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  <c r="AMK87" s="0"/>
    </row>
    <row r="88" s="7" customFormat="true" ht="15.75" hidden="false" customHeight="true" outlineLevel="0" collapsed="false">
      <c r="B88" s="14" t="s">
        <v>1</v>
      </c>
      <c r="C88" s="14"/>
      <c r="D88" s="15" t="s">
        <v>2</v>
      </c>
      <c r="E88" s="15" t="s">
        <v>3</v>
      </c>
      <c r="F88" s="16" t="s">
        <v>4</v>
      </c>
      <c r="G88" s="17"/>
      <c r="H88" s="1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  <c r="AMK88" s="0"/>
    </row>
    <row r="89" s="7" customFormat="true" ht="15.75" hidden="false" customHeight="true" outlineLevel="0" collapsed="false">
      <c r="B89" s="161" t="s">
        <v>90</v>
      </c>
      <c r="C89" s="92" t="s">
        <v>91</v>
      </c>
      <c r="D89" s="92"/>
      <c r="E89" s="92"/>
      <c r="F89" s="162" t="n">
        <v>3</v>
      </c>
      <c r="G89" s="21"/>
      <c r="H89" s="1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  <c r="AMK89" s="0"/>
    </row>
    <row r="90" s="7" customFormat="true" ht="15.75" hidden="false" customHeight="true" outlineLevel="0" collapsed="false">
      <c r="B90" s="161"/>
      <c r="C90" s="163" t="s">
        <v>92</v>
      </c>
      <c r="D90" s="45" t="n">
        <v>29</v>
      </c>
      <c r="E90" s="140" t="n">
        <v>1</v>
      </c>
      <c r="F90" s="162"/>
      <c r="G90" s="21"/>
      <c r="H90" s="24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  <c r="AMK90" s="0"/>
    </row>
    <row r="91" s="7" customFormat="true" ht="15.75" hidden="false" customHeight="true" outlineLevel="0" collapsed="false">
      <c r="B91" s="161"/>
      <c r="C91" s="163" t="s">
        <v>93</v>
      </c>
      <c r="D91" s="164" t="n">
        <v>36</v>
      </c>
      <c r="E91" s="139" t="n">
        <v>1</v>
      </c>
      <c r="F91" s="162"/>
      <c r="G91" s="21"/>
      <c r="H91" s="24"/>
      <c r="ALL91" s="0"/>
      <c r="ALM91" s="0"/>
      <c r="ALN91" s="0"/>
      <c r="ALO91" s="0"/>
      <c r="ALP91" s="0"/>
      <c r="ALQ91" s="0"/>
      <c r="ALR91" s="0"/>
      <c r="ALS91" s="0"/>
      <c r="ALT91" s="0"/>
      <c r="ALU91" s="0"/>
      <c r="ALV91" s="0"/>
      <c r="ALW91" s="0"/>
      <c r="ALX91" s="0"/>
      <c r="ALY91" s="0"/>
      <c r="ALZ91" s="0"/>
      <c r="AMA91" s="0"/>
      <c r="AMB91" s="0"/>
      <c r="AMC91" s="0"/>
      <c r="AMD91" s="0"/>
      <c r="AME91" s="0"/>
      <c r="AMF91" s="0"/>
      <c r="AMG91" s="0"/>
      <c r="AMH91" s="0"/>
      <c r="AMI91" s="0"/>
      <c r="AMJ91" s="0"/>
      <c r="AMK91" s="0"/>
    </row>
    <row r="92" s="7" customFormat="true" ht="15.75" hidden="false" customHeight="true" outlineLevel="0" collapsed="false">
      <c r="B92" s="41" t="s">
        <v>94</v>
      </c>
      <c r="C92" s="92" t="s">
        <v>91</v>
      </c>
      <c r="D92" s="92"/>
      <c r="E92" s="92"/>
      <c r="F92" s="97" t="n">
        <v>3</v>
      </c>
      <c r="G92" s="21"/>
      <c r="H92" s="24"/>
      <c r="ALL92" s="0"/>
      <c r="ALM92" s="0"/>
      <c r="ALN92" s="0"/>
      <c r="ALO92" s="0"/>
      <c r="ALP92" s="0"/>
      <c r="ALQ92" s="0"/>
      <c r="ALR92" s="0"/>
      <c r="ALS92" s="0"/>
      <c r="ALT92" s="0"/>
      <c r="ALU92" s="0"/>
      <c r="ALV92" s="0"/>
      <c r="ALW92" s="0"/>
      <c r="ALX92" s="0"/>
      <c r="ALY92" s="0"/>
      <c r="ALZ92" s="0"/>
      <c r="AMA92" s="0"/>
      <c r="AMB92" s="0"/>
      <c r="AMC92" s="0"/>
      <c r="AMD92" s="0"/>
      <c r="AME92" s="0"/>
      <c r="AMF92" s="0"/>
      <c r="AMG92" s="0"/>
      <c r="AMH92" s="0"/>
      <c r="AMI92" s="0"/>
      <c r="AMJ92" s="0"/>
      <c r="AMK92" s="0"/>
    </row>
    <row r="93" s="7" customFormat="true" ht="15.75" hidden="false" customHeight="true" outlineLevel="0" collapsed="false">
      <c r="B93" s="41"/>
      <c r="C93" s="163" t="s">
        <v>95</v>
      </c>
      <c r="D93" s="45" t="n">
        <v>30</v>
      </c>
      <c r="E93" s="140" t="n">
        <v>1</v>
      </c>
      <c r="F93" s="97"/>
      <c r="G93" s="21"/>
      <c r="H93" s="24"/>
      <c r="ALL93" s="0"/>
      <c r="ALM93" s="0"/>
      <c r="ALN93" s="0"/>
      <c r="ALO93" s="0"/>
      <c r="ALP93" s="0"/>
      <c r="ALQ93" s="0"/>
      <c r="ALR93" s="0"/>
      <c r="ALS93" s="0"/>
      <c r="ALT93" s="0"/>
      <c r="ALU93" s="0"/>
      <c r="ALV93" s="0"/>
      <c r="ALW93" s="0"/>
      <c r="ALX93" s="0"/>
      <c r="ALY93" s="0"/>
      <c r="ALZ93" s="0"/>
      <c r="AMA93" s="0"/>
      <c r="AMB93" s="0"/>
      <c r="AMC93" s="0"/>
      <c r="AMD93" s="0"/>
      <c r="AME93" s="0"/>
      <c r="AMF93" s="0"/>
      <c r="AMG93" s="0"/>
      <c r="AMH93" s="0"/>
      <c r="AMI93" s="0"/>
      <c r="AMJ93" s="0"/>
      <c r="AMK93" s="0"/>
    </row>
    <row r="94" s="7" customFormat="true" ht="15.75" hidden="false" customHeight="true" outlineLevel="0" collapsed="false">
      <c r="B94" s="41"/>
      <c r="C94" s="163" t="s">
        <v>96</v>
      </c>
      <c r="D94" s="164" t="n">
        <v>24</v>
      </c>
      <c r="E94" s="139" t="n">
        <v>1</v>
      </c>
      <c r="F94" s="97"/>
      <c r="G94" s="21"/>
      <c r="H94" s="24"/>
      <c r="ALL94" s="0"/>
      <c r="ALM94" s="0"/>
      <c r="ALN94" s="0"/>
      <c r="ALO94" s="0"/>
      <c r="ALP94" s="0"/>
      <c r="ALQ94" s="0"/>
      <c r="ALR94" s="0"/>
      <c r="ALS94" s="0"/>
      <c r="ALT94" s="0"/>
      <c r="ALU94" s="0"/>
      <c r="ALV94" s="0"/>
      <c r="ALW94" s="0"/>
      <c r="ALX94" s="0"/>
      <c r="ALY94" s="0"/>
      <c r="ALZ94" s="0"/>
      <c r="AMA94" s="0"/>
      <c r="AMB94" s="0"/>
      <c r="AMC94" s="0"/>
      <c r="AMD94" s="0"/>
      <c r="AME94" s="0"/>
      <c r="AMF94" s="0"/>
      <c r="AMG94" s="0"/>
      <c r="AMH94" s="0"/>
      <c r="AMI94" s="0"/>
      <c r="AMJ94" s="0"/>
      <c r="AMK94" s="0"/>
    </row>
    <row r="95" s="7" customFormat="true" ht="15.75" hidden="false" customHeight="true" outlineLevel="0" collapsed="false">
      <c r="B95" s="165" t="s">
        <v>97</v>
      </c>
      <c r="C95" s="92" t="s">
        <v>74</v>
      </c>
      <c r="D95" s="92"/>
      <c r="E95" s="92"/>
      <c r="F95" s="166" t="n">
        <v>2</v>
      </c>
      <c r="G95" s="21"/>
      <c r="H95" s="24"/>
      <c r="ALL95" s="0"/>
      <c r="ALM95" s="0"/>
      <c r="ALN95" s="0"/>
      <c r="ALO95" s="0"/>
      <c r="ALP95" s="0"/>
      <c r="ALQ95" s="0"/>
      <c r="ALR95" s="0"/>
      <c r="ALS95" s="0"/>
      <c r="ALT95" s="0"/>
      <c r="ALU95" s="0"/>
      <c r="ALV95" s="0"/>
      <c r="ALW95" s="0"/>
      <c r="ALX95" s="0"/>
      <c r="ALY95" s="0"/>
      <c r="ALZ95" s="0"/>
      <c r="AMA95" s="0"/>
      <c r="AMB95" s="0"/>
      <c r="AMC95" s="0"/>
      <c r="AMD95" s="0"/>
      <c r="AME95" s="0"/>
      <c r="AMF95" s="0"/>
      <c r="AMG95" s="0"/>
      <c r="AMH95" s="0"/>
      <c r="AMI95" s="0"/>
      <c r="AMJ95" s="0"/>
      <c r="AMK95" s="0"/>
    </row>
    <row r="96" s="7" customFormat="true" ht="15.75" hidden="false" customHeight="true" outlineLevel="0" collapsed="false">
      <c r="B96" s="165"/>
      <c r="C96" s="163" t="s">
        <v>98</v>
      </c>
      <c r="D96" s="45" t="n">
        <v>20</v>
      </c>
      <c r="E96" s="140" t="n">
        <v>1</v>
      </c>
      <c r="F96" s="166"/>
      <c r="G96" s="21"/>
      <c r="H96" s="24"/>
      <c r="ALL96" s="0"/>
      <c r="ALM96" s="0"/>
      <c r="ALN96" s="0"/>
      <c r="ALO96" s="0"/>
      <c r="ALP96" s="0"/>
      <c r="ALQ96" s="0"/>
      <c r="ALR96" s="0"/>
      <c r="ALS96" s="0"/>
      <c r="ALT96" s="0"/>
      <c r="ALU96" s="0"/>
      <c r="ALV96" s="0"/>
      <c r="ALW96" s="0"/>
      <c r="ALX96" s="0"/>
      <c r="ALY96" s="0"/>
      <c r="ALZ96" s="0"/>
      <c r="AMA96" s="0"/>
      <c r="AMB96" s="0"/>
      <c r="AMC96" s="0"/>
      <c r="AMD96" s="0"/>
      <c r="AME96" s="0"/>
      <c r="AMF96" s="0"/>
      <c r="AMG96" s="0"/>
      <c r="AMH96" s="0"/>
      <c r="AMI96" s="0"/>
      <c r="AMJ96" s="0"/>
      <c r="AMK96" s="0"/>
    </row>
    <row r="97" s="7" customFormat="true" ht="15.75" hidden="false" customHeight="true" outlineLevel="0" collapsed="false">
      <c r="B97" s="165"/>
      <c r="C97" s="163" t="s">
        <v>99</v>
      </c>
      <c r="D97" s="164" t="n">
        <v>14</v>
      </c>
      <c r="E97" s="139" t="n">
        <v>1</v>
      </c>
      <c r="F97" s="166"/>
      <c r="G97" s="21"/>
      <c r="H97" s="24"/>
      <c r="ALL97" s="0"/>
      <c r="ALM97" s="0"/>
      <c r="ALN97" s="0"/>
      <c r="ALO97" s="0"/>
      <c r="ALP97" s="0"/>
      <c r="ALQ97" s="0"/>
      <c r="ALR97" s="0"/>
      <c r="ALS97" s="0"/>
      <c r="ALT97" s="0"/>
      <c r="ALU97" s="0"/>
      <c r="ALV97" s="0"/>
      <c r="ALW97" s="0"/>
      <c r="ALX97" s="0"/>
      <c r="ALY97" s="0"/>
      <c r="ALZ97" s="0"/>
      <c r="AMA97" s="0"/>
      <c r="AMB97" s="0"/>
      <c r="AMC97" s="0"/>
      <c r="AMD97" s="0"/>
      <c r="AME97" s="0"/>
      <c r="AMF97" s="0"/>
      <c r="AMG97" s="0"/>
      <c r="AMH97" s="0"/>
      <c r="AMI97" s="0"/>
      <c r="AMJ97" s="0"/>
      <c r="AMK97" s="0"/>
    </row>
    <row r="98" s="7" customFormat="true" ht="15.75" hidden="false" customHeight="true" outlineLevel="0" collapsed="false">
      <c r="B98" s="41" t="s">
        <v>100</v>
      </c>
      <c r="C98" s="42" t="s">
        <v>101</v>
      </c>
      <c r="D98" s="42"/>
      <c r="E98" s="42"/>
      <c r="F98" s="97" t="n">
        <v>5</v>
      </c>
      <c r="G98" s="21"/>
      <c r="H98" s="24"/>
      <c r="ALL98" s="0"/>
      <c r="ALM98" s="0"/>
      <c r="ALN98" s="0"/>
      <c r="ALO98" s="0"/>
      <c r="ALP98" s="0"/>
      <c r="ALQ98" s="0"/>
      <c r="ALR98" s="0"/>
      <c r="ALS98" s="0"/>
      <c r="ALT98" s="0"/>
      <c r="ALU98" s="0"/>
      <c r="ALV98" s="0"/>
      <c r="ALW98" s="0"/>
      <c r="ALX98" s="0"/>
      <c r="ALY98" s="0"/>
      <c r="ALZ98" s="0"/>
      <c r="AMA98" s="0"/>
      <c r="AMB98" s="0"/>
      <c r="AMC98" s="0"/>
      <c r="AMD98" s="0"/>
      <c r="AME98" s="0"/>
      <c r="AMF98" s="0"/>
      <c r="AMG98" s="0"/>
      <c r="AMH98" s="0"/>
      <c r="AMI98" s="0"/>
      <c r="AMJ98" s="0"/>
      <c r="AMK98" s="0"/>
    </row>
    <row r="99" s="7" customFormat="true" ht="15.75" hidden="false" customHeight="true" outlineLevel="0" collapsed="false">
      <c r="B99" s="41"/>
      <c r="C99" s="163" t="s">
        <v>102</v>
      </c>
      <c r="D99" s="167" t="n">
        <v>24</v>
      </c>
      <c r="E99" s="45" t="n">
        <v>2</v>
      </c>
      <c r="F99" s="97"/>
      <c r="G99" s="21"/>
      <c r="H99" s="24"/>
      <c r="ALL99" s="0"/>
      <c r="ALM99" s="0"/>
      <c r="ALN99" s="0"/>
      <c r="ALO99" s="0"/>
      <c r="ALP99" s="0"/>
      <c r="ALQ99" s="0"/>
      <c r="ALR99" s="0"/>
      <c r="ALS99" s="0"/>
      <c r="ALT99" s="0"/>
      <c r="ALU99" s="0"/>
      <c r="ALV99" s="0"/>
      <c r="ALW99" s="0"/>
      <c r="ALX99" s="0"/>
      <c r="ALY99" s="0"/>
      <c r="ALZ99" s="0"/>
      <c r="AMA99" s="0"/>
      <c r="AMB99" s="0"/>
      <c r="AMC99" s="0"/>
      <c r="AMD99" s="0"/>
      <c r="AME99" s="0"/>
      <c r="AMF99" s="0"/>
      <c r="AMG99" s="0"/>
      <c r="AMH99" s="0"/>
      <c r="AMI99" s="0"/>
      <c r="AMJ99" s="0"/>
      <c r="AMK99" s="0"/>
    </row>
    <row r="100" s="7" customFormat="true" ht="15.75" hidden="false" customHeight="true" outlineLevel="0" collapsed="false">
      <c r="B100" s="41"/>
      <c r="C100" s="44" t="s">
        <v>103</v>
      </c>
      <c r="D100" s="140" t="n">
        <v>30</v>
      </c>
      <c r="E100" s="140" t="n">
        <v>3</v>
      </c>
      <c r="F100" s="97"/>
      <c r="G100" s="21"/>
      <c r="H100" s="24"/>
      <c r="ALL100" s="0"/>
      <c r="ALM100" s="0"/>
      <c r="ALN100" s="0"/>
      <c r="ALO100" s="0"/>
      <c r="ALP100" s="0"/>
      <c r="ALQ100" s="0"/>
      <c r="ALR100" s="0"/>
      <c r="ALS100" s="0"/>
      <c r="ALT100" s="0"/>
      <c r="ALU100" s="0"/>
      <c r="ALV100" s="0"/>
      <c r="ALW100" s="0"/>
      <c r="ALX100" s="0"/>
      <c r="ALY100" s="0"/>
      <c r="ALZ100" s="0"/>
      <c r="AMA100" s="0"/>
      <c r="AMB100" s="0"/>
      <c r="AMC100" s="0"/>
      <c r="AMD100" s="0"/>
      <c r="AME100" s="0"/>
      <c r="AMF100" s="0"/>
      <c r="AMG100" s="0"/>
      <c r="AMH100" s="0"/>
      <c r="AMI100" s="0"/>
      <c r="AMJ100" s="0"/>
      <c r="AMK100" s="0"/>
    </row>
    <row r="101" s="7" customFormat="true" ht="15.75" hidden="false" customHeight="true" outlineLevel="0" collapsed="false">
      <c r="B101" s="41"/>
      <c r="C101" s="168" t="s">
        <v>104</v>
      </c>
      <c r="D101" s="169" t="n">
        <v>40</v>
      </c>
      <c r="E101" s="170" t="n">
        <v>4</v>
      </c>
      <c r="F101" s="97"/>
      <c r="G101" s="21"/>
      <c r="H101" s="24"/>
      <c r="ALL101" s="0"/>
      <c r="ALM101" s="0"/>
      <c r="ALN101" s="0"/>
      <c r="ALO101" s="0"/>
      <c r="ALP101" s="0"/>
      <c r="ALQ101" s="0"/>
      <c r="ALR101" s="0"/>
      <c r="ALS101" s="0"/>
      <c r="ALT101" s="0"/>
      <c r="ALU101" s="0"/>
      <c r="ALV101" s="0"/>
      <c r="ALW101" s="0"/>
      <c r="ALX101" s="0"/>
      <c r="ALY101" s="0"/>
      <c r="ALZ101" s="0"/>
      <c r="AMA101" s="0"/>
      <c r="AMB101" s="0"/>
      <c r="AMC101" s="0"/>
      <c r="AMD101" s="0"/>
      <c r="AME101" s="0"/>
      <c r="AMF101" s="0"/>
      <c r="AMG101" s="0"/>
      <c r="AMH101" s="0"/>
      <c r="AMI101" s="0"/>
      <c r="AMJ101" s="0"/>
      <c r="AMK101" s="0"/>
    </row>
    <row r="102" s="7" customFormat="true" ht="15.75" hidden="false" customHeight="true" outlineLevel="0" collapsed="false">
      <c r="B102" s="101" t="s">
        <v>105</v>
      </c>
      <c r="C102" s="49" t="s">
        <v>29</v>
      </c>
      <c r="D102" s="49"/>
      <c r="E102" s="49"/>
      <c r="F102" s="145" t="n">
        <v>1</v>
      </c>
      <c r="G102" s="13"/>
      <c r="H102" s="24"/>
      <c r="ALL102" s="0"/>
      <c r="ALM102" s="0"/>
      <c r="ALN102" s="0"/>
      <c r="ALO102" s="0"/>
      <c r="ALP102" s="0"/>
      <c r="ALQ102" s="0"/>
      <c r="ALR102" s="0"/>
      <c r="ALS102" s="0"/>
      <c r="ALT102" s="0"/>
      <c r="ALU102" s="0"/>
      <c r="ALV102" s="0"/>
      <c r="ALW102" s="0"/>
      <c r="ALX102" s="0"/>
      <c r="ALY102" s="0"/>
      <c r="ALZ102" s="0"/>
      <c r="AMA102" s="0"/>
      <c r="AMB102" s="0"/>
      <c r="AMC102" s="0"/>
      <c r="AMD102" s="0"/>
      <c r="AME102" s="0"/>
      <c r="AMF102" s="0"/>
      <c r="AMG102" s="0"/>
      <c r="AMH102" s="0"/>
      <c r="AMI102" s="0"/>
      <c r="AMJ102" s="0"/>
      <c r="AMK102" s="0"/>
    </row>
    <row r="103" s="7" customFormat="true" ht="15.75" hidden="false" customHeight="true" outlineLevel="0" collapsed="false">
      <c r="B103" s="101"/>
      <c r="C103" s="144" t="s">
        <v>106</v>
      </c>
      <c r="D103" s="171" t="n">
        <v>12</v>
      </c>
      <c r="E103" s="171" t="n">
        <v>1</v>
      </c>
      <c r="F103" s="145"/>
      <c r="G103" s="13"/>
      <c r="H103" s="24"/>
      <c r="ALL103" s="0"/>
      <c r="ALM103" s="0"/>
      <c r="ALN103" s="0"/>
      <c r="ALO103" s="0"/>
      <c r="ALP103" s="0"/>
      <c r="ALQ103" s="0"/>
      <c r="ALR103" s="0"/>
      <c r="ALS103" s="0"/>
      <c r="ALT103" s="0"/>
      <c r="ALU103" s="0"/>
      <c r="ALV103" s="0"/>
      <c r="ALW103" s="0"/>
      <c r="ALX103" s="0"/>
      <c r="ALY103" s="0"/>
      <c r="ALZ103" s="0"/>
      <c r="AMA103" s="0"/>
      <c r="AMB103" s="0"/>
      <c r="AMC103" s="0"/>
      <c r="AMD103" s="0"/>
      <c r="AME103" s="0"/>
      <c r="AMF103" s="0"/>
      <c r="AMG103" s="0"/>
      <c r="AMH103" s="0"/>
      <c r="AMI103" s="0"/>
      <c r="AMJ103" s="0"/>
      <c r="AMK103" s="0"/>
    </row>
    <row r="104" s="7" customFormat="true" ht="15.75" hidden="false" customHeight="true" outlineLevel="0" collapsed="false">
      <c r="B104" s="101"/>
      <c r="C104" s="64" t="s">
        <v>107</v>
      </c>
      <c r="D104" s="60" t="n">
        <v>18</v>
      </c>
      <c r="E104" s="60" t="n">
        <v>1</v>
      </c>
      <c r="F104" s="145"/>
      <c r="G104" s="13"/>
      <c r="H104" s="24"/>
      <c r="ALL104" s="0"/>
      <c r="ALM104" s="0"/>
      <c r="ALN104" s="0"/>
      <c r="ALO104" s="0"/>
      <c r="ALP104" s="0"/>
      <c r="ALQ104" s="0"/>
      <c r="ALR104" s="0"/>
      <c r="ALS104" s="0"/>
      <c r="ALT104" s="0"/>
      <c r="ALU104" s="0"/>
      <c r="ALV104" s="0"/>
      <c r="ALW104" s="0"/>
      <c r="ALX104" s="0"/>
      <c r="ALY104" s="0"/>
      <c r="ALZ104" s="0"/>
      <c r="AMA104" s="0"/>
      <c r="AMB104" s="0"/>
      <c r="AMC104" s="0"/>
      <c r="AMD104" s="0"/>
      <c r="AME104" s="0"/>
      <c r="AMF104" s="0"/>
      <c r="AMG104" s="0"/>
      <c r="AMH104" s="0"/>
      <c r="AMI104" s="0"/>
      <c r="AMJ104" s="0"/>
      <c r="AMK104" s="0"/>
    </row>
    <row r="105" s="7" customFormat="true" ht="15.75" hidden="false" customHeight="true" outlineLevel="0" collapsed="false">
      <c r="B105" s="101" t="s">
        <v>108</v>
      </c>
      <c r="C105" s="61" t="s">
        <v>33</v>
      </c>
      <c r="D105" s="61"/>
      <c r="E105" s="61"/>
      <c r="F105" s="145" t="n">
        <v>1</v>
      </c>
      <c r="G105" s="13"/>
      <c r="H105" s="24"/>
      <c r="ALL105" s="0"/>
      <c r="ALM105" s="0"/>
      <c r="ALN105" s="0"/>
      <c r="ALO105" s="0"/>
      <c r="ALP105" s="0"/>
      <c r="ALQ105" s="0"/>
      <c r="ALR105" s="0"/>
      <c r="ALS105" s="0"/>
      <c r="ALT105" s="0"/>
      <c r="ALU105" s="0"/>
      <c r="ALV105" s="0"/>
      <c r="ALW105" s="0"/>
      <c r="ALX105" s="0"/>
      <c r="ALY105" s="0"/>
      <c r="ALZ105" s="0"/>
      <c r="AMA105" s="0"/>
      <c r="AMB105" s="0"/>
      <c r="AMC105" s="0"/>
      <c r="AMD105" s="0"/>
      <c r="AME105" s="0"/>
      <c r="AMF105" s="0"/>
      <c r="AMG105" s="0"/>
      <c r="AMH105" s="0"/>
      <c r="AMI105" s="0"/>
      <c r="AMJ105" s="0"/>
      <c r="AMK105" s="0"/>
    </row>
    <row r="106" s="7" customFormat="true" ht="15.75" hidden="false" customHeight="true" outlineLevel="0" collapsed="false">
      <c r="B106" s="101"/>
      <c r="C106" s="64" t="s">
        <v>84</v>
      </c>
      <c r="D106" s="171" t="n">
        <v>30</v>
      </c>
      <c r="E106" s="171" t="n">
        <v>1</v>
      </c>
      <c r="F106" s="145"/>
      <c r="G106" s="13"/>
      <c r="H106" s="24"/>
      <c r="ALL106" s="0"/>
      <c r="ALM106" s="0"/>
      <c r="ALN106" s="0"/>
      <c r="ALO106" s="0"/>
      <c r="ALP106" s="0"/>
      <c r="ALQ106" s="0"/>
      <c r="ALR106" s="0"/>
      <c r="ALS106" s="0"/>
      <c r="ALT106" s="0"/>
      <c r="ALU106" s="0"/>
      <c r="ALV106" s="0"/>
      <c r="ALW106" s="0"/>
      <c r="ALX106" s="0"/>
      <c r="ALY106" s="0"/>
      <c r="ALZ106" s="0"/>
      <c r="AMA106" s="0"/>
      <c r="AMB106" s="0"/>
      <c r="AMC106" s="0"/>
      <c r="AMD106" s="0"/>
      <c r="AME106" s="0"/>
      <c r="AMF106" s="0"/>
      <c r="AMG106" s="0"/>
      <c r="AMH106" s="0"/>
      <c r="AMI106" s="0"/>
      <c r="AMJ106" s="0"/>
      <c r="AMK106" s="0"/>
    </row>
    <row r="107" s="172" customFormat="true" ht="15.75" hidden="false" customHeight="true" outlineLevel="0" collapsed="false">
      <c r="B107" s="48" t="s">
        <v>109</v>
      </c>
      <c r="C107" s="61" t="s">
        <v>36</v>
      </c>
      <c r="D107" s="61"/>
      <c r="E107" s="61"/>
      <c r="F107" s="145" t="n">
        <v>1</v>
      </c>
      <c r="G107" s="13"/>
      <c r="H107" s="24"/>
      <c r="ALL107" s="0"/>
      <c r="ALM107" s="0"/>
      <c r="ALN107" s="0"/>
      <c r="ALO107" s="0"/>
      <c r="ALP107" s="0"/>
      <c r="ALQ107" s="0"/>
      <c r="ALR107" s="0"/>
      <c r="ALS107" s="0"/>
      <c r="ALT107" s="0"/>
      <c r="ALU107" s="0"/>
      <c r="ALV107" s="0"/>
      <c r="ALW107" s="0"/>
      <c r="ALX107" s="0"/>
      <c r="ALY107" s="0"/>
      <c r="ALZ107" s="0"/>
      <c r="AMA107" s="0"/>
      <c r="AMB107" s="0"/>
      <c r="AMC107" s="0"/>
      <c r="AMD107" s="0"/>
      <c r="AME107" s="0"/>
      <c r="AMF107" s="0"/>
      <c r="AMG107" s="0"/>
      <c r="AMH107" s="0"/>
      <c r="AMI107" s="0"/>
      <c r="AMJ107" s="0"/>
      <c r="AMK107" s="0"/>
    </row>
    <row r="108" s="172" customFormat="true" ht="15.75" hidden="false" customHeight="true" outlineLevel="0" collapsed="false">
      <c r="B108" s="48"/>
      <c r="C108" s="64" t="s">
        <v>110</v>
      </c>
      <c r="D108" s="60" t="n">
        <v>20</v>
      </c>
      <c r="E108" s="60" t="n">
        <v>1</v>
      </c>
      <c r="F108" s="145"/>
      <c r="G108" s="13"/>
      <c r="H108" s="24"/>
      <c r="ALL108" s="0"/>
      <c r="ALM108" s="0"/>
      <c r="ALN108" s="0"/>
      <c r="ALO108" s="0"/>
      <c r="ALP108" s="0"/>
      <c r="ALQ108" s="0"/>
      <c r="ALR108" s="0"/>
      <c r="ALS108" s="0"/>
      <c r="ALT108" s="0"/>
      <c r="ALU108" s="0"/>
      <c r="ALV108" s="0"/>
      <c r="ALW108" s="0"/>
      <c r="ALX108" s="0"/>
      <c r="ALY108" s="0"/>
      <c r="ALZ108" s="0"/>
      <c r="AMA108" s="0"/>
      <c r="AMB108" s="0"/>
      <c r="AMC108" s="0"/>
      <c r="AMD108" s="0"/>
      <c r="AME108" s="0"/>
      <c r="AMF108" s="0"/>
      <c r="AMG108" s="0"/>
      <c r="AMH108" s="0"/>
      <c r="AMI108" s="0"/>
      <c r="AMJ108" s="0"/>
      <c r="AMK108" s="0"/>
    </row>
    <row r="109" s="172" customFormat="true" ht="15.75" hidden="false" customHeight="true" outlineLevel="0" collapsed="false">
      <c r="B109" s="150"/>
      <c r="C109" s="173" t="s">
        <v>38</v>
      </c>
      <c r="D109" s="174" t="n">
        <f aca="false">SUM(D90:D108)</f>
        <v>327</v>
      </c>
      <c r="E109" s="174"/>
      <c r="F109" s="154" t="n">
        <f aca="false">F89+F92+F98+F102+F105+F107+F95</f>
        <v>16</v>
      </c>
      <c r="G109" s="71"/>
      <c r="H109" s="10"/>
      <c r="ALL109" s="0"/>
      <c r="ALM109" s="0"/>
      <c r="ALN109" s="0"/>
      <c r="ALO109" s="0"/>
      <c r="ALP109" s="0"/>
      <c r="ALQ109" s="0"/>
      <c r="ALR109" s="0"/>
      <c r="ALS109" s="0"/>
      <c r="ALT109" s="0"/>
      <c r="ALU109" s="0"/>
      <c r="ALV109" s="0"/>
      <c r="ALW109" s="0"/>
      <c r="ALX109" s="0"/>
      <c r="ALY109" s="0"/>
      <c r="ALZ109" s="0"/>
      <c r="AMA109" s="0"/>
      <c r="AMB109" s="0"/>
      <c r="AMC109" s="0"/>
      <c r="AMD109" s="0"/>
      <c r="AME109" s="0"/>
      <c r="AMF109" s="0"/>
      <c r="AMG109" s="0"/>
      <c r="AMH109" s="0"/>
      <c r="AMI109" s="0"/>
      <c r="AMJ109" s="0"/>
      <c r="AMK109" s="0"/>
    </row>
    <row r="110" s="172" customFormat="true" ht="15.75" hidden="false" customHeight="true" outlineLevel="0" collapsed="false">
      <c r="B110" s="72" t="s">
        <v>111</v>
      </c>
      <c r="C110" s="73" t="s">
        <v>88</v>
      </c>
      <c r="D110" s="74" t="n">
        <v>560</v>
      </c>
      <c r="E110" s="75"/>
      <c r="F110" s="157" t="n">
        <v>14</v>
      </c>
      <c r="G110" s="158"/>
      <c r="H110" s="10"/>
      <c r="ALL110" s="0"/>
      <c r="ALM110" s="0"/>
      <c r="ALN110" s="0"/>
      <c r="ALO110" s="0"/>
      <c r="ALP110" s="0"/>
      <c r="ALQ110" s="0"/>
      <c r="ALR110" s="0"/>
      <c r="ALS110" s="0"/>
      <c r="ALT110" s="0"/>
      <c r="ALU110" s="0"/>
      <c r="ALV110" s="0"/>
      <c r="ALW110" s="0"/>
      <c r="ALX110" s="0"/>
      <c r="ALY110" s="0"/>
      <c r="ALZ110" s="0"/>
      <c r="AMA110" s="0"/>
      <c r="AMB110" s="0"/>
      <c r="AMC110" s="0"/>
      <c r="AMD110" s="0"/>
      <c r="AME110" s="0"/>
      <c r="AMF110" s="0"/>
      <c r="AMG110" s="0"/>
      <c r="AMH110" s="0"/>
      <c r="AMI110" s="0"/>
      <c r="AMJ110" s="0"/>
      <c r="AMK110" s="0"/>
    </row>
    <row r="111" s="172" customFormat="true" ht="15.75" hidden="false" customHeight="true" outlineLevel="0" collapsed="false">
      <c r="B111" s="77"/>
      <c r="C111" s="175"/>
      <c r="D111" s="176"/>
      <c r="E111" s="176"/>
      <c r="F111" s="176"/>
      <c r="G111" s="177"/>
      <c r="H111" s="10"/>
      <c r="ALL111" s="0"/>
      <c r="ALM111" s="0"/>
      <c r="ALN111" s="0"/>
      <c r="ALO111" s="0"/>
      <c r="ALP111" s="0"/>
      <c r="ALQ111" s="0"/>
      <c r="ALR111" s="0"/>
      <c r="ALS111" s="0"/>
      <c r="ALT111" s="0"/>
      <c r="ALU111" s="0"/>
      <c r="ALV111" s="0"/>
      <c r="ALW111" s="0"/>
      <c r="ALX111" s="0"/>
      <c r="ALY111" s="0"/>
      <c r="ALZ111" s="0"/>
      <c r="AMA111" s="0"/>
      <c r="AMB111" s="0"/>
      <c r="AMC111" s="0"/>
      <c r="AMD111" s="0"/>
      <c r="AME111" s="0"/>
      <c r="AMF111" s="0"/>
      <c r="AMG111" s="0"/>
      <c r="AMH111" s="0"/>
      <c r="AMI111" s="0"/>
      <c r="AMJ111" s="0"/>
      <c r="AMK111" s="0"/>
    </row>
    <row r="112" s="172" customFormat="true" ht="15.75" hidden="false" customHeight="true" outlineLevel="0" collapsed="false">
      <c r="G112" s="177"/>
      <c r="H112" s="10"/>
      <c r="ALL112" s="0"/>
      <c r="ALM112" s="0"/>
      <c r="ALN112" s="0"/>
      <c r="ALO112" s="0"/>
      <c r="ALP112" s="0"/>
      <c r="ALQ112" s="0"/>
      <c r="ALR112" s="0"/>
      <c r="ALS112" s="0"/>
      <c r="ALT112" s="0"/>
      <c r="ALU112" s="0"/>
      <c r="ALV112" s="0"/>
      <c r="ALW112" s="0"/>
      <c r="ALX112" s="0"/>
      <c r="ALY112" s="0"/>
      <c r="ALZ112" s="0"/>
      <c r="AMA112" s="0"/>
      <c r="AMB112" s="0"/>
      <c r="AMC112" s="0"/>
      <c r="AMD112" s="0"/>
      <c r="AME112" s="0"/>
      <c r="AMF112" s="0"/>
      <c r="AMG112" s="0"/>
      <c r="AMH112" s="0"/>
      <c r="AMI112" s="0"/>
      <c r="AMJ112" s="0"/>
      <c r="AMK112" s="0"/>
    </row>
    <row r="113" s="172" customFormat="true" ht="15.75" hidden="false" customHeight="true" outlineLevel="0" collapsed="false">
      <c r="B113" s="8"/>
      <c r="C113" s="8"/>
      <c r="D113" s="8"/>
      <c r="E113" s="8"/>
      <c r="F113" s="8"/>
      <c r="G113" s="9"/>
      <c r="H113" s="10"/>
      <c r="ALL113" s="0"/>
      <c r="ALM113" s="0"/>
      <c r="ALN113" s="0"/>
      <c r="ALO113" s="0"/>
      <c r="ALP113" s="0"/>
      <c r="ALQ113" s="0"/>
      <c r="ALR113" s="0"/>
      <c r="ALS113" s="0"/>
      <c r="ALT113" s="0"/>
      <c r="ALU113" s="0"/>
      <c r="ALV113" s="0"/>
      <c r="ALW113" s="0"/>
      <c r="ALX113" s="0"/>
      <c r="ALY113" s="0"/>
      <c r="ALZ113" s="0"/>
      <c r="AMA113" s="0"/>
      <c r="AMB113" s="0"/>
      <c r="AMC113" s="0"/>
      <c r="AMD113" s="0"/>
      <c r="AME113" s="0"/>
      <c r="AMF113" s="0"/>
      <c r="AMG113" s="0"/>
      <c r="AMH113" s="0"/>
      <c r="AMI113" s="0"/>
      <c r="AMJ113" s="0"/>
      <c r="AMK113" s="0"/>
    </row>
    <row r="114" s="7" customFormat="true" ht="15.75" hidden="false" customHeight="true" outlineLevel="0" collapsed="false">
      <c r="B114" s="11" t="s">
        <v>112</v>
      </c>
      <c r="C114" s="11"/>
      <c r="D114" s="12"/>
      <c r="E114" s="12"/>
      <c r="F114" s="12"/>
      <c r="G114" s="13"/>
      <c r="H114" s="178"/>
      <c r="ALL114" s="0"/>
      <c r="ALM114" s="0"/>
      <c r="ALN114" s="0"/>
      <c r="ALO114" s="0"/>
      <c r="ALP114" s="0"/>
      <c r="ALQ114" s="0"/>
      <c r="ALR114" s="0"/>
      <c r="ALS114" s="0"/>
      <c r="ALT114" s="0"/>
      <c r="ALU114" s="0"/>
      <c r="ALV114" s="0"/>
      <c r="ALW114" s="0"/>
      <c r="ALX114" s="0"/>
      <c r="ALY114" s="0"/>
      <c r="ALZ114" s="0"/>
      <c r="AMA114" s="0"/>
      <c r="AMB114" s="0"/>
      <c r="AMC114" s="0"/>
      <c r="AMD114" s="0"/>
      <c r="AME114" s="0"/>
      <c r="AMF114" s="0"/>
      <c r="AMG114" s="0"/>
      <c r="AMH114" s="0"/>
      <c r="AMI114" s="0"/>
      <c r="AMJ114" s="0"/>
      <c r="AMK114" s="0"/>
    </row>
    <row r="115" s="7" customFormat="true" ht="15.75" hidden="false" customHeight="true" outlineLevel="0" collapsed="false">
      <c r="B115" s="179" t="s">
        <v>1</v>
      </c>
      <c r="C115" s="179"/>
      <c r="D115" s="180" t="s">
        <v>2</v>
      </c>
      <c r="E115" s="180" t="s">
        <v>3</v>
      </c>
      <c r="F115" s="16" t="s">
        <v>4</v>
      </c>
      <c r="G115" s="17"/>
      <c r="H115" s="178"/>
      <c r="ALL115" s="0"/>
      <c r="ALM115" s="0"/>
      <c r="ALN115" s="0"/>
      <c r="ALO115" s="0"/>
      <c r="ALP115" s="0"/>
      <c r="ALQ115" s="0"/>
      <c r="ALR115" s="0"/>
      <c r="ALS115" s="0"/>
      <c r="ALT115" s="0"/>
      <c r="ALU115" s="0"/>
      <c r="ALV115" s="0"/>
      <c r="ALW115" s="0"/>
      <c r="ALX115" s="0"/>
      <c r="ALY115" s="0"/>
      <c r="ALZ115" s="0"/>
      <c r="AMA115" s="0"/>
      <c r="AMB115" s="0"/>
      <c r="AMC115" s="0"/>
      <c r="AMD115" s="0"/>
      <c r="AME115" s="0"/>
      <c r="AMF115" s="0"/>
      <c r="AMG115" s="0"/>
      <c r="AMH115" s="0"/>
      <c r="AMI115" s="0"/>
      <c r="AMJ115" s="0"/>
      <c r="AMK115" s="0"/>
    </row>
    <row r="116" s="7" customFormat="true" ht="15.75" hidden="false" customHeight="true" outlineLevel="0" collapsed="false">
      <c r="B116" s="181" t="s">
        <v>113</v>
      </c>
      <c r="C116" s="19" t="s">
        <v>12</v>
      </c>
      <c r="D116" s="19"/>
      <c r="E116" s="19"/>
      <c r="F116" s="182" t="n">
        <v>2</v>
      </c>
      <c r="G116" s="17"/>
      <c r="H116" s="178"/>
      <c r="ALL116" s="0"/>
      <c r="ALM116" s="0"/>
      <c r="ALN116" s="0"/>
      <c r="ALO116" s="0"/>
      <c r="ALP116" s="0"/>
      <c r="ALQ116" s="0"/>
      <c r="ALR116" s="0"/>
      <c r="ALS116" s="0"/>
      <c r="ALT116" s="0"/>
      <c r="ALU116" s="0"/>
      <c r="ALV116" s="0"/>
      <c r="ALW116" s="0"/>
      <c r="ALX116" s="0"/>
      <c r="ALY116" s="0"/>
      <c r="ALZ116" s="0"/>
      <c r="AMA116" s="0"/>
      <c r="AMB116" s="0"/>
      <c r="AMC116" s="0"/>
      <c r="AMD116" s="0"/>
      <c r="AME116" s="0"/>
      <c r="AMF116" s="0"/>
      <c r="AMG116" s="0"/>
      <c r="AMH116" s="0"/>
      <c r="AMI116" s="0"/>
      <c r="AMJ116" s="0"/>
      <c r="AMK116" s="0"/>
    </row>
    <row r="117" s="7" customFormat="true" ht="15.75" hidden="false" customHeight="true" outlineLevel="0" collapsed="false">
      <c r="B117" s="181"/>
      <c r="C117" s="144" t="s">
        <v>114</v>
      </c>
      <c r="D117" s="183" t="n">
        <v>12</v>
      </c>
      <c r="E117" s="183" t="n">
        <v>1</v>
      </c>
      <c r="F117" s="182"/>
      <c r="G117" s="17"/>
      <c r="H117" s="178"/>
      <c r="ALL117" s="0"/>
      <c r="ALM117" s="0"/>
      <c r="ALN117" s="0"/>
      <c r="ALO117" s="0"/>
      <c r="ALP117" s="0"/>
      <c r="ALQ117" s="0"/>
      <c r="ALR117" s="0"/>
      <c r="ALS117" s="0"/>
      <c r="ALT117" s="0"/>
      <c r="ALU117" s="0"/>
      <c r="ALV117" s="0"/>
      <c r="ALW117" s="0"/>
      <c r="ALX117" s="0"/>
      <c r="ALY117" s="0"/>
      <c r="ALZ117" s="0"/>
      <c r="AMA117" s="0"/>
      <c r="AMB117" s="0"/>
      <c r="AMC117" s="0"/>
      <c r="AMD117" s="0"/>
      <c r="AME117" s="0"/>
      <c r="AMF117" s="0"/>
      <c r="AMG117" s="0"/>
      <c r="AMH117" s="0"/>
      <c r="AMI117" s="0"/>
      <c r="AMJ117" s="0"/>
      <c r="AMK117" s="0"/>
    </row>
    <row r="118" s="7" customFormat="true" ht="15.75" hidden="false" customHeight="true" outlineLevel="0" collapsed="false">
      <c r="B118" s="181"/>
      <c r="C118" s="29" t="s">
        <v>115</v>
      </c>
      <c r="D118" s="183" t="n">
        <v>12</v>
      </c>
      <c r="E118" s="183" t="n">
        <v>1</v>
      </c>
      <c r="F118" s="182"/>
      <c r="G118" s="17"/>
      <c r="H118" s="24"/>
      <c r="ALL118" s="0"/>
      <c r="ALM118" s="0"/>
      <c r="ALN118" s="0"/>
      <c r="ALO118" s="0"/>
      <c r="ALP118" s="0"/>
      <c r="ALQ118" s="0"/>
      <c r="ALR118" s="0"/>
      <c r="ALS118" s="0"/>
      <c r="ALT118" s="0"/>
      <c r="ALU118" s="0"/>
      <c r="ALV118" s="0"/>
      <c r="ALW118" s="0"/>
      <c r="ALX118" s="0"/>
      <c r="ALY118" s="0"/>
      <c r="ALZ118" s="0"/>
      <c r="AMA118" s="0"/>
      <c r="AMB118" s="0"/>
      <c r="AMC118" s="0"/>
      <c r="AMD118" s="0"/>
      <c r="AME118" s="0"/>
      <c r="AMF118" s="0"/>
      <c r="AMG118" s="0"/>
      <c r="AMH118" s="0"/>
      <c r="AMI118" s="0"/>
      <c r="AMJ118" s="0"/>
      <c r="AMK118" s="0"/>
    </row>
    <row r="119" s="7" customFormat="true" ht="15.75" hidden="false" customHeight="true" outlineLevel="0" collapsed="false">
      <c r="B119" s="181"/>
      <c r="C119" s="64" t="s">
        <v>116</v>
      </c>
      <c r="D119" s="183" t="n">
        <v>14</v>
      </c>
      <c r="E119" s="183" t="n">
        <v>1</v>
      </c>
      <c r="F119" s="182"/>
      <c r="G119" s="17"/>
      <c r="H119" s="24"/>
      <c r="ALL119" s="0"/>
      <c r="ALM119" s="0"/>
      <c r="ALN119" s="0"/>
      <c r="ALO119" s="0"/>
      <c r="ALP119" s="0"/>
      <c r="ALQ119" s="0"/>
      <c r="ALR119" s="0"/>
      <c r="ALS119" s="0"/>
      <c r="ALT119" s="0"/>
      <c r="ALU119" s="0"/>
      <c r="ALV119" s="0"/>
      <c r="ALW119" s="0"/>
      <c r="ALX119" s="0"/>
      <c r="ALY119" s="0"/>
      <c r="ALZ119" s="0"/>
      <c r="AMA119" s="0"/>
      <c r="AMB119" s="0"/>
      <c r="AMC119" s="0"/>
      <c r="AMD119" s="0"/>
      <c r="AME119" s="0"/>
      <c r="AMF119" s="0"/>
      <c r="AMG119" s="0"/>
      <c r="AMH119" s="0"/>
      <c r="AMI119" s="0"/>
      <c r="AMJ119" s="0"/>
      <c r="AMK119" s="0"/>
    </row>
    <row r="120" s="7" customFormat="true" ht="15.75" hidden="false" customHeight="true" outlineLevel="0" collapsed="false">
      <c r="B120" s="184" t="s">
        <v>117</v>
      </c>
      <c r="C120" s="92" t="s">
        <v>91</v>
      </c>
      <c r="D120" s="92"/>
      <c r="E120" s="92"/>
      <c r="F120" s="185" t="n">
        <v>5</v>
      </c>
      <c r="G120" s="13"/>
      <c r="H120" s="24"/>
      <c r="ALL120" s="0"/>
      <c r="ALM120" s="0"/>
      <c r="ALN120" s="0"/>
      <c r="ALO120" s="0"/>
      <c r="ALP120" s="0"/>
      <c r="ALQ120" s="0"/>
      <c r="ALR120" s="0"/>
      <c r="ALS120" s="0"/>
      <c r="ALT120" s="0"/>
      <c r="ALU120" s="0"/>
      <c r="ALV120" s="0"/>
      <c r="ALW120" s="0"/>
      <c r="ALX120" s="0"/>
      <c r="ALY120" s="0"/>
      <c r="ALZ120" s="0"/>
      <c r="AMA120" s="0"/>
      <c r="AMB120" s="0"/>
      <c r="AMC120" s="0"/>
      <c r="AMD120" s="0"/>
      <c r="AME120" s="0"/>
      <c r="AMF120" s="0"/>
      <c r="AMG120" s="0"/>
      <c r="AMH120" s="0"/>
      <c r="AMI120" s="0"/>
      <c r="AMJ120" s="0"/>
      <c r="AMK120" s="0"/>
    </row>
    <row r="121" s="7" customFormat="true" ht="15.75" hidden="false" customHeight="true" outlineLevel="0" collapsed="false">
      <c r="B121" s="184"/>
      <c r="C121" s="186" t="s">
        <v>118</v>
      </c>
      <c r="D121" s="133" t="n">
        <v>20</v>
      </c>
      <c r="E121" s="187" t="n">
        <v>2</v>
      </c>
      <c r="F121" s="185"/>
      <c r="G121" s="13"/>
      <c r="H121" s="24"/>
      <c r="ALL121" s="0"/>
      <c r="ALM121" s="0"/>
      <c r="ALN121" s="0"/>
      <c r="ALO121" s="0"/>
      <c r="ALP121" s="0"/>
      <c r="ALQ121" s="0"/>
      <c r="ALR121" s="0"/>
      <c r="ALS121" s="0"/>
      <c r="ALT121" s="0"/>
      <c r="ALU121" s="0"/>
      <c r="ALV121" s="0"/>
      <c r="ALW121" s="0"/>
      <c r="ALX121" s="0"/>
      <c r="ALY121" s="0"/>
      <c r="ALZ121" s="0"/>
      <c r="AMA121" s="0"/>
      <c r="AMB121" s="0"/>
      <c r="AMC121" s="0"/>
      <c r="AMD121" s="0"/>
      <c r="AME121" s="0"/>
      <c r="AMF121" s="0"/>
      <c r="AMG121" s="0"/>
      <c r="AMH121" s="0"/>
      <c r="AMI121" s="0"/>
      <c r="AMJ121" s="0"/>
      <c r="AMK121" s="0"/>
    </row>
    <row r="122" s="7" customFormat="true" ht="15.75" hidden="false" customHeight="true" outlineLevel="0" collapsed="false">
      <c r="B122" s="184"/>
      <c r="C122" s="188" t="s">
        <v>119</v>
      </c>
      <c r="D122" s="189" t="n">
        <v>36</v>
      </c>
      <c r="E122" s="187" t="n">
        <v>3</v>
      </c>
      <c r="F122" s="185"/>
      <c r="G122" s="13"/>
      <c r="H122" s="24"/>
      <c r="ALL122" s="0"/>
      <c r="ALM122" s="0"/>
      <c r="ALN122" s="0"/>
      <c r="ALO122" s="0"/>
      <c r="ALP122" s="0"/>
      <c r="ALQ122" s="0"/>
      <c r="ALR122" s="0"/>
      <c r="ALS122" s="0"/>
      <c r="ALT122" s="0"/>
      <c r="ALU122" s="0"/>
      <c r="ALV122" s="0"/>
      <c r="ALW122" s="0"/>
      <c r="ALX122" s="0"/>
      <c r="ALY122" s="0"/>
      <c r="ALZ122" s="0"/>
      <c r="AMA122" s="0"/>
      <c r="AMB122" s="0"/>
      <c r="AMC122" s="0"/>
      <c r="AMD122" s="0"/>
      <c r="AME122" s="0"/>
      <c r="AMF122" s="0"/>
      <c r="AMG122" s="0"/>
      <c r="AMH122" s="0"/>
      <c r="AMI122" s="0"/>
      <c r="AMJ122" s="0"/>
      <c r="AMK122" s="0"/>
    </row>
    <row r="123" s="7" customFormat="true" ht="15.75" hidden="false" customHeight="true" outlineLevel="0" collapsed="false">
      <c r="B123" s="184"/>
      <c r="C123" s="186" t="s">
        <v>120</v>
      </c>
      <c r="D123" s="190" t="n">
        <v>45</v>
      </c>
      <c r="E123" s="187" t="n">
        <v>4</v>
      </c>
      <c r="F123" s="185"/>
      <c r="G123" s="13"/>
      <c r="H123" s="24"/>
      <c r="ALL123" s="0"/>
      <c r="ALM123" s="0"/>
      <c r="ALN123" s="0"/>
      <c r="ALO123" s="0"/>
      <c r="ALP123" s="0"/>
      <c r="ALQ123" s="0"/>
      <c r="ALR123" s="0"/>
      <c r="ALS123" s="0"/>
      <c r="ALT123" s="0"/>
      <c r="ALU123" s="0"/>
      <c r="ALV123" s="0"/>
      <c r="ALW123" s="0"/>
      <c r="ALX123" s="0"/>
      <c r="ALY123" s="0"/>
      <c r="ALZ123" s="0"/>
      <c r="AMA123" s="0"/>
      <c r="AMB123" s="0"/>
      <c r="AMC123" s="0"/>
      <c r="AMD123" s="0"/>
      <c r="AME123" s="0"/>
      <c r="AMF123" s="0"/>
      <c r="AMG123" s="0"/>
      <c r="AMH123" s="0"/>
      <c r="AMI123" s="0"/>
      <c r="AMJ123" s="0"/>
      <c r="AMK123" s="0"/>
    </row>
    <row r="124" s="7" customFormat="true" ht="15.75" hidden="false" customHeight="true" outlineLevel="0" collapsed="false">
      <c r="B124" s="41" t="s">
        <v>121</v>
      </c>
      <c r="C124" s="92" t="s">
        <v>74</v>
      </c>
      <c r="D124" s="92"/>
      <c r="E124" s="92"/>
      <c r="F124" s="185" t="n">
        <v>1</v>
      </c>
      <c r="G124" s="13"/>
      <c r="H124" s="24"/>
      <c r="ALL124" s="0"/>
      <c r="ALM124" s="0"/>
      <c r="ALN124" s="0"/>
      <c r="ALO124" s="0"/>
      <c r="ALP124" s="0"/>
      <c r="ALQ124" s="0"/>
      <c r="ALR124" s="0"/>
      <c r="ALS124" s="0"/>
      <c r="ALT124" s="0"/>
      <c r="ALU124" s="0"/>
      <c r="ALV124" s="0"/>
      <c r="ALW124" s="0"/>
      <c r="ALX124" s="0"/>
      <c r="ALY124" s="0"/>
      <c r="ALZ124" s="0"/>
      <c r="AMA124" s="0"/>
      <c r="AMB124" s="0"/>
      <c r="AMC124" s="0"/>
      <c r="AMD124" s="0"/>
      <c r="AME124" s="0"/>
      <c r="AMF124" s="0"/>
      <c r="AMG124" s="0"/>
      <c r="AMH124" s="0"/>
      <c r="AMI124" s="0"/>
      <c r="AMJ124" s="0"/>
      <c r="AMK124" s="0"/>
    </row>
    <row r="125" s="7" customFormat="true" ht="15.75" hidden="false" customHeight="true" outlineLevel="0" collapsed="false">
      <c r="B125" s="41"/>
      <c r="C125" s="186" t="s">
        <v>122</v>
      </c>
      <c r="D125" s="189" t="n">
        <v>20</v>
      </c>
      <c r="E125" s="187" t="n">
        <v>1</v>
      </c>
      <c r="F125" s="185"/>
      <c r="G125" s="13"/>
      <c r="H125" s="24"/>
      <c r="ALL125" s="0"/>
      <c r="ALM125" s="0"/>
      <c r="ALN125" s="0"/>
      <c r="ALO125" s="0"/>
      <c r="ALP125" s="0"/>
      <c r="ALQ125" s="0"/>
      <c r="ALR125" s="0"/>
      <c r="ALS125" s="0"/>
      <c r="ALT125" s="0"/>
      <c r="ALU125" s="0"/>
      <c r="ALV125" s="0"/>
      <c r="ALW125" s="0"/>
      <c r="ALX125" s="0"/>
      <c r="ALY125" s="0"/>
      <c r="ALZ125" s="0"/>
      <c r="AMA125" s="0"/>
      <c r="AMB125" s="0"/>
      <c r="AMC125" s="0"/>
      <c r="AMD125" s="0"/>
      <c r="AME125" s="0"/>
      <c r="AMF125" s="0"/>
      <c r="AMG125" s="0"/>
      <c r="AMH125" s="0"/>
      <c r="AMI125" s="0"/>
      <c r="AMJ125" s="0"/>
      <c r="AMK125" s="0"/>
    </row>
    <row r="126" s="7" customFormat="true" ht="15.75" hidden="false" customHeight="true" outlineLevel="0" collapsed="false">
      <c r="B126" s="41"/>
      <c r="C126" s="186" t="s">
        <v>123</v>
      </c>
      <c r="D126" s="133" t="n">
        <v>14</v>
      </c>
      <c r="E126" s="187" t="n">
        <v>1</v>
      </c>
      <c r="F126" s="185"/>
      <c r="G126" s="13"/>
      <c r="H126" s="24"/>
      <c r="ALL126" s="0"/>
      <c r="ALM126" s="0"/>
      <c r="ALN126" s="0"/>
      <c r="ALO126" s="0"/>
      <c r="ALP126" s="0"/>
      <c r="ALQ126" s="0"/>
      <c r="ALR126" s="0"/>
      <c r="ALS126" s="0"/>
      <c r="ALT126" s="0"/>
      <c r="ALU126" s="0"/>
      <c r="ALV126" s="0"/>
      <c r="ALW126" s="0"/>
      <c r="ALX126" s="0"/>
      <c r="ALY126" s="0"/>
      <c r="ALZ126" s="0"/>
      <c r="AMA126" s="0"/>
      <c r="AMB126" s="0"/>
      <c r="AMC126" s="0"/>
      <c r="AMD126" s="0"/>
      <c r="AME126" s="0"/>
      <c r="AMF126" s="0"/>
      <c r="AMG126" s="0"/>
      <c r="AMH126" s="0"/>
      <c r="AMI126" s="0"/>
      <c r="AMJ126" s="0"/>
      <c r="AMK126" s="0"/>
    </row>
    <row r="127" s="7" customFormat="true" ht="15.75" hidden="false" customHeight="true" outlineLevel="0" collapsed="false">
      <c r="B127" s="41" t="s">
        <v>124</v>
      </c>
      <c r="C127" s="92" t="s">
        <v>74</v>
      </c>
      <c r="D127" s="92"/>
      <c r="E127" s="92"/>
      <c r="F127" s="43" t="n">
        <v>2</v>
      </c>
      <c r="G127" s="33"/>
      <c r="H127" s="24"/>
      <c r="ALL127" s="0"/>
      <c r="ALM127" s="0"/>
      <c r="ALN127" s="0"/>
      <c r="ALO127" s="0"/>
      <c r="ALP127" s="0"/>
      <c r="ALQ127" s="0"/>
      <c r="ALR127" s="0"/>
      <c r="ALS127" s="0"/>
      <c r="ALT127" s="0"/>
      <c r="ALU127" s="0"/>
      <c r="ALV127" s="0"/>
      <c r="ALW127" s="0"/>
      <c r="ALX127" s="0"/>
      <c r="ALY127" s="0"/>
      <c r="ALZ127" s="0"/>
      <c r="AMA127" s="0"/>
      <c r="AMB127" s="0"/>
      <c r="AMC127" s="0"/>
      <c r="AMD127" s="0"/>
      <c r="AME127" s="0"/>
      <c r="AMF127" s="0"/>
      <c r="AMG127" s="0"/>
      <c r="AMH127" s="0"/>
      <c r="AMI127" s="0"/>
      <c r="AMJ127" s="0"/>
      <c r="AMK127" s="0"/>
    </row>
    <row r="128" s="7" customFormat="true" ht="15.75" hidden="false" customHeight="true" outlineLevel="0" collapsed="false">
      <c r="B128" s="41"/>
      <c r="C128" s="188" t="s">
        <v>125</v>
      </c>
      <c r="D128" s="189" t="n">
        <v>28</v>
      </c>
      <c r="E128" s="187" t="n">
        <v>1</v>
      </c>
      <c r="F128" s="43"/>
      <c r="G128" s="33"/>
      <c r="H128" s="24"/>
      <c r="ALL128" s="0"/>
      <c r="ALM128" s="0"/>
      <c r="ALN128" s="0"/>
      <c r="ALO128" s="0"/>
      <c r="ALP128" s="0"/>
      <c r="ALQ128" s="0"/>
      <c r="ALR128" s="0"/>
      <c r="ALS128" s="0"/>
      <c r="ALT128" s="0"/>
      <c r="ALU128" s="0"/>
      <c r="ALV128" s="0"/>
      <c r="ALW128" s="0"/>
      <c r="ALX128" s="0"/>
      <c r="ALY128" s="0"/>
      <c r="ALZ128" s="0"/>
      <c r="AMA128" s="0"/>
      <c r="AMB128" s="0"/>
      <c r="AMC128" s="0"/>
      <c r="AMD128" s="0"/>
      <c r="AME128" s="0"/>
      <c r="AMF128" s="0"/>
      <c r="AMG128" s="0"/>
      <c r="AMH128" s="0"/>
      <c r="AMI128" s="0"/>
      <c r="AMJ128" s="0"/>
      <c r="AMK128" s="0"/>
    </row>
    <row r="129" s="7" customFormat="true" ht="15.75" hidden="false" customHeight="true" outlineLevel="0" collapsed="false">
      <c r="B129" s="41"/>
      <c r="C129" s="188" t="s">
        <v>126</v>
      </c>
      <c r="D129" s="134" t="n">
        <v>22</v>
      </c>
      <c r="E129" s="191" t="n">
        <v>1</v>
      </c>
      <c r="F129" s="43"/>
      <c r="G129" s="33"/>
      <c r="H129" s="24"/>
      <c r="ALL129" s="0"/>
      <c r="ALM129" s="0"/>
      <c r="ALN129" s="0"/>
      <c r="ALO129" s="0"/>
      <c r="ALP129" s="0"/>
      <c r="ALQ129" s="0"/>
      <c r="ALR129" s="0"/>
      <c r="ALS129" s="0"/>
      <c r="ALT129" s="0"/>
      <c r="ALU129" s="0"/>
      <c r="ALV129" s="0"/>
      <c r="ALW129" s="0"/>
      <c r="ALX129" s="0"/>
      <c r="ALY129" s="0"/>
      <c r="ALZ129" s="0"/>
      <c r="AMA129" s="0"/>
      <c r="AMB129" s="0"/>
      <c r="AMC129" s="0"/>
      <c r="AMD129" s="0"/>
      <c r="AME129" s="0"/>
      <c r="AMF129" s="0"/>
      <c r="AMG129" s="0"/>
      <c r="AMH129" s="0"/>
      <c r="AMI129" s="0"/>
      <c r="AMJ129" s="0"/>
      <c r="AMK129" s="0"/>
    </row>
    <row r="130" s="7" customFormat="true" ht="15.75" hidden="false" customHeight="true" outlineLevel="0" collapsed="false">
      <c r="B130" s="41" t="s">
        <v>127</v>
      </c>
      <c r="C130" s="92" t="s">
        <v>128</v>
      </c>
      <c r="D130" s="92"/>
      <c r="E130" s="92"/>
      <c r="F130" s="43" t="n">
        <v>2</v>
      </c>
      <c r="G130" s="33"/>
      <c r="H130" s="24"/>
      <c r="ALL130" s="0"/>
      <c r="ALM130" s="0"/>
      <c r="ALN130" s="0"/>
      <c r="ALO130" s="0"/>
      <c r="ALP130" s="0"/>
      <c r="ALQ130" s="0"/>
      <c r="ALR130" s="0"/>
      <c r="ALS130" s="0"/>
      <c r="ALT130" s="0"/>
      <c r="ALU130" s="0"/>
      <c r="ALV130" s="0"/>
      <c r="ALW130" s="0"/>
      <c r="ALX130" s="0"/>
      <c r="ALY130" s="0"/>
      <c r="ALZ130" s="0"/>
      <c r="AMA130" s="0"/>
      <c r="AMB130" s="0"/>
      <c r="AMC130" s="0"/>
      <c r="AMD130" s="0"/>
      <c r="AME130" s="0"/>
      <c r="AMF130" s="0"/>
      <c r="AMG130" s="0"/>
      <c r="AMH130" s="0"/>
      <c r="AMI130" s="0"/>
      <c r="AMJ130" s="0"/>
      <c r="AMK130" s="0"/>
    </row>
    <row r="131" s="7" customFormat="true" ht="15.75" hidden="false" customHeight="true" outlineLevel="0" collapsed="false">
      <c r="B131" s="41"/>
      <c r="C131" s="186" t="s">
        <v>129</v>
      </c>
      <c r="D131" s="133" t="n">
        <v>20</v>
      </c>
      <c r="E131" s="187" t="n">
        <v>1</v>
      </c>
      <c r="F131" s="43"/>
      <c r="G131" s="33"/>
      <c r="H131" s="24"/>
      <c r="ALL131" s="0"/>
      <c r="ALM131" s="0"/>
      <c r="ALN131" s="0"/>
      <c r="ALO131" s="0"/>
      <c r="ALP131" s="0"/>
      <c r="ALQ131" s="0"/>
      <c r="ALR131" s="0"/>
      <c r="ALS131" s="0"/>
      <c r="ALT131" s="0"/>
      <c r="ALU131" s="0"/>
      <c r="ALV131" s="0"/>
      <c r="ALW131" s="0"/>
      <c r="ALX131" s="0"/>
      <c r="ALY131" s="0"/>
      <c r="ALZ131" s="0"/>
      <c r="AMA131" s="0"/>
      <c r="AMB131" s="0"/>
      <c r="AMC131" s="0"/>
      <c r="AMD131" s="0"/>
      <c r="AME131" s="0"/>
      <c r="AMF131" s="0"/>
      <c r="AMG131" s="0"/>
      <c r="AMH131" s="0"/>
      <c r="AMI131" s="0"/>
      <c r="AMJ131" s="0"/>
      <c r="AMK131" s="0"/>
    </row>
    <row r="132" s="7" customFormat="true" ht="15.75" hidden="false" customHeight="true" outlineLevel="0" collapsed="false">
      <c r="B132" s="41"/>
      <c r="C132" s="192" t="s">
        <v>130</v>
      </c>
      <c r="D132" s="136" t="n">
        <v>20</v>
      </c>
      <c r="E132" s="193" t="n">
        <v>1</v>
      </c>
      <c r="F132" s="43"/>
      <c r="G132" s="33"/>
      <c r="H132" s="24"/>
      <c r="ALL132" s="0"/>
      <c r="ALM132" s="0"/>
      <c r="ALN132" s="0"/>
      <c r="ALO132" s="0"/>
      <c r="ALP132" s="0"/>
      <c r="ALQ132" s="0"/>
      <c r="ALR132" s="0"/>
      <c r="ALS132" s="0"/>
      <c r="ALT132" s="0"/>
      <c r="ALU132" s="0"/>
      <c r="ALV132" s="0"/>
      <c r="ALW132" s="0"/>
      <c r="ALX132" s="0"/>
      <c r="ALY132" s="0"/>
      <c r="ALZ132" s="0"/>
      <c r="AMA132" s="0"/>
      <c r="AMB132" s="0"/>
      <c r="AMC132" s="0"/>
      <c r="AMD132" s="0"/>
      <c r="AME132" s="0"/>
      <c r="AMF132" s="0"/>
      <c r="AMG132" s="0"/>
      <c r="AMH132" s="0"/>
      <c r="AMI132" s="0"/>
      <c r="AMJ132" s="0"/>
      <c r="AMK132" s="0"/>
    </row>
    <row r="133" s="7" customFormat="true" ht="15.75" hidden="false" customHeight="true" outlineLevel="0" collapsed="false">
      <c r="B133" s="41" t="s">
        <v>131</v>
      </c>
      <c r="C133" s="42" t="s">
        <v>101</v>
      </c>
      <c r="D133" s="42"/>
      <c r="E133" s="42"/>
      <c r="F133" s="97" t="n">
        <f aca="false">6+1</f>
        <v>7</v>
      </c>
      <c r="G133" s="21"/>
      <c r="H133" s="24"/>
      <c r="ALL133" s="0"/>
      <c r="ALM133" s="0"/>
      <c r="ALN133" s="0"/>
      <c r="ALO133" s="0"/>
      <c r="ALP133" s="0"/>
      <c r="ALQ133" s="0"/>
      <c r="ALR133" s="0"/>
      <c r="ALS133" s="0"/>
      <c r="ALT133" s="0"/>
      <c r="ALU133" s="0"/>
      <c r="ALV133" s="0"/>
      <c r="ALW133" s="0"/>
      <c r="ALX133" s="0"/>
      <c r="ALY133" s="0"/>
      <c r="ALZ133" s="0"/>
      <c r="AMA133" s="0"/>
      <c r="AMB133" s="0"/>
      <c r="AMC133" s="0"/>
      <c r="AMD133" s="0"/>
      <c r="AME133" s="0"/>
      <c r="AMF133" s="0"/>
      <c r="AMG133" s="0"/>
      <c r="AMH133" s="0"/>
      <c r="AMI133" s="0"/>
      <c r="AMJ133" s="0"/>
      <c r="AMK133" s="0"/>
    </row>
    <row r="134" s="7" customFormat="true" ht="15.75" hidden="false" customHeight="true" outlineLevel="0" collapsed="false">
      <c r="B134" s="41"/>
      <c r="C134" s="194" t="s">
        <v>132</v>
      </c>
      <c r="D134" s="195" t="n">
        <v>20</v>
      </c>
      <c r="E134" s="195" t="n">
        <v>1</v>
      </c>
      <c r="F134" s="97"/>
      <c r="G134" s="21"/>
      <c r="H134" s="24"/>
      <c r="ALL134" s="0"/>
      <c r="ALM134" s="0"/>
      <c r="ALN134" s="0"/>
      <c r="ALO134" s="0"/>
      <c r="ALP134" s="0"/>
      <c r="ALQ134" s="0"/>
      <c r="ALR134" s="0"/>
      <c r="ALS134" s="0"/>
      <c r="ALT134" s="0"/>
      <c r="ALU134" s="0"/>
      <c r="ALV134" s="0"/>
      <c r="ALW134" s="0"/>
      <c r="ALX134" s="0"/>
      <c r="ALY134" s="0"/>
      <c r="ALZ134" s="0"/>
      <c r="AMA134" s="0"/>
      <c r="AMB134" s="0"/>
      <c r="AMC134" s="0"/>
      <c r="AMD134" s="0"/>
      <c r="AME134" s="0"/>
      <c r="AMF134" s="0"/>
      <c r="AMG134" s="0"/>
      <c r="AMH134" s="0"/>
      <c r="AMI134" s="0"/>
      <c r="AMJ134" s="0"/>
      <c r="AMK134" s="0"/>
    </row>
    <row r="135" s="7" customFormat="true" ht="15.75" hidden="false" customHeight="true" outlineLevel="0" collapsed="false">
      <c r="B135" s="41"/>
      <c r="C135" s="186" t="s">
        <v>133</v>
      </c>
      <c r="D135" s="133" t="n">
        <v>18</v>
      </c>
      <c r="E135" s="187" t="n">
        <v>1</v>
      </c>
      <c r="F135" s="97"/>
      <c r="G135" s="21"/>
      <c r="H135" s="24"/>
      <c r="ALL135" s="0"/>
      <c r="ALM135" s="0"/>
      <c r="ALN135" s="0"/>
      <c r="ALO135" s="0"/>
      <c r="ALP135" s="0"/>
      <c r="ALQ135" s="0"/>
      <c r="ALR135" s="0"/>
      <c r="ALS135" s="0"/>
      <c r="ALT135" s="0"/>
      <c r="ALU135" s="0"/>
      <c r="ALV135" s="0"/>
      <c r="ALW135" s="0"/>
      <c r="ALX135" s="0"/>
      <c r="ALY135" s="0"/>
      <c r="ALZ135" s="0"/>
      <c r="AMA135" s="0"/>
      <c r="AMB135" s="0"/>
      <c r="AMC135" s="0"/>
      <c r="AMD135" s="0"/>
      <c r="AME135" s="0"/>
      <c r="AMF135" s="0"/>
      <c r="AMG135" s="0"/>
      <c r="AMH135" s="0"/>
      <c r="AMI135" s="0"/>
      <c r="AMJ135" s="0"/>
      <c r="AMK135" s="0"/>
    </row>
    <row r="136" s="196" customFormat="true" ht="15.75" hidden="false" customHeight="true" outlineLevel="0" collapsed="false">
      <c r="B136" s="41"/>
      <c r="C136" s="168" t="s">
        <v>104</v>
      </c>
      <c r="D136" s="47" t="n">
        <f aca="false">105+24</f>
        <v>129</v>
      </c>
      <c r="E136" s="197" t="n">
        <v>4</v>
      </c>
      <c r="F136" s="97"/>
      <c r="G136" s="21"/>
      <c r="H136" s="24"/>
      <c r="ALL136" s="0"/>
      <c r="ALM136" s="0"/>
      <c r="ALN136" s="0"/>
      <c r="ALO136" s="0"/>
      <c r="ALP136" s="0"/>
      <c r="ALQ136" s="0"/>
      <c r="ALR136" s="0"/>
      <c r="ALS136" s="0"/>
      <c r="ALT136" s="0"/>
      <c r="ALU136" s="0"/>
      <c r="ALV136" s="0"/>
      <c r="ALW136" s="0"/>
      <c r="ALX136" s="0"/>
      <c r="ALY136" s="0"/>
      <c r="ALZ136" s="0"/>
      <c r="AMA136" s="0"/>
      <c r="AMB136" s="0"/>
      <c r="AMC136" s="0"/>
      <c r="AMD136" s="0"/>
      <c r="AME136" s="0"/>
      <c r="AMF136" s="0"/>
      <c r="AMG136" s="0"/>
      <c r="AMH136" s="0"/>
      <c r="AMI136" s="0"/>
      <c r="AMJ136" s="0"/>
      <c r="AMK136" s="0"/>
    </row>
    <row r="137" s="198" customFormat="true" ht="15.75" hidden="false" customHeight="true" outlineLevel="0" collapsed="false">
      <c r="B137" s="18" t="s">
        <v>134</v>
      </c>
      <c r="C137" s="61" t="s">
        <v>36</v>
      </c>
      <c r="D137" s="61"/>
      <c r="E137" s="61"/>
      <c r="F137" s="20" t="n">
        <v>1</v>
      </c>
      <c r="G137" s="21"/>
      <c r="H137" s="125"/>
      <c r="ALL137" s="0"/>
      <c r="ALM137" s="0"/>
      <c r="ALN137" s="0"/>
      <c r="ALO137" s="0"/>
      <c r="ALP137" s="0"/>
      <c r="ALQ137" s="0"/>
      <c r="ALR137" s="0"/>
      <c r="ALS137" s="0"/>
      <c r="ALT137" s="0"/>
      <c r="ALU137" s="0"/>
      <c r="ALV137" s="0"/>
      <c r="ALW137" s="0"/>
      <c r="ALX137" s="0"/>
      <c r="ALY137" s="0"/>
      <c r="ALZ137" s="0"/>
      <c r="AMA137" s="0"/>
      <c r="AMB137" s="0"/>
      <c r="AMC137" s="0"/>
      <c r="AMD137" s="0"/>
      <c r="AME137" s="0"/>
      <c r="AMF137" s="0"/>
      <c r="AMG137" s="0"/>
      <c r="AMH137" s="0"/>
      <c r="AMI137" s="0"/>
      <c r="AMJ137" s="0"/>
      <c r="AMK137" s="0"/>
    </row>
    <row r="138" s="198" customFormat="true" ht="15.75" hidden="false" customHeight="true" outlineLevel="0" collapsed="false">
      <c r="B138" s="18"/>
      <c r="C138" s="199" t="s">
        <v>135</v>
      </c>
      <c r="D138" s="200" t="n">
        <v>20</v>
      </c>
      <c r="E138" s="200" t="n">
        <v>1</v>
      </c>
      <c r="F138" s="20"/>
      <c r="G138" s="21"/>
      <c r="H138" s="125"/>
      <c r="ALL138" s="0"/>
      <c r="ALM138" s="0"/>
      <c r="ALN138" s="0"/>
      <c r="ALO138" s="0"/>
      <c r="ALP138" s="0"/>
      <c r="ALQ138" s="0"/>
      <c r="ALR138" s="0"/>
      <c r="ALS138" s="0"/>
      <c r="ALT138" s="0"/>
      <c r="ALU138" s="0"/>
      <c r="ALV138" s="0"/>
      <c r="ALW138" s="0"/>
      <c r="ALX138" s="0"/>
      <c r="ALY138" s="0"/>
      <c r="ALZ138" s="0"/>
      <c r="AMA138" s="0"/>
      <c r="AMB138" s="0"/>
      <c r="AMC138" s="0"/>
      <c r="AMD138" s="0"/>
      <c r="AME138" s="0"/>
      <c r="AMF138" s="0"/>
      <c r="AMG138" s="0"/>
      <c r="AMH138" s="0"/>
      <c r="AMI138" s="0"/>
      <c r="AMJ138" s="0"/>
      <c r="AMK138" s="0"/>
    </row>
    <row r="139" s="198" customFormat="true" ht="15.75" hidden="false" customHeight="true" outlineLevel="0" collapsed="false">
      <c r="B139" s="201"/>
      <c r="C139" s="202" t="s">
        <v>38</v>
      </c>
      <c r="D139" s="203" t="n">
        <f aca="false">SUM(D138+D136+D135+D134+D132+D131+D129+D128+D126+D125+D123+D122+D121+D117)+D118+D119</f>
        <v>450</v>
      </c>
      <c r="E139" s="68"/>
      <c r="F139" s="204" t="n">
        <f aca="false">F116+F120+F124+F127+F130+F133+F137</f>
        <v>20</v>
      </c>
      <c r="G139" s="71"/>
      <c r="H139" s="205"/>
      <c r="ALL139" s="0"/>
      <c r="ALM139" s="0"/>
      <c r="ALN139" s="0"/>
      <c r="ALO139" s="0"/>
      <c r="ALP139" s="0"/>
      <c r="ALQ139" s="0"/>
      <c r="ALR139" s="0"/>
      <c r="ALS139" s="0"/>
      <c r="ALT139" s="0"/>
      <c r="ALU139" s="0"/>
      <c r="ALV139" s="0"/>
      <c r="ALW139" s="0"/>
      <c r="ALX139" s="0"/>
      <c r="ALY139" s="0"/>
      <c r="ALZ139" s="0"/>
      <c r="AMA139" s="0"/>
      <c r="AMB139" s="0"/>
      <c r="AMC139" s="0"/>
      <c r="AMD139" s="0"/>
      <c r="AME139" s="0"/>
      <c r="AMF139" s="0"/>
      <c r="AMG139" s="0"/>
      <c r="AMH139" s="0"/>
      <c r="AMI139" s="0"/>
      <c r="AMJ139" s="0"/>
      <c r="AMK139" s="0"/>
    </row>
    <row r="140" s="196" customFormat="true" ht="15.75" hidden="false" customHeight="true" outlineLevel="0" collapsed="false">
      <c r="B140" s="72" t="s">
        <v>136</v>
      </c>
      <c r="C140" s="73" t="s">
        <v>137</v>
      </c>
      <c r="D140" s="74" t="n">
        <v>350</v>
      </c>
      <c r="E140" s="74"/>
      <c r="F140" s="157" t="n">
        <v>10</v>
      </c>
      <c r="G140" s="158"/>
      <c r="H140" s="10"/>
      <c r="ALL140" s="0"/>
      <c r="ALM140" s="0"/>
      <c r="ALN140" s="0"/>
      <c r="ALO140" s="0"/>
      <c r="ALP140" s="0"/>
      <c r="ALQ140" s="0"/>
      <c r="ALR140" s="0"/>
      <c r="ALS140" s="0"/>
      <c r="ALT140" s="0"/>
      <c r="ALU140" s="0"/>
      <c r="ALV140" s="0"/>
      <c r="ALW140" s="0"/>
      <c r="ALX140" s="0"/>
      <c r="ALY140" s="0"/>
      <c r="ALZ140" s="0"/>
      <c r="AMA140" s="0"/>
      <c r="AMB140" s="0"/>
      <c r="AMC140" s="0"/>
      <c r="AMD140" s="0"/>
      <c r="AME140" s="0"/>
      <c r="AMF140" s="0"/>
      <c r="AMG140" s="0"/>
      <c r="AMH140" s="0"/>
      <c r="AMI140" s="0"/>
      <c r="AMJ140" s="0"/>
      <c r="AMK140" s="0"/>
    </row>
    <row r="141" s="196" customFormat="true" ht="15.75" hidden="false" customHeight="true" outlineLevel="0" collapsed="false">
      <c r="B141" s="206"/>
      <c r="C141" s="207"/>
      <c r="D141" s="208"/>
      <c r="E141" s="208"/>
      <c r="F141" s="209"/>
      <c r="G141" s="158"/>
      <c r="H141" s="10"/>
      <c r="ALL141" s="0"/>
      <c r="ALM141" s="0"/>
      <c r="ALN141" s="0"/>
      <c r="ALO141" s="0"/>
      <c r="ALP141" s="0"/>
      <c r="ALQ141" s="0"/>
      <c r="ALR141" s="0"/>
      <c r="ALS141" s="0"/>
      <c r="ALT141" s="0"/>
      <c r="ALU141" s="0"/>
      <c r="ALV141" s="0"/>
      <c r="ALW141" s="0"/>
      <c r="ALX141" s="0"/>
      <c r="ALY141" s="0"/>
      <c r="ALZ141" s="0"/>
      <c r="AMA141" s="0"/>
      <c r="AMB141" s="0"/>
      <c r="AMC141" s="0"/>
      <c r="AMD141" s="0"/>
      <c r="AME141" s="0"/>
      <c r="AMF141" s="0"/>
      <c r="AMG141" s="0"/>
      <c r="AMH141" s="0"/>
      <c r="AMI141" s="0"/>
      <c r="AMJ141" s="0"/>
      <c r="AMK141" s="0"/>
    </row>
    <row r="142" s="196" customFormat="true" ht="15.75" hidden="false" customHeight="true" outlineLevel="0" collapsed="false">
      <c r="B142" s="11" t="s">
        <v>138</v>
      </c>
      <c r="C142" s="11"/>
      <c r="D142" s="12"/>
      <c r="E142" s="12"/>
      <c r="F142" s="12"/>
      <c r="G142" s="13"/>
      <c r="H142" s="10"/>
      <c r="ALL142" s="0"/>
      <c r="ALM142" s="0"/>
      <c r="ALN142" s="0"/>
      <c r="ALO142" s="0"/>
      <c r="ALP142" s="0"/>
      <c r="ALQ142" s="0"/>
      <c r="ALR142" s="0"/>
      <c r="ALS142" s="0"/>
      <c r="ALT142" s="0"/>
      <c r="ALU142" s="0"/>
      <c r="ALV142" s="0"/>
      <c r="ALW142" s="0"/>
      <c r="ALX142" s="0"/>
      <c r="ALY142" s="0"/>
      <c r="ALZ142" s="0"/>
      <c r="AMA142" s="0"/>
      <c r="AMB142" s="0"/>
      <c r="AMC142" s="0"/>
      <c r="AMD142" s="0"/>
      <c r="AME142" s="0"/>
      <c r="AMF142" s="0"/>
      <c r="AMG142" s="0"/>
      <c r="AMH142" s="0"/>
      <c r="AMI142" s="0"/>
      <c r="AMJ142" s="0"/>
      <c r="AMK142" s="0"/>
    </row>
    <row r="143" s="196" customFormat="true" ht="15.75" hidden="false" customHeight="true" outlineLevel="0" collapsed="false">
      <c r="B143" s="14" t="s">
        <v>139</v>
      </c>
      <c r="C143" s="14"/>
      <c r="D143" s="15" t="s">
        <v>2</v>
      </c>
      <c r="E143" s="15" t="s">
        <v>3</v>
      </c>
      <c r="F143" s="16" t="s">
        <v>4</v>
      </c>
      <c r="G143" s="17"/>
      <c r="H143" s="10"/>
      <c r="ALL143" s="0"/>
      <c r="ALM143" s="0"/>
      <c r="ALN143" s="0"/>
      <c r="ALO143" s="0"/>
      <c r="ALP143" s="0"/>
      <c r="ALQ143" s="0"/>
      <c r="ALR143" s="0"/>
      <c r="ALS143" s="0"/>
      <c r="ALT143" s="0"/>
      <c r="ALU143" s="0"/>
      <c r="ALV143" s="0"/>
      <c r="ALW143" s="0"/>
      <c r="ALX143" s="0"/>
      <c r="ALY143" s="0"/>
      <c r="ALZ143" s="0"/>
      <c r="AMA143" s="0"/>
      <c r="AMB143" s="0"/>
      <c r="AMC143" s="0"/>
      <c r="AMD143" s="0"/>
      <c r="AME143" s="0"/>
      <c r="AMF143" s="0"/>
      <c r="AMG143" s="0"/>
      <c r="AMH143" s="0"/>
      <c r="AMI143" s="0"/>
      <c r="AMJ143" s="0"/>
      <c r="AMK143" s="0"/>
    </row>
    <row r="144" s="196" customFormat="true" ht="15.75" hidden="false" customHeight="true" outlineLevel="0" collapsed="false">
      <c r="B144" s="210" t="s">
        <v>140</v>
      </c>
      <c r="C144" s="61" t="s">
        <v>36</v>
      </c>
      <c r="D144" s="61"/>
      <c r="E144" s="61"/>
      <c r="F144" s="211" t="n">
        <v>10</v>
      </c>
      <c r="G144" s="9"/>
      <c r="H144" s="10"/>
      <c r="ALL144" s="0"/>
      <c r="ALM144" s="0"/>
      <c r="ALN144" s="0"/>
      <c r="ALO144" s="0"/>
      <c r="ALP144" s="0"/>
      <c r="ALQ144" s="0"/>
      <c r="ALR144" s="0"/>
      <c r="ALS144" s="0"/>
      <c r="ALT144" s="0"/>
      <c r="ALU144" s="0"/>
      <c r="ALV144" s="0"/>
      <c r="ALW144" s="0"/>
      <c r="ALX144" s="0"/>
      <c r="ALY144" s="0"/>
      <c r="ALZ144" s="0"/>
      <c r="AMA144" s="0"/>
      <c r="AMB144" s="0"/>
      <c r="AMC144" s="0"/>
      <c r="AMD144" s="0"/>
      <c r="AME144" s="0"/>
      <c r="AMF144" s="0"/>
      <c r="AMG144" s="0"/>
      <c r="AMH144" s="0"/>
      <c r="AMI144" s="0"/>
      <c r="AMJ144" s="0"/>
      <c r="AMK144" s="0"/>
    </row>
    <row r="145" s="196" customFormat="true" ht="15.75" hidden="false" customHeight="true" outlineLevel="0" collapsed="false">
      <c r="B145" s="210"/>
      <c r="C145" s="212" t="s">
        <v>141</v>
      </c>
      <c r="D145" s="213" t="s">
        <v>142</v>
      </c>
      <c r="E145" s="213" t="n">
        <v>1</v>
      </c>
      <c r="F145" s="211"/>
      <c r="G145" s="9"/>
      <c r="H145" s="10"/>
      <c r="ALL145" s="0"/>
      <c r="ALM145" s="0"/>
      <c r="ALN145" s="0"/>
      <c r="ALO145" s="0"/>
      <c r="ALP145" s="0"/>
      <c r="ALQ145" s="0"/>
      <c r="ALR145" s="0"/>
      <c r="ALS145" s="0"/>
      <c r="ALT145" s="0"/>
      <c r="ALU145" s="0"/>
      <c r="ALV145" s="0"/>
      <c r="ALW145" s="0"/>
      <c r="ALX145" s="0"/>
      <c r="ALY145" s="0"/>
      <c r="ALZ145" s="0"/>
      <c r="AMA145" s="0"/>
      <c r="AMB145" s="0"/>
      <c r="AMC145" s="0"/>
      <c r="AMD145" s="0"/>
      <c r="AME145" s="0"/>
      <c r="AMF145" s="0"/>
      <c r="AMG145" s="0"/>
      <c r="AMH145" s="0"/>
      <c r="AMI145" s="0"/>
      <c r="AMJ145" s="0"/>
      <c r="AMK145" s="0"/>
    </row>
    <row r="146" s="196" customFormat="true" ht="15.75" hidden="false" customHeight="true" outlineLevel="0" collapsed="false">
      <c r="B146" s="214"/>
      <c r="C146" s="173" t="s">
        <v>38</v>
      </c>
      <c r="D146" s="215"/>
      <c r="E146" s="216"/>
      <c r="F146" s="217" t="n">
        <v>10</v>
      </c>
      <c r="G146" s="218"/>
      <c r="H146" s="10"/>
      <c r="ALL146" s="0"/>
      <c r="ALM146" s="0"/>
      <c r="ALN146" s="0"/>
      <c r="ALO146" s="0"/>
      <c r="ALP146" s="0"/>
      <c r="ALQ146" s="0"/>
      <c r="ALR146" s="0"/>
      <c r="ALS146" s="0"/>
      <c r="ALT146" s="0"/>
      <c r="ALU146" s="0"/>
      <c r="ALV146" s="0"/>
      <c r="ALW146" s="0"/>
      <c r="ALX146" s="0"/>
      <c r="ALY146" s="0"/>
      <c r="ALZ146" s="0"/>
      <c r="AMA146" s="0"/>
      <c r="AMB146" s="0"/>
      <c r="AMC146" s="0"/>
      <c r="AMD146" s="0"/>
      <c r="AME146" s="0"/>
      <c r="AMF146" s="0"/>
      <c r="AMG146" s="0"/>
      <c r="AMH146" s="0"/>
      <c r="AMI146" s="0"/>
      <c r="AMJ146" s="0"/>
      <c r="AMK146" s="0"/>
    </row>
    <row r="147" s="196" customFormat="true" ht="15.75" hidden="false" customHeight="true" outlineLevel="0" collapsed="false">
      <c r="B147" s="72" t="s">
        <v>143</v>
      </c>
      <c r="C147" s="73" t="s">
        <v>137</v>
      </c>
      <c r="D147" s="74" t="n">
        <v>910</v>
      </c>
      <c r="E147" s="74"/>
      <c r="F147" s="157" t="n">
        <v>20</v>
      </c>
      <c r="G147" s="158"/>
      <c r="H147" s="10"/>
      <c r="ALL147" s="0"/>
      <c r="ALM147" s="0"/>
      <c r="ALN147" s="0"/>
      <c r="ALO147" s="0"/>
      <c r="ALP147" s="0"/>
      <c r="ALQ147" s="0"/>
      <c r="ALR147" s="0"/>
      <c r="ALS147" s="0"/>
      <c r="ALT147" s="0"/>
      <c r="ALU147" s="0"/>
      <c r="ALV147" s="0"/>
      <c r="ALW147" s="0"/>
      <c r="ALX147" s="0"/>
      <c r="ALY147" s="0"/>
      <c r="ALZ147" s="0"/>
      <c r="AMA147" s="0"/>
      <c r="AMB147" s="0"/>
      <c r="AMC147" s="0"/>
      <c r="AMD147" s="0"/>
      <c r="AME147" s="0"/>
      <c r="AMF147" s="0"/>
      <c r="AMG147" s="0"/>
      <c r="AMH147" s="0"/>
      <c r="AMI147" s="0"/>
      <c r="AMJ147" s="0"/>
      <c r="AMK147" s="0"/>
    </row>
    <row r="148" s="196" customFormat="true" ht="15.75" hidden="false" customHeight="true" outlineLevel="0" collapsed="false">
      <c r="B148" s="77"/>
      <c r="C148" s="77"/>
      <c r="D148" s="78"/>
      <c r="E148" s="78"/>
      <c r="F148" s="78"/>
      <c r="G148" s="9"/>
      <c r="H148" s="10"/>
      <c r="ALL148" s="0"/>
      <c r="ALM148" s="0"/>
      <c r="ALN148" s="0"/>
      <c r="ALO148" s="0"/>
      <c r="ALP148" s="0"/>
      <c r="ALQ148" s="0"/>
      <c r="ALR148" s="0"/>
      <c r="ALS148" s="0"/>
      <c r="ALT148" s="0"/>
      <c r="ALU148" s="0"/>
      <c r="ALV148" s="0"/>
      <c r="ALW148" s="0"/>
      <c r="ALX148" s="0"/>
      <c r="ALY148" s="0"/>
      <c r="ALZ148" s="0"/>
      <c r="AMA148" s="0"/>
      <c r="AMB148" s="0"/>
      <c r="AMC148" s="0"/>
      <c r="AMD148" s="0"/>
      <c r="AME148" s="0"/>
      <c r="AMF148" s="0"/>
      <c r="AMG148" s="0"/>
      <c r="AMH148" s="0"/>
      <c r="AMI148" s="0"/>
      <c r="AMJ148" s="0"/>
      <c r="AMK148" s="0"/>
    </row>
  </sheetData>
  <mergeCells count="127">
    <mergeCell ref="B2:C2"/>
    <mergeCell ref="D2:F2"/>
    <mergeCell ref="B3:C3"/>
    <mergeCell ref="B4:B7"/>
    <mergeCell ref="C4:E4"/>
    <mergeCell ref="F4:F7"/>
    <mergeCell ref="B8:B11"/>
    <mergeCell ref="C8:E8"/>
    <mergeCell ref="F8:F11"/>
    <mergeCell ref="B12:B14"/>
    <mergeCell ref="C12:E12"/>
    <mergeCell ref="F12:F14"/>
    <mergeCell ref="B15:B17"/>
    <mergeCell ref="C15:E15"/>
    <mergeCell ref="F15:F17"/>
    <mergeCell ref="B18:B20"/>
    <mergeCell ref="C18:E18"/>
    <mergeCell ref="F18:F20"/>
    <mergeCell ref="B21:B23"/>
    <mergeCell ref="C21:E21"/>
    <mergeCell ref="F21:F23"/>
    <mergeCell ref="B24:B25"/>
    <mergeCell ref="F24:F25"/>
    <mergeCell ref="B26:B27"/>
    <mergeCell ref="C26:E26"/>
    <mergeCell ref="F26:F27"/>
    <mergeCell ref="B32:C32"/>
    <mergeCell ref="D32:F32"/>
    <mergeCell ref="B33:C33"/>
    <mergeCell ref="B34:B37"/>
    <mergeCell ref="C34:E34"/>
    <mergeCell ref="F34:F37"/>
    <mergeCell ref="B38:B40"/>
    <mergeCell ref="C38:E38"/>
    <mergeCell ref="F38:F40"/>
    <mergeCell ref="B41:B44"/>
    <mergeCell ref="C41:E41"/>
    <mergeCell ref="F41:F44"/>
    <mergeCell ref="B45:B47"/>
    <mergeCell ref="C45:E45"/>
    <mergeCell ref="F45:F47"/>
    <mergeCell ref="B48:B50"/>
    <mergeCell ref="C48:E48"/>
    <mergeCell ref="F48:F50"/>
    <mergeCell ref="B51:B52"/>
    <mergeCell ref="C51:E51"/>
    <mergeCell ref="F51:F52"/>
    <mergeCell ref="B53:B55"/>
    <mergeCell ref="C53:E53"/>
    <mergeCell ref="F53:F55"/>
    <mergeCell ref="B58:F58"/>
    <mergeCell ref="B61:C61"/>
    <mergeCell ref="D61:F61"/>
    <mergeCell ref="B62:C62"/>
    <mergeCell ref="B63:B65"/>
    <mergeCell ref="C63:E63"/>
    <mergeCell ref="F63:F65"/>
    <mergeCell ref="B66:B68"/>
    <mergeCell ref="C66:E66"/>
    <mergeCell ref="F66:F68"/>
    <mergeCell ref="B69:B71"/>
    <mergeCell ref="F69:F71"/>
    <mergeCell ref="B72:B74"/>
    <mergeCell ref="F72:F74"/>
    <mergeCell ref="B75:B77"/>
    <mergeCell ref="C75:E75"/>
    <mergeCell ref="F75:F77"/>
    <mergeCell ref="B78:B79"/>
    <mergeCell ref="C78:E78"/>
    <mergeCell ref="F78:F79"/>
    <mergeCell ref="B80:B81"/>
    <mergeCell ref="C80:E80"/>
    <mergeCell ref="F80:F81"/>
    <mergeCell ref="B87:C87"/>
    <mergeCell ref="D87:F87"/>
    <mergeCell ref="B88:C88"/>
    <mergeCell ref="B89:B91"/>
    <mergeCell ref="C89:E89"/>
    <mergeCell ref="F89:F91"/>
    <mergeCell ref="B92:B94"/>
    <mergeCell ref="C92:E92"/>
    <mergeCell ref="F92:F94"/>
    <mergeCell ref="B95:B97"/>
    <mergeCell ref="C95:E95"/>
    <mergeCell ref="F95:F97"/>
    <mergeCell ref="B98:B101"/>
    <mergeCell ref="C98:E98"/>
    <mergeCell ref="F98:F101"/>
    <mergeCell ref="B102:B104"/>
    <mergeCell ref="C102:E102"/>
    <mergeCell ref="F102:F104"/>
    <mergeCell ref="B105:B106"/>
    <mergeCell ref="C105:E105"/>
    <mergeCell ref="F105:F106"/>
    <mergeCell ref="B107:B108"/>
    <mergeCell ref="C107:E107"/>
    <mergeCell ref="F107:F108"/>
    <mergeCell ref="B114:C114"/>
    <mergeCell ref="D114:F114"/>
    <mergeCell ref="B115:C115"/>
    <mergeCell ref="B116:B119"/>
    <mergeCell ref="C116:E116"/>
    <mergeCell ref="F116:F119"/>
    <mergeCell ref="B120:B123"/>
    <mergeCell ref="C120:E120"/>
    <mergeCell ref="F120:F123"/>
    <mergeCell ref="B124:B126"/>
    <mergeCell ref="C124:E124"/>
    <mergeCell ref="F124:F126"/>
    <mergeCell ref="B127:B129"/>
    <mergeCell ref="C127:E127"/>
    <mergeCell ref="F127:F129"/>
    <mergeCell ref="B130:B132"/>
    <mergeCell ref="C130:E130"/>
    <mergeCell ref="F130:F132"/>
    <mergeCell ref="B133:B136"/>
    <mergeCell ref="C133:E133"/>
    <mergeCell ref="F133:F136"/>
    <mergeCell ref="B137:B138"/>
    <mergeCell ref="C137:E137"/>
    <mergeCell ref="F137:F138"/>
    <mergeCell ref="B142:C142"/>
    <mergeCell ref="D142:F142"/>
    <mergeCell ref="B143:C143"/>
    <mergeCell ref="B144:B145"/>
    <mergeCell ref="C144:E144"/>
    <mergeCell ref="F144:F145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57" man="true" max="16383" min="0"/>
    <brk id="110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1BD"/>
    <pageSetUpPr fitToPage="true"/>
  </sheetPr>
  <dimension ref="A1:AMJ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90" activeCellId="0" sqref="N90"/>
    </sheetView>
  </sheetViews>
  <sheetFormatPr defaultColWidth="9.859375" defaultRowHeight="18.7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2" width="13.71"/>
    <col collapsed="false" customWidth="true" hidden="false" outlineLevel="0" max="3" min="3" style="2" width="80.57"/>
    <col collapsed="false" customWidth="true" hidden="false" outlineLevel="0" max="4" min="4" style="3" width="7.29"/>
    <col collapsed="false" customWidth="true" hidden="false" outlineLevel="0" max="5" min="5" style="3" width="7.16"/>
    <col collapsed="false" customWidth="true" hidden="false" outlineLevel="0" max="6" min="6" style="3" width="6.57"/>
    <col collapsed="false" customWidth="true" hidden="false" outlineLevel="0" max="7" min="7" style="5" width="10.85"/>
    <col collapsed="false" customWidth="true" hidden="false" outlineLevel="0" max="8" min="8" style="219" width="12.29"/>
    <col collapsed="false" customWidth="true" hidden="false" outlineLevel="0" max="9" min="9" style="220" width="70.57"/>
    <col collapsed="false" customWidth="true" hidden="false" outlineLevel="0" max="10" min="10" style="3" width="7.29"/>
    <col collapsed="false" customWidth="true" hidden="false" outlineLevel="0" max="11" min="11" style="3" width="7.16"/>
    <col collapsed="false" customWidth="true" hidden="false" outlineLevel="0" max="12" min="12" style="3" width="6.57"/>
    <col collapsed="false" customWidth="false" hidden="false" outlineLevel="0" max="1024" min="13" style="3" width="9.86"/>
    <col collapsed="false" customWidth="false" hidden="false" outlineLevel="0" max="16384" min="1025" style="6" width="9.86"/>
  </cols>
  <sheetData>
    <row r="1" s="7" customFormat="true" ht="18.75" hidden="false" customHeight="false" outlineLevel="0" collapsed="false">
      <c r="A1" s="1"/>
      <c r="B1" s="2"/>
      <c r="C1" s="2"/>
      <c r="D1" s="3"/>
      <c r="E1" s="3"/>
      <c r="F1" s="3"/>
      <c r="G1" s="5"/>
      <c r="H1" s="219"/>
      <c r="I1" s="22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="7" customFormat="true" ht="15.75" hidden="false" customHeight="true" outlineLevel="0" collapsed="false">
      <c r="B2" s="160"/>
      <c r="C2" s="221" t="s">
        <v>144</v>
      </c>
      <c r="D2" s="222"/>
      <c r="E2" s="8"/>
      <c r="F2" s="8"/>
    </row>
    <row r="3" s="7" customFormat="true" ht="15.75" hidden="false" customHeight="true" outlineLevel="0" collapsed="false">
      <c r="B3" s="160"/>
      <c r="C3" s="118" t="s">
        <v>145</v>
      </c>
      <c r="D3" s="118"/>
      <c r="E3" s="118"/>
      <c r="F3" s="118"/>
    </row>
    <row r="4" s="7" customFormat="true" ht="15.75" hidden="false" customHeight="true" outlineLevel="0" collapsed="false">
      <c r="B4" s="160"/>
      <c r="C4" s="223"/>
      <c r="D4" s="224"/>
      <c r="E4" s="224"/>
      <c r="F4" s="224"/>
    </row>
    <row r="5" s="7" customFormat="true" ht="15.75" hidden="false" customHeight="true" outlineLevel="0" collapsed="false">
      <c r="B5" s="160"/>
      <c r="D5" s="225"/>
      <c r="E5" s="225"/>
      <c r="F5" s="225"/>
    </row>
    <row r="6" s="7" customFormat="true" ht="15.75" hidden="false" customHeight="true" outlineLevel="0" collapsed="false">
      <c r="B6" s="160"/>
      <c r="C6" s="160"/>
    </row>
    <row r="7" s="7" customFormat="true" ht="15.75" hidden="false" customHeight="true" outlineLevel="0" collapsed="false">
      <c r="B7" s="226" t="s">
        <v>146</v>
      </c>
      <c r="C7" s="226"/>
      <c r="D7" s="226"/>
      <c r="E7" s="226"/>
      <c r="F7" s="226"/>
    </row>
    <row r="8" s="7" customFormat="true" ht="15.75" hidden="false" customHeight="true" outlineLevel="0" collapsed="false">
      <c r="B8" s="8"/>
      <c r="C8" s="8"/>
      <c r="D8" s="8"/>
      <c r="E8" s="8"/>
      <c r="F8" s="8"/>
    </row>
    <row r="9" s="7" customFormat="true" ht="15.75" hidden="false" customHeight="true" outlineLevel="0" collapsed="false">
      <c r="B9" s="11" t="s">
        <v>0</v>
      </c>
      <c r="C9" s="11"/>
      <c r="D9" s="12"/>
      <c r="E9" s="12"/>
      <c r="F9" s="12"/>
    </row>
    <row r="10" s="7" customFormat="true" ht="15.75" hidden="false" customHeight="true" outlineLevel="0" collapsed="false">
      <c r="B10" s="14" t="s">
        <v>1</v>
      </c>
      <c r="C10" s="14" t="s">
        <v>1</v>
      </c>
      <c r="D10" s="15" t="s">
        <v>2</v>
      </c>
      <c r="E10" s="15" t="s">
        <v>3</v>
      </c>
      <c r="F10" s="16" t="s">
        <v>4</v>
      </c>
    </row>
    <row r="11" s="7" customFormat="true" ht="15.75" hidden="false" customHeight="true" outlineLevel="0" collapsed="false">
      <c r="B11" s="18" t="s">
        <v>5</v>
      </c>
      <c r="C11" s="19" t="s">
        <v>6</v>
      </c>
      <c r="D11" s="19"/>
      <c r="E11" s="19"/>
      <c r="F11" s="20" t="n">
        <v>3</v>
      </c>
    </row>
    <row r="12" s="7" customFormat="true" ht="15.75" hidden="false" customHeight="true" outlineLevel="0" collapsed="false">
      <c r="B12" s="18"/>
      <c r="C12" s="22" t="s">
        <v>7</v>
      </c>
      <c r="D12" s="23" t="n">
        <v>36</v>
      </c>
      <c r="E12" s="23" t="n">
        <v>3</v>
      </c>
      <c r="F12" s="20"/>
    </row>
    <row r="13" s="7" customFormat="true" ht="15.75" hidden="false" customHeight="true" outlineLevel="0" collapsed="false">
      <c r="B13" s="18"/>
      <c r="C13" s="27" t="s">
        <v>10</v>
      </c>
      <c r="D13" s="28" t="n">
        <v>12</v>
      </c>
      <c r="E13" s="28" t="n">
        <v>1</v>
      </c>
      <c r="F13" s="20"/>
    </row>
    <row r="14" s="7" customFormat="true" ht="15.75" hidden="false" customHeight="true" outlineLevel="0" collapsed="false">
      <c r="B14" s="18" t="s">
        <v>11</v>
      </c>
      <c r="C14" s="19" t="s">
        <v>12</v>
      </c>
      <c r="D14" s="19"/>
      <c r="E14" s="19"/>
      <c r="F14" s="20" t="n">
        <v>3</v>
      </c>
    </row>
    <row r="15" s="7" customFormat="true" ht="15.75" hidden="false" customHeight="true" outlineLevel="0" collapsed="false">
      <c r="B15" s="18"/>
      <c r="C15" s="29" t="s">
        <v>13</v>
      </c>
      <c r="D15" s="26" t="n">
        <v>6</v>
      </c>
      <c r="E15" s="30" t="s">
        <v>14</v>
      </c>
      <c r="F15" s="20"/>
    </row>
    <row r="16" s="7" customFormat="true" ht="15.75" hidden="false" customHeight="true" outlineLevel="0" collapsed="false">
      <c r="B16" s="18"/>
      <c r="C16" s="29" t="s">
        <v>15</v>
      </c>
      <c r="D16" s="227" t="n">
        <v>24</v>
      </c>
      <c r="E16" s="31" t="n">
        <v>1</v>
      </c>
      <c r="F16" s="20"/>
    </row>
    <row r="17" s="7" customFormat="true" ht="15.75" hidden="false" customHeight="true" outlineLevel="0" collapsed="false">
      <c r="B17" s="18"/>
      <c r="C17" s="29" t="s">
        <v>16</v>
      </c>
      <c r="D17" s="31" t="n">
        <v>27</v>
      </c>
      <c r="E17" s="31" t="n">
        <v>1</v>
      </c>
      <c r="F17" s="20"/>
    </row>
    <row r="18" s="7" customFormat="true" ht="15.75" hidden="false" customHeight="true" outlineLevel="0" collapsed="false">
      <c r="B18" s="18" t="s">
        <v>17</v>
      </c>
      <c r="C18" s="19" t="s">
        <v>18</v>
      </c>
      <c r="D18" s="19"/>
      <c r="E18" s="19"/>
      <c r="F18" s="32" t="n">
        <v>3</v>
      </c>
    </row>
    <row r="19" s="7" customFormat="true" ht="15.75" hidden="false" customHeight="true" outlineLevel="0" collapsed="false">
      <c r="B19" s="18"/>
      <c r="C19" s="29" t="s">
        <v>19</v>
      </c>
      <c r="D19" s="26" t="n">
        <v>22</v>
      </c>
      <c r="E19" s="30" t="n">
        <v>1</v>
      </c>
      <c r="F19" s="32"/>
    </row>
    <row r="20" s="7" customFormat="true" ht="15.75" hidden="false" customHeight="true" outlineLevel="0" collapsed="false">
      <c r="B20" s="18"/>
      <c r="C20" s="27" t="s">
        <v>20</v>
      </c>
      <c r="D20" s="35" t="n">
        <v>30</v>
      </c>
      <c r="E20" s="31" t="n">
        <v>1</v>
      </c>
      <c r="F20" s="32"/>
    </row>
    <row r="21" s="7" customFormat="true" ht="15.75" hidden="false" customHeight="true" outlineLevel="0" collapsed="false">
      <c r="B21" s="36" t="s">
        <v>21</v>
      </c>
      <c r="C21" s="19" t="s">
        <v>18</v>
      </c>
      <c r="D21" s="19"/>
      <c r="E21" s="19"/>
      <c r="F21" s="37" t="n">
        <v>3</v>
      </c>
    </row>
    <row r="22" s="7" customFormat="true" ht="15.75" hidden="false" customHeight="true" outlineLevel="0" collapsed="false">
      <c r="B22" s="36"/>
      <c r="C22" s="40" t="s">
        <v>147</v>
      </c>
      <c r="D22" s="38" t="n">
        <v>18</v>
      </c>
      <c r="E22" s="38" t="n">
        <v>1</v>
      </c>
      <c r="F22" s="37"/>
    </row>
    <row r="23" s="7" customFormat="true" ht="15.75" hidden="false" customHeight="true" outlineLevel="0" collapsed="false">
      <c r="B23" s="36"/>
      <c r="C23" s="40" t="s">
        <v>23</v>
      </c>
      <c r="D23" s="38" t="n">
        <v>21</v>
      </c>
      <c r="E23" s="38" t="n">
        <v>1</v>
      </c>
      <c r="F23" s="37"/>
    </row>
    <row r="24" s="7" customFormat="true" ht="15.75" hidden="false" customHeight="true" outlineLevel="0" collapsed="false">
      <c r="B24" s="41" t="s">
        <v>24</v>
      </c>
      <c r="C24" s="42" t="s">
        <v>25</v>
      </c>
      <c r="D24" s="42"/>
      <c r="E24" s="42"/>
      <c r="F24" s="43" t="n">
        <v>3</v>
      </c>
    </row>
    <row r="25" s="7" customFormat="true" ht="15.75" hidden="false" customHeight="true" outlineLevel="0" collapsed="false">
      <c r="B25" s="41"/>
      <c r="C25" s="44" t="s">
        <v>26</v>
      </c>
      <c r="D25" s="45" t="n">
        <v>24</v>
      </c>
      <c r="E25" s="45" t="n">
        <v>1</v>
      </c>
      <c r="F25" s="43"/>
    </row>
    <row r="26" s="7" customFormat="true" ht="15.75" hidden="false" customHeight="true" outlineLevel="0" collapsed="false">
      <c r="B26" s="41"/>
      <c r="C26" s="46" t="s">
        <v>27</v>
      </c>
      <c r="D26" s="47" t="n">
        <v>30</v>
      </c>
      <c r="E26" s="47" t="n">
        <v>1</v>
      </c>
      <c r="F26" s="43"/>
    </row>
    <row r="27" s="7" customFormat="true" ht="15.75" hidden="false" customHeight="true" outlineLevel="0" collapsed="false">
      <c r="B27" s="48" t="s">
        <v>28</v>
      </c>
      <c r="C27" s="49" t="s">
        <v>29</v>
      </c>
      <c r="D27" s="49"/>
      <c r="E27" s="49"/>
      <c r="F27" s="50" t="n">
        <v>3</v>
      </c>
    </row>
    <row r="28" s="7" customFormat="true" ht="15.75" hidden="false" customHeight="true" outlineLevel="0" collapsed="false">
      <c r="B28" s="48"/>
      <c r="C28" s="52" t="s">
        <v>30</v>
      </c>
      <c r="D28" s="53" t="n">
        <v>21</v>
      </c>
      <c r="E28" s="53" t="n">
        <v>1</v>
      </c>
      <c r="F28" s="50"/>
    </row>
    <row r="29" s="7" customFormat="true" ht="15.75" hidden="false" customHeight="true" outlineLevel="0" collapsed="false">
      <c r="B29" s="48"/>
      <c r="C29" s="106" t="s">
        <v>148</v>
      </c>
      <c r="D29" s="228" t="n">
        <v>21</v>
      </c>
      <c r="E29" s="53" t="n">
        <v>1</v>
      </c>
      <c r="F29" s="50"/>
    </row>
    <row r="30" s="7" customFormat="true" ht="15.75" hidden="false" customHeight="true" outlineLevel="0" collapsed="false">
      <c r="B30" s="48"/>
      <c r="C30" s="54" t="s">
        <v>31</v>
      </c>
      <c r="D30" s="55" t="n">
        <v>18</v>
      </c>
      <c r="E30" s="55" t="n">
        <v>1</v>
      </c>
      <c r="F30" s="50"/>
    </row>
    <row r="31" s="7" customFormat="true" ht="15.75" hidden="false" customHeight="true" outlineLevel="0" collapsed="false">
      <c r="B31" s="48" t="s">
        <v>32</v>
      </c>
      <c r="C31" s="56" t="s">
        <v>33</v>
      </c>
      <c r="D31" s="57"/>
      <c r="E31" s="57"/>
      <c r="F31" s="50" t="n">
        <v>1</v>
      </c>
    </row>
    <row r="32" s="7" customFormat="true" ht="15.75" hidden="false" customHeight="true" outlineLevel="0" collapsed="false">
      <c r="B32" s="48"/>
      <c r="C32" s="58" t="s">
        <v>34</v>
      </c>
      <c r="D32" s="59" t="n">
        <v>27</v>
      </c>
      <c r="E32" s="60" t="n">
        <v>1</v>
      </c>
      <c r="F32" s="50"/>
    </row>
    <row r="33" s="7" customFormat="true" ht="15.75" hidden="false" customHeight="true" outlineLevel="0" collapsed="false">
      <c r="B33" s="48" t="s">
        <v>35</v>
      </c>
      <c r="C33" s="61" t="s">
        <v>36</v>
      </c>
      <c r="D33" s="61"/>
      <c r="E33" s="61"/>
      <c r="F33" s="62" t="n">
        <v>1</v>
      </c>
    </row>
    <row r="34" s="7" customFormat="true" ht="15.75" hidden="false" customHeight="true" outlineLevel="0" collapsed="false">
      <c r="B34" s="48"/>
      <c r="C34" s="64" t="s">
        <v>37</v>
      </c>
      <c r="D34" s="65" t="n">
        <v>20</v>
      </c>
      <c r="E34" s="65" t="n">
        <v>1</v>
      </c>
      <c r="F34" s="62"/>
    </row>
    <row r="35" s="7" customFormat="true" ht="15.75" hidden="false" customHeight="true" outlineLevel="0" collapsed="false">
      <c r="B35" s="66"/>
      <c r="C35" s="67" t="s">
        <v>38</v>
      </c>
      <c r="D35" s="68" t="n">
        <f aca="false">SUM(D11:D34)</f>
        <v>357</v>
      </c>
      <c r="E35" s="69"/>
      <c r="F35" s="70" t="n">
        <f aca="false">SUM(F11:F34)</f>
        <v>20</v>
      </c>
    </row>
    <row r="36" s="7" customFormat="true" ht="15.75" hidden="false" customHeight="true" outlineLevel="0" collapsed="false">
      <c r="B36" s="72" t="s">
        <v>39</v>
      </c>
      <c r="C36" s="73" t="s">
        <v>40</v>
      </c>
      <c r="D36" s="74" t="n">
        <v>455</v>
      </c>
      <c r="E36" s="75"/>
      <c r="F36" s="76" t="n">
        <v>10</v>
      </c>
    </row>
    <row r="37" s="7" customFormat="true" ht="15.75" hidden="false" customHeight="true" outlineLevel="0" collapsed="false">
      <c r="B37" s="77"/>
      <c r="C37" s="77"/>
      <c r="D37" s="78"/>
      <c r="E37" s="78"/>
      <c r="F37" s="78"/>
    </row>
    <row r="38" s="7" customFormat="true" ht="15.75" hidden="false" customHeight="true" outlineLevel="0" collapsed="false">
      <c r="B38" s="77"/>
      <c r="C38" s="79"/>
      <c r="D38" s="78"/>
      <c r="E38" s="78"/>
      <c r="F38" s="78"/>
    </row>
    <row r="39" s="7" customFormat="true" ht="15.75" hidden="false" customHeight="true" outlineLevel="0" collapsed="false">
      <c r="B39" s="11" t="s">
        <v>41</v>
      </c>
      <c r="C39" s="11"/>
      <c r="D39" s="12"/>
      <c r="E39" s="12"/>
      <c r="F39" s="12"/>
    </row>
    <row r="40" s="7" customFormat="true" ht="15.75" hidden="false" customHeight="true" outlineLevel="0" collapsed="false">
      <c r="B40" s="14" t="s">
        <v>1</v>
      </c>
      <c r="C40" s="14"/>
      <c r="D40" s="15" t="s">
        <v>2</v>
      </c>
      <c r="E40" s="15" t="s">
        <v>3</v>
      </c>
      <c r="F40" s="16" t="s">
        <v>4</v>
      </c>
    </row>
    <row r="41" s="7" customFormat="true" ht="15.75" hidden="false" customHeight="true" outlineLevel="0" collapsed="false">
      <c r="B41" s="18" t="s">
        <v>42</v>
      </c>
      <c r="C41" s="49" t="s">
        <v>6</v>
      </c>
      <c r="D41" s="49"/>
      <c r="E41" s="49"/>
      <c r="F41" s="20" t="n">
        <v>4</v>
      </c>
    </row>
    <row r="42" s="7" customFormat="true" ht="15.75" hidden="false" customHeight="true" outlineLevel="0" collapsed="false">
      <c r="B42" s="18"/>
      <c r="C42" s="229" t="s">
        <v>149</v>
      </c>
      <c r="D42" s="80" t="n">
        <v>25</v>
      </c>
      <c r="E42" s="81" t="n">
        <v>1</v>
      </c>
      <c r="F42" s="20"/>
    </row>
    <row r="43" s="7" customFormat="true" ht="15.75" hidden="false" customHeight="true" outlineLevel="0" collapsed="false">
      <c r="B43" s="18"/>
      <c r="C43" s="29" t="s">
        <v>44</v>
      </c>
      <c r="D43" s="81" t="n">
        <v>24</v>
      </c>
      <c r="E43" s="82" t="n">
        <v>1</v>
      </c>
      <c r="F43" s="20"/>
    </row>
    <row r="44" s="7" customFormat="true" ht="15.75" hidden="false" customHeight="true" outlineLevel="0" collapsed="false">
      <c r="B44" s="18"/>
      <c r="C44" s="83" t="s">
        <v>45</v>
      </c>
      <c r="D44" s="84" t="n">
        <v>23</v>
      </c>
      <c r="E44" s="85" t="n">
        <v>1</v>
      </c>
      <c r="F44" s="20"/>
    </row>
    <row r="45" s="7" customFormat="true" ht="15.75" hidden="false" customHeight="true" outlineLevel="0" collapsed="false">
      <c r="B45" s="18" t="s">
        <v>46</v>
      </c>
      <c r="C45" s="19" t="s">
        <v>18</v>
      </c>
      <c r="D45" s="19"/>
      <c r="E45" s="19"/>
      <c r="F45" s="86" t="n">
        <v>3</v>
      </c>
    </row>
    <row r="46" s="7" customFormat="true" ht="15.75" hidden="false" customHeight="true" outlineLevel="0" collapsed="false">
      <c r="B46" s="18"/>
      <c r="C46" s="40" t="s">
        <v>47</v>
      </c>
      <c r="D46" s="87" t="n">
        <f aca="false">12</f>
        <v>12</v>
      </c>
      <c r="E46" s="38" t="n">
        <v>1</v>
      </c>
      <c r="F46" s="86"/>
    </row>
    <row r="47" s="7" customFormat="true" ht="15.75" hidden="false" customHeight="true" outlineLevel="0" collapsed="false">
      <c r="B47" s="18"/>
      <c r="C47" s="88" t="s">
        <v>48</v>
      </c>
      <c r="D47" s="89" t="n">
        <v>33</v>
      </c>
      <c r="E47" s="90" t="n">
        <v>3</v>
      </c>
      <c r="F47" s="86"/>
    </row>
    <row r="48" s="7" customFormat="true" ht="15.75" hidden="false" customHeight="true" outlineLevel="0" collapsed="false">
      <c r="B48" s="91" t="s">
        <v>49</v>
      </c>
      <c r="C48" s="92" t="s">
        <v>25</v>
      </c>
      <c r="D48" s="92"/>
      <c r="E48" s="92"/>
      <c r="F48" s="93" t="n">
        <v>3</v>
      </c>
    </row>
    <row r="49" s="7" customFormat="true" ht="15.75" hidden="false" customHeight="true" outlineLevel="0" collapsed="false">
      <c r="B49" s="91"/>
      <c r="C49" s="94" t="s">
        <v>50</v>
      </c>
      <c r="D49" s="45" t="n">
        <v>24</v>
      </c>
      <c r="E49" s="45" t="n">
        <v>1</v>
      </c>
      <c r="F49" s="93"/>
    </row>
    <row r="50" s="7" customFormat="true" ht="15.75" hidden="false" customHeight="true" outlineLevel="0" collapsed="false">
      <c r="B50" s="91"/>
      <c r="C50" s="44" t="s">
        <v>150</v>
      </c>
      <c r="D50" s="45" t="n">
        <v>30</v>
      </c>
      <c r="E50" s="45" t="n">
        <v>1</v>
      </c>
      <c r="F50" s="93"/>
    </row>
    <row r="51" s="7" customFormat="true" ht="15.75" hidden="false" customHeight="true" outlineLevel="0" collapsed="false">
      <c r="B51" s="91" t="s">
        <v>53</v>
      </c>
      <c r="C51" s="92" t="s">
        <v>25</v>
      </c>
      <c r="D51" s="92"/>
      <c r="E51" s="92"/>
      <c r="F51" s="97" t="n">
        <v>3</v>
      </c>
    </row>
    <row r="52" s="7" customFormat="true" ht="15.75" hidden="false" customHeight="true" outlineLevel="0" collapsed="false">
      <c r="B52" s="91"/>
      <c r="C52" s="94" t="s">
        <v>54</v>
      </c>
      <c r="D52" s="45" t="n">
        <v>25</v>
      </c>
      <c r="E52" s="45" t="n">
        <v>1</v>
      </c>
      <c r="F52" s="97"/>
    </row>
    <row r="53" s="7" customFormat="true" ht="15.75" hidden="false" customHeight="true" outlineLevel="0" collapsed="false">
      <c r="B53" s="91"/>
      <c r="C53" s="44" t="s">
        <v>55</v>
      </c>
      <c r="D53" s="45" t="n">
        <v>30</v>
      </c>
      <c r="E53" s="45" t="n">
        <v>1</v>
      </c>
      <c r="F53" s="97"/>
    </row>
    <row r="54" s="7" customFormat="true" ht="15.75" hidden="false" customHeight="true" outlineLevel="0" collapsed="false">
      <c r="B54" s="91" t="s">
        <v>56</v>
      </c>
      <c r="C54" s="42" t="s">
        <v>57</v>
      </c>
      <c r="D54" s="42"/>
      <c r="E54" s="42"/>
      <c r="F54" s="97" t="n">
        <v>3</v>
      </c>
    </row>
    <row r="55" s="7" customFormat="true" ht="15.75" hidden="false" customHeight="true" outlineLevel="0" collapsed="false">
      <c r="B55" s="91"/>
      <c r="C55" s="98" t="s">
        <v>58</v>
      </c>
      <c r="D55" s="99" t="n">
        <v>20</v>
      </c>
      <c r="E55" s="99" t="n">
        <v>1</v>
      </c>
      <c r="F55" s="97"/>
    </row>
    <row r="56" s="7" customFormat="true" ht="15.75" hidden="false" customHeight="true" outlineLevel="0" collapsed="false">
      <c r="B56" s="91"/>
      <c r="C56" s="100" t="s">
        <v>59</v>
      </c>
      <c r="D56" s="45" t="n">
        <f aca="false">47-20+7</f>
        <v>34</v>
      </c>
      <c r="E56" s="45" t="n">
        <v>1</v>
      </c>
      <c r="F56" s="97"/>
    </row>
    <row r="57" s="7" customFormat="true" ht="15.75" hidden="false" customHeight="true" outlineLevel="0" collapsed="false">
      <c r="B57" s="101" t="s">
        <v>60</v>
      </c>
      <c r="C57" s="61" t="s">
        <v>33</v>
      </c>
      <c r="D57" s="61"/>
      <c r="E57" s="61"/>
      <c r="F57" s="102" t="n">
        <v>3</v>
      </c>
    </row>
    <row r="58" s="7" customFormat="true" ht="15.75" hidden="false" customHeight="true" outlineLevel="0" collapsed="false">
      <c r="B58" s="101"/>
      <c r="C58" s="103" t="s">
        <v>34</v>
      </c>
      <c r="D58" s="104" t="n">
        <v>54</v>
      </c>
      <c r="E58" s="105" t="n">
        <v>1</v>
      </c>
      <c r="F58" s="102"/>
    </row>
    <row r="59" s="7" customFormat="true" ht="15.75" hidden="false" customHeight="true" outlineLevel="0" collapsed="false">
      <c r="B59" s="48" t="s">
        <v>61</v>
      </c>
      <c r="C59" s="61" t="s">
        <v>36</v>
      </c>
      <c r="D59" s="61"/>
      <c r="E59" s="61"/>
      <c r="F59" s="62" t="n">
        <v>1</v>
      </c>
    </row>
    <row r="60" s="7" customFormat="true" ht="15.75" hidden="false" customHeight="true" outlineLevel="0" collapsed="false">
      <c r="B60" s="48"/>
      <c r="C60" s="106" t="s">
        <v>62</v>
      </c>
      <c r="D60" s="107" t="n">
        <v>12</v>
      </c>
      <c r="E60" s="108"/>
      <c r="F60" s="62"/>
    </row>
    <row r="61" s="7" customFormat="true" ht="15.75" hidden="false" customHeight="true" outlineLevel="0" collapsed="false">
      <c r="B61" s="48"/>
      <c r="C61" s="109" t="s">
        <v>63</v>
      </c>
      <c r="D61" s="110" t="n">
        <v>17</v>
      </c>
      <c r="E61" s="65" t="n">
        <v>1</v>
      </c>
      <c r="F61" s="62"/>
    </row>
    <row r="62" s="7" customFormat="true" ht="15.75" hidden="false" customHeight="true" outlineLevel="0" collapsed="false">
      <c r="B62" s="111"/>
      <c r="C62" s="112" t="s">
        <v>38</v>
      </c>
      <c r="D62" s="113" t="n">
        <f aca="false">SUM(D41:D61)</f>
        <v>363</v>
      </c>
      <c r="E62" s="114"/>
      <c r="F62" s="115" t="n">
        <f aca="false">SUM(F41:F61)</f>
        <v>20</v>
      </c>
    </row>
    <row r="63" s="7" customFormat="true" ht="15.75" hidden="false" customHeight="true" outlineLevel="0" collapsed="false">
      <c r="B63" s="72" t="s">
        <v>64</v>
      </c>
      <c r="C63" s="73" t="s">
        <v>40</v>
      </c>
      <c r="D63" s="75" t="n">
        <v>490</v>
      </c>
      <c r="E63" s="75"/>
      <c r="F63" s="76" t="n">
        <v>10</v>
      </c>
    </row>
    <row r="64" s="7" customFormat="true" ht="15.75" hidden="false" customHeight="true" outlineLevel="0" collapsed="false">
      <c r="B64" s="116"/>
      <c r="C64" s="116"/>
      <c r="D64" s="116"/>
      <c r="E64" s="116"/>
      <c r="F64" s="116"/>
      <c r="G64" s="10"/>
      <c r="H64" s="24"/>
      <c r="I64" s="230"/>
    </row>
    <row r="65" s="7" customFormat="true" ht="15.75" hidden="false" customHeight="true" outlineLevel="0" collapsed="false">
      <c r="B65" s="118"/>
      <c r="C65" s="118"/>
      <c r="D65" s="118"/>
      <c r="E65" s="118"/>
      <c r="F65" s="118"/>
      <c r="G65" s="10"/>
      <c r="H65" s="24"/>
      <c r="I65" s="230"/>
    </row>
    <row r="66" s="7" customFormat="true" ht="15.75" hidden="false" customHeight="true" outlineLevel="0" collapsed="false">
      <c r="B66" s="226" t="s">
        <v>151</v>
      </c>
      <c r="C66" s="226"/>
      <c r="D66" s="226"/>
      <c r="E66" s="226"/>
      <c r="F66" s="226"/>
      <c r="G66" s="231"/>
      <c r="H66" s="226" t="s">
        <v>151</v>
      </c>
      <c r="I66" s="226"/>
      <c r="J66" s="226"/>
      <c r="K66" s="226"/>
      <c r="L66" s="226"/>
    </row>
    <row r="67" s="7" customFormat="true" ht="15.75" hidden="false" customHeight="true" outlineLevel="0" collapsed="false">
      <c r="B67" s="8"/>
      <c r="C67" s="8"/>
      <c r="D67" s="8"/>
      <c r="E67" s="8"/>
      <c r="F67" s="8"/>
      <c r="G67" s="10"/>
      <c r="H67" s="8"/>
      <c r="I67" s="8"/>
      <c r="J67" s="8"/>
      <c r="K67" s="8"/>
      <c r="L67" s="8"/>
    </row>
    <row r="68" s="7" customFormat="true" ht="15.75" hidden="false" customHeight="true" outlineLevel="0" collapsed="false">
      <c r="B68" s="11" t="s">
        <v>65</v>
      </c>
      <c r="C68" s="11"/>
      <c r="D68" s="12"/>
      <c r="E68" s="12"/>
      <c r="F68" s="12"/>
      <c r="G68" s="10"/>
      <c r="H68" s="11" t="s">
        <v>152</v>
      </c>
      <c r="I68" s="11"/>
      <c r="J68" s="12"/>
      <c r="K68" s="12"/>
      <c r="L68" s="12"/>
    </row>
    <row r="69" s="7" customFormat="true" ht="15.75" hidden="false" customHeight="true" outlineLevel="0" collapsed="false">
      <c r="B69" s="14" t="s">
        <v>1</v>
      </c>
      <c r="C69" s="14"/>
      <c r="D69" s="15" t="s">
        <v>2</v>
      </c>
      <c r="E69" s="15" t="s">
        <v>66</v>
      </c>
      <c r="F69" s="16" t="s">
        <v>4</v>
      </c>
      <c r="G69" s="10"/>
      <c r="H69" s="14" t="s">
        <v>1</v>
      </c>
      <c r="I69" s="14"/>
      <c r="J69" s="15" t="s">
        <v>2</v>
      </c>
      <c r="K69" s="15" t="s">
        <v>66</v>
      </c>
      <c r="L69" s="16" t="s">
        <v>4</v>
      </c>
    </row>
    <row r="70" s="7" customFormat="true" ht="15.75" hidden="false" customHeight="true" outlineLevel="0" collapsed="false">
      <c r="B70" s="18" t="s">
        <v>67</v>
      </c>
      <c r="C70" s="19" t="s">
        <v>12</v>
      </c>
      <c r="D70" s="19"/>
      <c r="E70" s="19"/>
      <c r="F70" s="20" t="n">
        <v>3</v>
      </c>
      <c r="G70" s="10"/>
      <c r="H70" s="18" t="s">
        <v>67</v>
      </c>
      <c r="I70" s="19" t="s">
        <v>12</v>
      </c>
      <c r="J70" s="19"/>
      <c r="K70" s="19"/>
      <c r="L70" s="20" t="n">
        <v>3</v>
      </c>
    </row>
    <row r="71" s="7" customFormat="true" ht="15.75" hidden="false" customHeight="true" outlineLevel="0" collapsed="false">
      <c r="B71" s="18"/>
      <c r="C71" s="119" t="s">
        <v>68</v>
      </c>
      <c r="D71" s="81" t="n">
        <v>24</v>
      </c>
      <c r="E71" s="120" t="n">
        <v>1</v>
      </c>
      <c r="F71" s="20"/>
      <c r="G71" s="24"/>
      <c r="H71" s="18"/>
      <c r="I71" s="119" t="s">
        <v>68</v>
      </c>
      <c r="J71" s="81" t="n">
        <v>24</v>
      </c>
      <c r="K71" s="120" t="n">
        <v>1</v>
      </c>
      <c r="L71" s="20"/>
    </row>
    <row r="72" s="7" customFormat="true" ht="15.75" hidden="false" customHeight="true" outlineLevel="0" collapsed="false">
      <c r="B72" s="18"/>
      <c r="C72" s="121" t="s">
        <v>69</v>
      </c>
      <c r="D72" s="85" t="n">
        <v>28</v>
      </c>
      <c r="E72" s="122" t="n">
        <v>1</v>
      </c>
      <c r="F72" s="20"/>
      <c r="G72" s="24"/>
      <c r="H72" s="18"/>
      <c r="I72" s="121" t="s">
        <v>69</v>
      </c>
      <c r="J72" s="85" t="n">
        <v>28</v>
      </c>
      <c r="K72" s="122" t="n">
        <v>1</v>
      </c>
      <c r="L72" s="20"/>
    </row>
    <row r="73" s="7" customFormat="true" ht="15.75" hidden="false" customHeight="true" outlineLevel="0" collapsed="false">
      <c r="B73" s="91" t="s">
        <v>70</v>
      </c>
      <c r="C73" s="92" t="s">
        <v>25</v>
      </c>
      <c r="D73" s="92"/>
      <c r="E73" s="92"/>
      <c r="F73" s="93" t="n">
        <v>3</v>
      </c>
      <c r="G73" s="24"/>
      <c r="H73" s="91" t="s">
        <v>70</v>
      </c>
      <c r="I73" s="92" t="s">
        <v>25</v>
      </c>
      <c r="J73" s="92"/>
      <c r="K73" s="92"/>
      <c r="L73" s="93" t="n">
        <v>4</v>
      </c>
    </row>
    <row r="74" s="7" customFormat="true" ht="15.75" hidden="false" customHeight="true" outlineLevel="0" collapsed="false">
      <c r="B74" s="91"/>
      <c r="C74" s="96" t="s">
        <v>153</v>
      </c>
      <c r="D74" s="123" t="n">
        <v>25</v>
      </c>
      <c r="E74" s="124" t="n">
        <v>2</v>
      </c>
      <c r="F74" s="93"/>
      <c r="G74" s="125"/>
      <c r="H74" s="91"/>
      <c r="I74" s="96" t="s">
        <v>153</v>
      </c>
      <c r="J74" s="123" t="n">
        <v>25</v>
      </c>
      <c r="K74" s="124" t="n">
        <v>2</v>
      </c>
      <c r="L74" s="93"/>
    </row>
    <row r="75" s="7" customFormat="true" ht="15.75" hidden="false" customHeight="true" outlineLevel="0" collapsed="false">
      <c r="B75" s="91"/>
      <c r="C75" s="132" t="s">
        <v>154</v>
      </c>
      <c r="D75" s="232" t="n">
        <v>12</v>
      </c>
      <c r="E75" s="233" t="n">
        <v>1</v>
      </c>
      <c r="F75" s="93"/>
      <c r="G75" s="24"/>
      <c r="H75" s="91"/>
      <c r="I75" s="132" t="s">
        <v>154</v>
      </c>
      <c r="J75" s="232" t="n">
        <v>12</v>
      </c>
      <c r="K75" s="233" t="n">
        <v>1</v>
      </c>
      <c r="L75" s="93"/>
    </row>
    <row r="76" s="7" customFormat="true" ht="15.75" hidden="false" customHeight="true" outlineLevel="0" collapsed="false">
      <c r="B76" s="91"/>
      <c r="C76" s="46" t="s">
        <v>72</v>
      </c>
      <c r="D76" s="126" t="n">
        <v>12</v>
      </c>
      <c r="E76" s="127" t="n">
        <v>1</v>
      </c>
      <c r="F76" s="93"/>
      <c r="G76" s="24"/>
      <c r="H76" s="91"/>
      <c r="I76" s="234" t="s">
        <v>155</v>
      </c>
      <c r="J76" s="126" t="n">
        <v>24</v>
      </c>
      <c r="K76" s="127" t="n">
        <v>2</v>
      </c>
      <c r="L76" s="93"/>
    </row>
    <row r="77" s="7" customFormat="true" ht="15.75" hidden="false" customHeight="true" outlineLevel="0" collapsed="false">
      <c r="B77" s="91" t="s">
        <v>73</v>
      </c>
      <c r="C77" s="128" t="s">
        <v>74</v>
      </c>
      <c r="D77" s="129"/>
      <c r="E77" s="129"/>
      <c r="F77" s="130" t="n">
        <v>4</v>
      </c>
      <c r="G77" s="24"/>
      <c r="H77" s="41" t="s">
        <v>156</v>
      </c>
      <c r="I77" s="92" t="s">
        <v>157</v>
      </c>
      <c r="J77" s="129"/>
      <c r="K77" s="129"/>
      <c r="L77" s="130" t="n">
        <v>3</v>
      </c>
    </row>
    <row r="78" s="7" customFormat="true" ht="15.75" hidden="false" customHeight="true" outlineLevel="0" collapsed="false">
      <c r="B78" s="91"/>
      <c r="C78" s="132" t="s">
        <v>75</v>
      </c>
      <c r="D78" s="133" t="n">
        <v>30</v>
      </c>
      <c r="E78" s="134" t="n">
        <v>1</v>
      </c>
      <c r="F78" s="130"/>
      <c r="G78" s="24"/>
      <c r="H78" s="41"/>
      <c r="I78" s="235" t="s">
        <v>79</v>
      </c>
      <c r="J78" s="133" t="n">
        <v>14</v>
      </c>
      <c r="K78" s="134" t="n">
        <v>1</v>
      </c>
      <c r="L78" s="130"/>
    </row>
    <row r="79" s="7" customFormat="true" ht="15.75" hidden="false" customHeight="true" outlineLevel="0" collapsed="false">
      <c r="B79" s="91"/>
      <c r="C79" s="132" t="s">
        <v>76</v>
      </c>
      <c r="D79" s="135" t="n">
        <v>34</v>
      </c>
      <c r="E79" s="136" t="n">
        <v>1</v>
      </c>
      <c r="F79" s="130"/>
      <c r="G79" s="24"/>
      <c r="H79" s="41"/>
      <c r="I79" s="46" t="s">
        <v>158</v>
      </c>
      <c r="J79" s="135" t="n">
        <v>20</v>
      </c>
      <c r="K79" s="136" t="n">
        <v>1</v>
      </c>
      <c r="L79" s="130"/>
    </row>
    <row r="80" s="7" customFormat="true" ht="15.75" hidden="false" customHeight="true" outlineLevel="0" collapsed="false">
      <c r="B80" s="41" t="s">
        <v>77</v>
      </c>
      <c r="C80" s="128" t="s">
        <v>74</v>
      </c>
      <c r="D80" s="137"/>
      <c r="E80" s="137"/>
      <c r="F80" s="97" t="n">
        <v>4</v>
      </c>
      <c r="G80" s="24"/>
      <c r="H80" s="41" t="s">
        <v>159</v>
      </c>
      <c r="I80" s="128" t="s">
        <v>160</v>
      </c>
      <c r="J80" s="137"/>
      <c r="K80" s="137"/>
      <c r="L80" s="97" t="n">
        <v>4</v>
      </c>
    </row>
    <row r="81" s="7" customFormat="true" ht="15.75" hidden="false" customHeight="true" outlineLevel="0" collapsed="false">
      <c r="B81" s="41"/>
      <c r="C81" s="138" t="s">
        <v>78</v>
      </c>
      <c r="D81" s="139" t="n">
        <v>30</v>
      </c>
      <c r="E81" s="140" t="n">
        <v>3</v>
      </c>
      <c r="F81" s="97"/>
      <c r="G81" s="24"/>
      <c r="H81" s="41"/>
      <c r="I81" s="138" t="s">
        <v>161</v>
      </c>
      <c r="J81" s="139" t="n">
        <v>34</v>
      </c>
      <c r="K81" s="140" t="n">
        <v>1</v>
      </c>
      <c r="L81" s="97"/>
    </row>
    <row r="82" s="7" customFormat="true" ht="15.75" hidden="false" customHeight="true" outlineLevel="0" collapsed="false">
      <c r="B82" s="41"/>
      <c r="C82" s="46" t="s">
        <v>79</v>
      </c>
      <c r="D82" s="135" t="n">
        <v>20</v>
      </c>
      <c r="E82" s="141" t="n">
        <v>2</v>
      </c>
      <c r="F82" s="97"/>
      <c r="G82" s="24"/>
      <c r="H82" s="41"/>
      <c r="I82" s="46" t="s">
        <v>162</v>
      </c>
      <c r="J82" s="135" t="n">
        <v>34</v>
      </c>
      <c r="K82" s="141" t="n">
        <v>1</v>
      </c>
      <c r="L82" s="97"/>
    </row>
    <row r="83" s="7" customFormat="true" ht="15.75" hidden="false" customHeight="true" outlineLevel="0" collapsed="false">
      <c r="B83" s="14" t="s">
        <v>80</v>
      </c>
      <c r="C83" s="142" t="s">
        <v>29</v>
      </c>
      <c r="D83" s="142"/>
      <c r="E83" s="142"/>
      <c r="F83" s="143" t="n">
        <v>3</v>
      </c>
      <c r="G83" s="24"/>
      <c r="H83" s="14" t="s">
        <v>80</v>
      </c>
      <c r="I83" s="142" t="s">
        <v>29</v>
      </c>
      <c r="J83" s="142"/>
      <c r="K83" s="142"/>
      <c r="L83" s="143" t="n">
        <v>3</v>
      </c>
    </row>
    <row r="84" s="7" customFormat="true" ht="15.75" hidden="false" customHeight="true" outlineLevel="0" collapsed="false">
      <c r="B84" s="14"/>
      <c r="C84" s="144" t="s">
        <v>81</v>
      </c>
      <c r="D84" s="81" t="n">
        <v>18</v>
      </c>
      <c r="E84" s="120" t="n">
        <v>1</v>
      </c>
      <c r="F84" s="143"/>
      <c r="G84" s="24"/>
      <c r="H84" s="14"/>
      <c r="I84" s="144" t="s">
        <v>81</v>
      </c>
      <c r="J84" s="81" t="n">
        <v>18</v>
      </c>
      <c r="K84" s="120" t="n">
        <v>1</v>
      </c>
      <c r="L84" s="143"/>
    </row>
    <row r="85" s="7" customFormat="true" ht="15.75" hidden="false" customHeight="true" outlineLevel="0" collapsed="false">
      <c r="B85" s="14"/>
      <c r="C85" s="64" t="s">
        <v>82</v>
      </c>
      <c r="D85" s="85" t="n">
        <v>20</v>
      </c>
      <c r="E85" s="122" t="n">
        <v>1</v>
      </c>
      <c r="F85" s="143"/>
      <c r="G85" s="24"/>
      <c r="H85" s="14"/>
      <c r="I85" s="64" t="s">
        <v>82</v>
      </c>
      <c r="J85" s="85" t="n">
        <v>20</v>
      </c>
      <c r="K85" s="122" t="n">
        <v>1</v>
      </c>
      <c r="L85" s="143"/>
    </row>
    <row r="86" s="7" customFormat="true" ht="15.75" hidden="false" customHeight="true" outlineLevel="0" collapsed="false">
      <c r="B86" s="48" t="s">
        <v>83</v>
      </c>
      <c r="C86" s="61" t="s">
        <v>33</v>
      </c>
      <c r="D86" s="61"/>
      <c r="E86" s="61"/>
      <c r="F86" s="145" t="n">
        <v>2</v>
      </c>
      <c r="G86" s="24"/>
      <c r="H86" s="48" t="s">
        <v>83</v>
      </c>
      <c r="I86" s="61" t="s">
        <v>33</v>
      </c>
      <c r="J86" s="61"/>
      <c r="K86" s="61"/>
      <c r="L86" s="145" t="n">
        <v>2</v>
      </c>
    </row>
    <row r="87" s="7" customFormat="true" ht="15.75" hidden="false" customHeight="true" outlineLevel="0" collapsed="false">
      <c r="B87" s="48"/>
      <c r="C87" s="64" t="s">
        <v>84</v>
      </c>
      <c r="D87" s="85" t="n">
        <v>30</v>
      </c>
      <c r="E87" s="122" t="n">
        <v>1</v>
      </c>
      <c r="F87" s="145"/>
      <c r="G87" s="24"/>
      <c r="H87" s="48"/>
      <c r="I87" s="64" t="s">
        <v>84</v>
      </c>
      <c r="J87" s="85" t="n">
        <v>30</v>
      </c>
      <c r="K87" s="122" t="n">
        <v>1</v>
      </c>
      <c r="L87" s="145"/>
    </row>
    <row r="88" s="7" customFormat="true" ht="15.75" hidden="false" customHeight="true" outlineLevel="0" collapsed="false">
      <c r="B88" s="48" t="s">
        <v>85</v>
      </c>
      <c r="C88" s="61" t="s">
        <v>36</v>
      </c>
      <c r="D88" s="61"/>
      <c r="E88" s="61"/>
      <c r="F88" s="145" t="n">
        <v>1</v>
      </c>
      <c r="G88" s="24"/>
      <c r="H88" s="48" t="s">
        <v>85</v>
      </c>
      <c r="I88" s="61" t="s">
        <v>36</v>
      </c>
      <c r="J88" s="61"/>
      <c r="K88" s="61"/>
      <c r="L88" s="145" t="n">
        <v>1</v>
      </c>
    </row>
    <row r="89" s="7" customFormat="true" ht="15.75" hidden="false" customHeight="true" outlineLevel="0" collapsed="false">
      <c r="B89" s="48"/>
      <c r="C89" s="146" t="s">
        <v>86</v>
      </c>
      <c r="D89" s="147" t="n">
        <v>20</v>
      </c>
      <c r="E89" s="148" t="n">
        <v>1</v>
      </c>
      <c r="F89" s="145"/>
      <c r="G89" s="149"/>
      <c r="H89" s="48"/>
      <c r="I89" s="146" t="s">
        <v>86</v>
      </c>
      <c r="J89" s="147" t="n">
        <v>20</v>
      </c>
      <c r="K89" s="148" t="n">
        <v>1</v>
      </c>
      <c r="L89" s="145"/>
    </row>
    <row r="90" s="7" customFormat="true" ht="15.75" hidden="false" customHeight="true" outlineLevel="0" collapsed="false">
      <c r="B90" s="150"/>
      <c r="C90" s="151" t="s">
        <v>38</v>
      </c>
      <c r="D90" s="152" t="n">
        <f aca="false">D82+D81+D79+D78+D89+D87+D85+D84+D71+D72+D76+D74+D75</f>
        <v>303</v>
      </c>
      <c r="E90" s="153"/>
      <c r="F90" s="154" t="n">
        <f aca="false">SUM(F70:F89)</f>
        <v>20</v>
      </c>
      <c r="G90" s="24"/>
      <c r="H90" s="150"/>
      <c r="I90" s="151" t="s">
        <v>38</v>
      </c>
      <c r="J90" s="152" t="n">
        <f aca="false">J82+J81+J79+J78+J89+J87+J85+J84+J71+J72+J76+J74+J75</f>
        <v>303</v>
      </c>
      <c r="K90" s="153"/>
      <c r="L90" s="154" t="n">
        <f aca="false">SUM(L70:L89)</f>
        <v>20</v>
      </c>
    </row>
    <row r="91" s="7" customFormat="true" ht="15.75" hidden="false" customHeight="true" outlineLevel="0" collapsed="false">
      <c r="B91" s="72" t="s">
        <v>87</v>
      </c>
      <c r="C91" s="155" t="s">
        <v>88</v>
      </c>
      <c r="D91" s="75" t="n">
        <v>525</v>
      </c>
      <c r="E91" s="156"/>
      <c r="F91" s="157" t="n">
        <v>10</v>
      </c>
      <c r="G91" s="10"/>
      <c r="H91" s="72" t="s">
        <v>87</v>
      </c>
      <c r="I91" s="155" t="s">
        <v>88</v>
      </c>
      <c r="J91" s="75" t="n">
        <v>525</v>
      </c>
      <c r="K91" s="156"/>
      <c r="L91" s="157" t="n">
        <v>10</v>
      </c>
    </row>
    <row r="92" s="7" customFormat="true" ht="15.75" hidden="false" customHeight="true" outlineLevel="0" collapsed="false">
      <c r="B92" s="77"/>
      <c r="C92" s="159"/>
      <c r="D92" s="8"/>
      <c r="E92" s="8"/>
      <c r="F92" s="8"/>
      <c r="G92" s="10"/>
      <c r="H92" s="24"/>
      <c r="I92" s="230"/>
    </row>
    <row r="93" s="7" customFormat="true" ht="15.75" hidden="false" customHeight="true" outlineLevel="0" collapsed="false">
      <c r="B93" s="77"/>
      <c r="C93" s="159"/>
      <c r="D93" s="8"/>
      <c r="E93" s="8"/>
      <c r="F93" s="8"/>
      <c r="G93" s="10"/>
      <c r="H93" s="24"/>
      <c r="I93" s="230"/>
    </row>
    <row r="94" s="7" customFormat="true" ht="15.75" hidden="false" customHeight="true" outlineLevel="0" collapsed="false">
      <c r="B94" s="77"/>
      <c r="C94" s="160"/>
      <c r="F94" s="8"/>
      <c r="G94" s="10"/>
      <c r="H94" s="24"/>
      <c r="I94" s="230"/>
    </row>
    <row r="95" s="7" customFormat="true" ht="15.75" hidden="false" customHeight="true" outlineLevel="0" collapsed="false">
      <c r="B95" s="11" t="s">
        <v>89</v>
      </c>
      <c r="C95" s="11"/>
      <c r="D95" s="12"/>
      <c r="E95" s="12"/>
      <c r="F95" s="12"/>
      <c r="G95" s="10"/>
      <c r="H95" s="11" t="s">
        <v>163</v>
      </c>
      <c r="I95" s="11"/>
      <c r="J95" s="12"/>
      <c r="K95" s="12"/>
      <c r="L95" s="12"/>
    </row>
    <row r="96" s="7" customFormat="true" ht="15.75" hidden="false" customHeight="true" outlineLevel="0" collapsed="false">
      <c r="B96" s="14" t="s">
        <v>1</v>
      </c>
      <c r="C96" s="14"/>
      <c r="D96" s="15" t="s">
        <v>2</v>
      </c>
      <c r="E96" s="15" t="s">
        <v>3</v>
      </c>
      <c r="F96" s="16" t="s">
        <v>4</v>
      </c>
      <c r="G96" s="10"/>
      <c r="H96" s="14" t="s">
        <v>1</v>
      </c>
      <c r="I96" s="14"/>
      <c r="J96" s="15" t="s">
        <v>2</v>
      </c>
      <c r="K96" s="15" t="s">
        <v>3</v>
      </c>
      <c r="L96" s="16" t="s">
        <v>4</v>
      </c>
    </row>
    <row r="97" s="7" customFormat="true" ht="15.75" hidden="false" customHeight="true" outlineLevel="0" collapsed="false">
      <c r="B97" s="161" t="s">
        <v>90</v>
      </c>
      <c r="C97" s="92" t="s">
        <v>91</v>
      </c>
      <c r="D97" s="92"/>
      <c r="E97" s="92"/>
      <c r="F97" s="162" t="n">
        <v>3</v>
      </c>
      <c r="G97" s="10"/>
      <c r="H97" s="161" t="s">
        <v>164</v>
      </c>
      <c r="I97" s="236" t="s">
        <v>157</v>
      </c>
      <c r="J97" s="237"/>
      <c r="K97" s="238"/>
      <c r="L97" s="239" t="n">
        <v>4</v>
      </c>
    </row>
    <row r="98" s="7" customFormat="true" ht="15.75" hidden="false" customHeight="true" outlineLevel="0" collapsed="false">
      <c r="B98" s="161"/>
      <c r="C98" s="163" t="s">
        <v>92</v>
      </c>
      <c r="D98" s="45" t="n">
        <v>29</v>
      </c>
      <c r="E98" s="140" t="n">
        <v>1</v>
      </c>
      <c r="F98" s="162"/>
      <c r="G98" s="24"/>
      <c r="H98" s="184"/>
      <c r="I98" s="163" t="s">
        <v>165</v>
      </c>
      <c r="J98" s="45" t="n">
        <v>30</v>
      </c>
      <c r="K98" s="140" t="n">
        <v>3</v>
      </c>
      <c r="L98" s="239"/>
    </row>
    <row r="99" s="7" customFormat="true" ht="15.75" hidden="false" customHeight="true" outlineLevel="0" collapsed="false">
      <c r="B99" s="161"/>
      <c r="C99" s="163" t="s">
        <v>93</v>
      </c>
      <c r="D99" s="164" t="n">
        <v>36</v>
      </c>
      <c r="E99" s="139" t="n">
        <v>1</v>
      </c>
      <c r="F99" s="162"/>
      <c r="G99" s="24"/>
      <c r="H99" s="184"/>
      <c r="I99" s="240" t="s">
        <v>166</v>
      </c>
      <c r="J99" s="140" t="n">
        <v>30</v>
      </c>
      <c r="K99" s="140" t="n">
        <v>3</v>
      </c>
      <c r="L99" s="239"/>
    </row>
    <row r="100" s="7" customFormat="true" ht="15.75" hidden="false" customHeight="true" outlineLevel="0" collapsed="false">
      <c r="B100" s="41" t="s">
        <v>94</v>
      </c>
      <c r="C100" s="92" t="s">
        <v>91</v>
      </c>
      <c r="D100" s="92"/>
      <c r="E100" s="92"/>
      <c r="F100" s="97" t="n">
        <v>3</v>
      </c>
      <c r="G100" s="24"/>
      <c r="H100" s="165"/>
      <c r="I100" s="240" t="s">
        <v>72</v>
      </c>
      <c r="J100" s="241" t="n">
        <v>27</v>
      </c>
      <c r="K100" s="126" t="n">
        <v>2</v>
      </c>
      <c r="L100" s="239"/>
    </row>
    <row r="101" s="7" customFormat="true" ht="15.75" hidden="false" customHeight="true" outlineLevel="0" collapsed="false">
      <c r="B101" s="41"/>
      <c r="C101" s="163" t="s">
        <v>95</v>
      </c>
      <c r="D101" s="45" t="n">
        <v>30</v>
      </c>
      <c r="E101" s="140" t="n">
        <v>1</v>
      </c>
      <c r="F101" s="97"/>
      <c r="G101" s="24"/>
      <c r="H101" s="91" t="s">
        <v>167</v>
      </c>
      <c r="I101" s="92" t="s">
        <v>160</v>
      </c>
      <c r="J101" s="92"/>
      <c r="K101" s="92"/>
      <c r="L101" s="97" t="n">
        <v>3</v>
      </c>
    </row>
    <row r="102" s="7" customFormat="true" ht="15.75" hidden="false" customHeight="true" outlineLevel="0" collapsed="false">
      <c r="B102" s="41"/>
      <c r="C102" s="163" t="s">
        <v>96</v>
      </c>
      <c r="D102" s="164" t="n">
        <v>24</v>
      </c>
      <c r="E102" s="139" t="n">
        <v>1</v>
      </c>
      <c r="F102" s="97"/>
      <c r="G102" s="24"/>
      <c r="H102" s="184"/>
      <c r="I102" s="163" t="s">
        <v>168</v>
      </c>
      <c r="J102" s="45" t="n">
        <v>24</v>
      </c>
      <c r="K102" s="140" t="n">
        <v>2</v>
      </c>
      <c r="L102" s="97"/>
    </row>
    <row r="103" s="7" customFormat="true" ht="15.75" hidden="false" customHeight="true" outlineLevel="0" collapsed="false">
      <c r="B103" s="165" t="s">
        <v>97</v>
      </c>
      <c r="C103" s="92" t="s">
        <v>74</v>
      </c>
      <c r="D103" s="92"/>
      <c r="E103" s="92"/>
      <c r="F103" s="166" t="n">
        <v>1</v>
      </c>
      <c r="G103" s="24"/>
      <c r="H103" s="165"/>
      <c r="I103" s="242" t="s">
        <v>169</v>
      </c>
      <c r="J103" s="243" t="n">
        <v>42</v>
      </c>
      <c r="K103" s="244" t="n">
        <v>3</v>
      </c>
      <c r="L103" s="97"/>
    </row>
    <row r="104" s="7" customFormat="true" ht="15.75" hidden="false" customHeight="true" outlineLevel="0" collapsed="false">
      <c r="B104" s="165"/>
      <c r="C104" s="163" t="s">
        <v>98</v>
      </c>
      <c r="D104" s="45" t="n">
        <v>20</v>
      </c>
      <c r="E104" s="140" t="n">
        <v>1</v>
      </c>
      <c r="F104" s="166"/>
      <c r="G104" s="24"/>
      <c r="H104" s="41" t="s">
        <v>100</v>
      </c>
      <c r="I104" s="42" t="s">
        <v>101</v>
      </c>
      <c r="J104" s="42"/>
      <c r="K104" s="42"/>
      <c r="L104" s="97" t="n">
        <v>5</v>
      </c>
    </row>
    <row r="105" s="7" customFormat="true" ht="15.75" hidden="false" customHeight="true" outlineLevel="0" collapsed="false">
      <c r="B105" s="165"/>
      <c r="C105" s="163" t="s">
        <v>99</v>
      </c>
      <c r="D105" s="164" t="n">
        <v>14</v>
      </c>
      <c r="E105" s="139" t="n">
        <v>1</v>
      </c>
      <c r="F105" s="166"/>
      <c r="G105" s="24"/>
      <c r="H105" s="41"/>
      <c r="I105" s="163" t="s">
        <v>102</v>
      </c>
      <c r="J105" s="167" t="n">
        <v>24</v>
      </c>
      <c r="K105" s="45" t="n">
        <v>2</v>
      </c>
      <c r="L105" s="97"/>
    </row>
    <row r="106" s="7" customFormat="true" ht="15.75" hidden="false" customHeight="true" outlineLevel="0" collapsed="false">
      <c r="B106" s="41" t="s">
        <v>100</v>
      </c>
      <c r="C106" s="42" t="s">
        <v>101</v>
      </c>
      <c r="D106" s="42"/>
      <c r="E106" s="42"/>
      <c r="F106" s="97" t="n">
        <v>5</v>
      </c>
      <c r="G106" s="24"/>
      <c r="H106" s="41"/>
      <c r="I106" s="44" t="s">
        <v>103</v>
      </c>
      <c r="J106" s="140" t="n">
        <v>30</v>
      </c>
      <c r="K106" s="140" t="n">
        <v>3</v>
      </c>
      <c r="L106" s="97"/>
    </row>
    <row r="107" s="172" customFormat="true" ht="15.75" hidden="false" customHeight="true" outlineLevel="0" collapsed="false">
      <c r="A107" s="7"/>
      <c r="B107" s="41"/>
      <c r="C107" s="163" t="s">
        <v>102</v>
      </c>
      <c r="D107" s="167" t="n">
        <v>24</v>
      </c>
      <c r="E107" s="45" t="n">
        <v>2</v>
      </c>
      <c r="F107" s="97"/>
      <c r="G107" s="24"/>
      <c r="H107" s="41"/>
      <c r="I107" s="168" t="s">
        <v>104</v>
      </c>
      <c r="J107" s="169" t="n">
        <v>40</v>
      </c>
      <c r="K107" s="170" t="n">
        <v>4</v>
      </c>
      <c r="L107" s="9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</row>
    <row r="108" s="172" customFormat="true" ht="15.75" hidden="false" customHeight="true" outlineLevel="0" collapsed="false">
      <c r="A108" s="7"/>
      <c r="B108" s="41"/>
      <c r="C108" s="44" t="s">
        <v>103</v>
      </c>
      <c r="D108" s="140" t="n">
        <v>30</v>
      </c>
      <c r="E108" s="140" t="n">
        <v>3</v>
      </c>
      <c r="F108" s="97"/>
      <c r="G108" s="24"/>
      <c r="H108" s="48" t="s">
        <v>105</v>
      </c>
      <c r="I108" s="49" t="s">
        <v>29</v>
      </c>
      <c r="J108" s="49"/>
      <c r="K108" s="49"/>
      <c r="L108" s="145" t="n">
        <v>2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</row>
    <row r="109" s="172" customFormat="true" ht="15.75" hidden="false" customHeight="true" outlineLevel="0" collapsed="false">
      <c r="A109" s="7"/>
      <c r="B109" s="41"/>
      <c r="C109" s="168" t="s">
        <v>104</v>
      </c>
      <c r="D109" s="169" t="n">
        <v>40</v>
      </c>
      <c r="E109" s="170" t="n">
        <v>4</v>
      </c>
      <c r="F109" s="97"/>
      <c r="G109" s="24"/>
      <c r="H109" s="48"/>
      <c r="I109" s="144" t="s">
        <v>106</v>
      </c>
      <c r="J109" s="171" t="n">
        <v>12</v>
      </c>
      <c r="K109" s="171" t="n">
        <v>1</v>
      </c>
      <c r="L109" s="145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</row>
    <row r="110" s="172" customFormat="true" ht="15.75" hidden="false" customHeight="true" outlineLevel="0" collapsed="false">
      <c r="A110" s="7"/>
      <c r="B110" s="101" t="s">
        <v>105</v>
      </c>
      <c r="C110" s="49" t="s">
        <v>29</v>
      </c>
      <c r="D110" s="49"/>
      <c r="E110" s="49"/>
      <c r="F110" s="145" t="n">
        <v>2</v>
      </c>
      <c r="G110" s="24"/>
      <c r="H110" s="48"/>
      <c r="I110" s="64" t="s">
        <v>107</v>
      </c>
      <c r="J110" s="60" t="n">
        <v>18</v>
      </c>
      <c r="K110" s="60" t="n">
        <v>1</v>
      </c>
      <c r="L110" s="145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</row>
    <row r="111" s="172" customFormat="true" ht="15.75" hidden="false" customHeight="true" outlineLevel="0" collapsed="false">
      <c r="A111" s="7"/>
      <c r="B111" s="101"/>
      <c r="C111" s="58" t="s">
        <v>106</v>
      </c>
      <c r="D111" s="171" t="n">
        <v>12</v>
      </c>
      <c r="E111" s="171" t="n">
        <v>1</v>
      </c>
      <c r="F111" s="145"/>
      <c r="G111" s="24"/>
      <c r="H111" s="48" t="s">
        <v>170</v>
      </c>
      <c r="I111" s="61" t="s">
        <v>33</v>
      </c>
      <c r="J111" s="61"/>
      <c r="K111" s="61"/>
      <c r="L111" s="145" t="n">
        <v>1</v>
      </c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</row>
    <row r="112" s="172" customFormat="true" ht="15.75" hidden="false" customHeight="true" outlineLevel="0" collapsed="false">
      <c r="A112" s="7"/>
      <c r="B112" s="101"/>
      <c r="C112" s="245" t="s">
        <v>107</v>
      </c>
      <c r="D112" s="60" t="n">
        <v>18</v>
      </c>
      <c r="E112" s="60" t="n">
        <v>1</v>
      </c>
      <c r="F112" s="145"/>
      <c r="G112" s="24"/>
      <c r="H112" s="48"/>
      <c r="I112" s="64" t="s">
        <v>84</v>
      </c>
      <c r="J112" s="171" t="n">
        <v>30</v>
      </c>
      <c r="K112" s="171" t="n">
        <v>1</v>
      </c>
      <c r="L112" s="14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</row>
    <row r="113" s="172" customFormat="true" ht="15.75" hidden="false" customHeight="true" outlineLevel="0" collapsed="false">
      <c r="A113" s="7"/>
      <c r="B113" s="101" t="s">
        <v>108</v>
      </c>
      <c r="C113" s="61" t="s">
        <v>33</v>
      </c>
      <c r="D113" s="61"/>
      <c r="E113" s="61"/>
      <c r="F113" s="145" t="n">
        <v>1</v>
      </c>
      <c r="G113" s="24"/>
      <c r="H113" s="48" t="s">
        <v>109</v>
      </c>
      <c r="I113" s="61" t="s">
        <v>36</v>
      </c>
      <c r="J113" s="61"/>
      <c r="K113" s="61"/>
      <c r="L113" s="145" t="n">
        <v>1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</row>
    <row r="114" s="7" customFormat="true" ht="15.75" hidden="false" customHeight="true" outlineLevel="0" collapsed="false">
      <c r="B114" s="101"/>
      <c r="C114" s="64" t="s">
        <v>84</v>
      </c>
      <c r="D114" s="171" t="n">
        <v>30</v>
      </c>
      <c r="E114" s="171" t="n">
        <v>1</v>
      </c>
      <c r="F114" s="145"/>
      <c r="G114" s="24"/>
      <c r="H114" s="48"/>
      <c r="I114" s="64" t="s">
        <v>110</v>
      </c>
      <c r="J114" s="60" t="n">
        <v>20</v>
      </c>
      <c r="K114" s="60" t="n">
        <v>1</v>
      </c>
      <c r="L114" s="145"/>
    </row>
    <row r="115" s="7" customFormat="true" ht="15.75" hidden="false" customHeight="true" outlineLevel="0" collapsed="false">
      <c r="A115" s="172"/>
      <c r="B115" s="48" t="s">
        <v>109</v>
      </c>
      <c r="C115" s="61" t="s">
        <v>36</v>
      </c>
      <c r="D115" s="61"/>
      <c r="E115" s="61"/>
      <c r="F115" s="145" t="n">
        <v>1</v>
      </c>
      <c r="G115" s="24"/>
      <c r="H115" s="48"/>
      <c r="I115" s="173" t="s">
        <v>38</v>
      </c>
      <c r="J115" s="174" t="n">
        <f aca="false">SUM(J98:J114)</f>
        <v>327</v>
      </c>
      <c r="K115" s="174"/>
      <c r="L115" s="154" t="n">
        <f aca="false">L97+L101+L104+L108+L111+L113</f>
        <v>16</v>
      </c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  <c r="GH115" s="172"/>
      <c r="GI115" s="172"/>
      <c r="GJ115" s="172"/>
      <c r="GK115" s="172"/>
      <c r="GL115" s="172"/>
      <c r="GM115" s="172"/>
      <c r="GN115" s="172"/>
      <c r="GO115" s="172"/>
      <c r="GP115" s="172"/>
      <c r="GQ115" s="172"/>
      <c r="GR115" s="172"/>
      <c r="GS115" s="172"/>
      <c r="GT115" s="172"/>
      <c r="GU115" s="172"/>
      <c r="GV115" s="172"/>
      <c r="GW115" s="172"/>
      <c r="GX115" s="172"/>
      <c r="GY115" s="172"/>
      <c r="GZ115" s="172"/>
      <c r="HA115" s="172"/>
      <c r="HB115" s="172"/>
      <c r="HC115" s="172"/>
      <c r="HD115" s="172"/>
      <c r="HE115" s="172"/>
      <c r="HF115" s="172"/>
      <c r="HG115" s="172"/>
      <c r="HH115" s="172"/>
      <c r="HI115" s="172"/>
      <c r="HJ115" s="172"/>
      <c r="HK115" s="172"/>
      <c r="HL115" s="172"/>
      <c r="HM115" s="172"/>
      <c r="HN115" s="172"/>
      <c r="HO115" s="172"/>
      <c r="HP115" s="172"/>
      <c r="HQ115" s="172"/>
      <c r="HR115" s="172"/>
      <c r="HS115" s="172"/>
      <c r="HT115" s="172"/>
      <c r="HU115" s="172"/>
      <c r="HV115" s="172"/>
      <c r="HW115" s="172"/>
      <c r="HX115" s="172"/>
      <c r="HY115" s="172"/>
      <c r="HZ115" s="172"/>
      <c r="IA115" s="172"/>
      <c r="IB115" s="172"/>
      <c r="IC115" s="172"/>
      <c r="ID115" s="172"/>
      <c r="IE115" s="172"/>
      <c r="IF115" s="172"/>
      <c r="IG115" s="172"/>
      <c r="IH115" s="172"/>
      <c r="II115" s="172"/>
      <c r="IJ115" s="172"/>
      <c r="IK115" s="172"/>
      <c r="IL115" s="172"/>
      <c r="IM115" s="172"/>
      <c r="IN115" s="172"/>
      <c r="IO115" s="172"/>
      <c r="IP115" s="172"/>
      <c r="IQ115" s="172"/>
      <c r="IR115" s="172"/>
      <c r="IS115" s="172"/>
      <c r="IT115" s="172"/>
      <c r="IU115" s="172"/>
      <c r="IV115" s="172"/>
      <c r="IW115" s="172"/>
      <c r="IX115" s="172"/>
      <c r="IY115" s="172"/>
      <c r="IZ115" s="172"/>
      <c r="JA115" s="172"/>
      <c r="JB115" s="172"/>
      <c r="JC115" s="172"/>
      <c r="JD115" s="172"/>
      <c r="JE115" s="172"/>
      <c r="JF115" s="172"/>
      <c r="JG115" s="172"/>
      <c r="JH115" s="172"/>
      <c r="JI115" s="172"/>
      <c r="JJ115" s="172"/>
      <c r="JK115" s="172"/>
      <c r="JL115" s="172"/>
      <c r="JM115" s="172"/>
      <c r="JN115" s="172"/>
      <c r="JO115" s="172"/>
      <c r="JP115" s="172"/>
      <c r="JQ115" s="172"/>
      <c r="JR115" s="172"/>
      <c r="JS115" s="172"/>
      <c r="JT115" s="172"/>
      <c r="JU115" s="172"/>
      <c r="JV115" s="172"/>
      <c r="JW115" s="172"/>
      <c r="JX115" s="172"/>
      <c r="JY115" s="172"/>
      <c r="JZ115" s="172"/>
      <c r="KA115" s="172"/>
      <c r="KB115" s="172"/>
      <c r="KC115" s="172"/>
      <c r="KD115" s="172"/>
      <c r="KE115" s="172"/>
      <c r="KF115" s="172"/>
      <c r="KG115" s="172"/>
      <c r="KH115" s="172"/>
      <c r="KI115" s="172"/>
      <c r="KJ115" s="172"/>
      <c r="KK115" s="172"/>
      <c r="KL115" s="172"/>
      <c r="KM115" s="172"/>
      <c r="KN115" s="172"/>
      <c r="KO115" s="172"/>
      <c r="KP115" s="172"/>
      <c r="KQ115" s="172"/>
      <c r="KR115" s="172"/>
      <c r="KS115" s="172"/>
      <c r="KT115" s="172"/>
      <c r="KU115" s="172"/>
      <c r="KV115" s="172"/>
      <c r="KW115" s="172"/>
      <c r="KX115" s="172"/>
      <c r="KY115" s="172"/>
      <c r="KZ115" s="172"/>
      <c r="LA115" s="172"/>
      <c r="LB115" s="172"/>
      <c r="LC115" s="172"/>
      <c r="LD115" s="172"/>
      <c r="LE115" s="172"/>
      <c r="LF115" s="172"/>
      <c r="LG115" s="172"/>
      <c r="LH115" s="172"/>
      <c r="LI115" s="172"/>
      <c r="LJ115" s="172"/>
      <c r="LK115" s="172"/>
      <c r="LL115" s="172"/>
      <c r="LM115" s="172"/>
      <c r="LN115" s="172"/>
      <c r="LO115" s="172"/>
      <c r="LP115" s="172"/>
      <c r="LQ115" s="172"/>
      <c r="LR115" s="172"/>
      <c r="LS115" s="172"/>
      <c r="LT115" s="172"/>
      <c r="LU115" s="172"/>
      <c r="LV115" s="172"/>
      <c r="LW115" s="172"/>
      <c r="LX115" s="172"/>
      <c r="LY115" s="172"/>
      <c r="LZ115" s="172"/>
      <c r="MA115" s="172"/>
      <c r="MB115" s="172"/>
      <c r="MC115" s="172"/>
      <c r="MD115" s="172"/>
      <c r="ME115" s="172"/>
      <c r="MF115" s="172"/>
      <c r="MG115" s="172"/>
      <c r="MH115" s="172"/>
      <c r="MI115" s="172"/>
      <c r="MJ115" s="172"/>
      <c r="MK115" s="172"/>
      <c r="ML115" s="172"/>
      <c r="MM115" s="172"/>
      <c r="MN115" s="172"/>
      <c r="MO115" s="172"/>
      <c r="MP115" s="172"/>
      <c r="MQ115" s="172"/>
      <c r="MR115" s="172"/>
      <c r="MS115" s="172"/>
      <c r="MT115" s="172"/>
      <c r="MU115" s="172"/>
      <c r="MV115" s="172"/>
      <c r="MW115" s="172"/>
      <c r="MX115" s="172"/>
      <c r="MY115" s="172"/>
      <c r="MZ115" s="172"/>
      <c r="NA115" s="172"/>
      <c r="NB115" s="172"/>
      <c r="NC115" s="172"/>
      <c r="ND115" s="172"/>
      <c r="NE115" s="172"/>
      <c r="NF115" s="172"/>
      <c r="NG115" s="172"/>
      <c r="NH115" s="172"/>
      <c r="NI115" s="172"/>
      <c r="NJ115" s="172"/>
      <c r="NK115" s="172"/>
      <c r="NL115" s="172"/>
      <c r="NM115" s="172"/>
      <c r="NN115" s="172"/>
      <c r="NO115" s="172"/>
      <c r="NP115" s="172"/>
      <c r="NQ115" s="172"/>
      <c r="NR115" s="172"/>
      <c r="NS115" s="172"/>
      <c r="NT115" s="172"/>
      <c r="NU115" s="172"/>
      <c r="NV115" s="172"/>
      <c r="NW115" s="172"/>
      <c r="NX115" s="172"/>
      <c r="NY115" s="172"/>
      <c r="NZ115" s="172"/>
      <c r="OA115" s="172"/>
      <c r="OB115" s="172"/>
      <c r="OC115" s="172"/>
      <c r="OD115" s="172"/>
      <c r="OE115" s="172"/>
      <c r="OF115" s="172"/>
      <c r="OG115" s="172"/>
      <c r="OH115" s="172"/>
      <c r="OI115" s="172"/>
      <c r="OJ115" s="172"/>
      <c r="OK115" s="172"/>
      <c r="OL115" s="172"/>
      <c r="OM115" s="172"/>
      <c r="ON115" s="172"/>
      <c r="OO115" s="172"/>
      <c r="OP115" s="172"/>
      <c r="OQ115" s="172"/>
      <c r="OR115" s="172"/>
      <c r="OS115" s="172"/>
      <c r="OT115" s="172"/>
      <c r="OU115" s="172"/>
      <c r="OV115" s="172"/>
      <c r="OW115" s="172"/>
      <c r="OX115" s="172"/>
      <c r="OY115" s="172"/>
      <c r="OZ115" s="172"/>
      <c r="PA115" s="172"/>
      <c r="PB115" s="172"/>
      <c r="PC115" s="172"/>
      <c r="PD115" s="172"/>
      <c r="PE115" s="172"/>
      <c r="PF115" s="172"/>
      <c r="PG115" s="172"/>
      <c r="PH115" s="172"/>
      <c r="PI115" s="172"/>
      <c r="PJ115" s="172"/>
      <c r="PK115" s="172"/>
      <c r="PL115" s="172"/>
      <c r="PM115" s="172"/>
      <c r="PN115" s="172"/>
      <c r="PO115" s="172"/>
      <c r="PP115" s="172"/>
      <c r="PQ115" s="172"/>
      <c r="PR115" s="172"/>
      <c r="PS115" s="172"/>
      <c r="PT115" s="172"/>
      <c r="PU115" s="172"/>
      <c r="PV115" s="172"/>
      <c r="PW115" s="172"/>
      <c r="PX115" s="172"/>
      <c r="PY115" s="172"/>
      <c r="PZ115" s="172"/>
      <c r="QA115" s="172"/>
      <c r="QB115" s="172"/>
      <c r="QC115" s="172"/>
      <c r="QD115" s="172"/>
      <c r="QE115" s="172"/>
      <c r="QF115" s="172"/>
      <c r="QG115" s="172"/>
      <c r="QH115" s="172"/>
      <c r="QI115" s="172"/>
      <c r="QJ115" s="172"/>
      <c r="QK115" s="172"/>
      <c r="QL115" s="172"/>
      <c r="QM115" s="172"/>
      <c r="QN115" s="172"/>
      <c r="QO115" s="172"/>
      <c r="QP115" s="172"/>
      <c r="QQ115" s="172"/>
      <c r="QR115" s="172"/>
      <c r="QS115" s="172"/>
      <c r="QT115" s="172"/>
      <c r="QU115" s="172"/>
      <c r="QV115" s="172"/>
      <c r="QW115" s="172"/>
      <c r="QX115" s="172"/>
      <c r="QY115" s="172"/>
      <c r="QZ115" s="172"/>
      <c r="RA115" s="172"/>
      <c r="RB115" s="172"/>
      <c r="RC115" s="172"/>
      <c r="RD115" s="172"/>
      <c r="RE115" s="172"/>
      <c r="RF115" s="172"/>
      <c r="RG115" s="172"/>
      <c r="RH115" s="172"/>
      <c r="RI115" s="172"/>
      <c r="RJ115" s="172"/>
      <c r="RK115" s="172"/>
      <c r="RL115" s="172"/>
      <c r="RM115" s="172"/>
      <c r="RN115" s="172"/>
      <c r="RO115" s="172"/>
      <c r="RP115" s="172"/>
      <c r="RQ115" s="172"/>
      <c r="RR115" s="172"/>
      <c r="RS115" s="172"/>
      <c r="RT115" s="172"/>
      <c r="RU115" s="172"/>
      <c r="RV115" s="172"/>
      <c r="RW115" s="172"/>
      <c r="RX115" s="172"/>
      <c r="RY115" s="172"/>
      <c r="RZ115" s="172"/>
      <c r="SA115" s="172"/>
      <c r="SB115" s="172"/>
      <c r="SC115" s="172"/>
      <c r="SD115" s="172"/>
      <c r="SE115" s="172"/>
      <c r="SF115" s="172"/>
      <c r="SG115" s="172"/>
      <c r="SH115" s="172"/>
      <c r="SI115" s="172"/>
      <c r="SJ115" s="172"/>
      <c r="SK115" s="172"/>
      <c r="SL115" s="172"/>
      <c r="SM115" s="172"/>
      <c r="SN115" s="172"/>
      <c r="SO115" s="172"/>
      <c r="SP115" s="172"/>
      <c r="SQ115" s="172"/>
      <c r="SR115" s="172"/>
      <c r="SS115" s="172"/>
      <c r="ST115" s="172"/>
      <c r="SU115" s="172"/>
      <c r="SV115" s="172"/>
      <c r="SW115" s="172"/>
      <c r="SX115" s="172"/>
      <c r="SY115" s="172"/>
      <c r="SZ115" s="172"/>
      <c r="TA115" s="172"/>
      <c r="TB115" s="172"/>
      <c r="TC115" s="172"/>
      <c r="TD115" s="172"/>
      <c r="TE115" s="172"/>
      <c r="TF115" s="172"/>
      <c r="TG115" s="172"/>
      <c r="TH115" s="172"/>
      <c r="TI115" s="172"/>
      <c r="TJ115" s="172"/>
      <c r="TK115" s="172"/>
      <c r="TL115" s="172"/>
      <c r="TM115" s="172"/>
      <c r="TN115" s="172"/>
      <c r="TO115" s="172"/>
      <c r="TP115" s="172"/>
      <c r="TQ115" s="172"/>
      <c r="TR115" s="172"/>
      <c r="TS115" s="172"/>
      <c r="TT115" s="172"/>
      <c r="TU115" s="172"/>
      <c r="TV115" s="172"/>
      <c r="TW115" s="172"/>
      <c r="TX115" s="172"/>
      <c r="TY115" s="172"/>
      <c r="TZ115" s="172"/>
      <c r="UA115" s="172"/>
      <c r="UB115" s="172"/>
      <c r="UC115" s="172"/>
      <c r="UD115" s="172"/>
      <c r="UE115" s="172"/>
      <c r="UF115" s="172"/>
      <c r="UG115" s="172"/>
      <c r="UH115" s="172"/>
      <c r="UI115" s="172"/>
      <c r="UJ115" s="172"/>
      <c r="UK115" s="172"/>
      <c r="UL115" s="172"/>
      <c r="UM115" s="172"/>
      <c r="UN115" s="172"/>
      <c r="UO115" s="172"/>
      <c r="UP115" s="172"/>
      <c r="UQ115" s="172"/>
      <c r="UR115" s="172"/>
      <c r="US115" s="172"/>
      <c r="UT115" s="172"/>
      <c r="UU115" s="172"/>
      <c r="UV115" s="172"/>
      <c r="UW115" s="172"/>
      <c r="UX115" s="172"/>
      <c r="UY115" s="172"/>
      <c r="UZ115" s="172"/>
      <c r="VA115" s="172"/>
      <c r="VB115" s="172"/>
      <c r="VC115" s="172"/>
      <c r="VD115" s="172"/>
      <c r="VE115" s="172"/>
      <c r="VF115" s="172"/>
      <c r="VG115" s="172"/>
      <c r="VH115" s="172"/>
      <c r="VI115" s="172"/>
      <c r="VJ115" s="172"/>
      <c r="VK115" s="172"/>
      <c r="VL115" s="172"/>
      <c r="VM115" s="172"/>
      <c r="VN115" s="172"/>
      <c r="VO115" s="172"/>
      <c r="VP115" s="172"/>
      <c r="VQ115" s="172"/>
      <c r="VR115" s="172"/>
      <c r="VS115" s="172"/>
      <c r="VT115" s="172"/>
      <c r="VU115" s="172"/>
      <c r="VV115" s="172"/>
      <c r="VW115" s="172"/>
      <c r="VX115" s="172"/>
      <c r="VY115" s="172"/>
      <c r="VZ115" s="172"/>
      <c r="WA115" s="172"/>
      <c r="WB115" s="172"/>
      <c r="WC115" s="172"/>
      <c r="WD115" s="172"/>
      <c r="WE115" s="172"/>
      <c r="WF115" s="172"/>
      <c r="WG115" s="172"/>
      <c r="WH115" s="172"/>
      <c r="WI115" s="172"/>
      <c r="WJ115" s="172"/>
      <c r="WK115" s="172"/>
      <c r="WL115" s="172"/>
      <c r="WM115" s="172"/>
      <c r="WN115" s="172"/>
      <c r="WO115" s="172"/>
      <c r="WP115" s="172"/>
      <c r="WQ115" s="172"/>
      <c r="WR115" s="172"/>
      <c r="WS115" s="172"/>
      <c r="WT115" s="172"/>
      <c r="WU115" s="172"/>
      <c r="WV115" s="172"/>
      <c r="WW115" s="172"/>
      <c r="WX115" s="172"/>
      <c r="WY115" s="172"/>
      <c r="WZ115" s="172"/>
      <c r="XA115" s="172"/>
      <c r="XB115" s="172"/>
      <c r="XC115" s="172"/>
      <c r="XD115" s="172"/>
      <c r="XE115" s="172"/>
      <c r="XF115" s="172"/>
      <c r="XG115" s="172"/>
      <c r="XH115" s="172"/>
      <c r="XI115" s="172"/>
      <c r="XJ115" s="172"/>
      <c r="XK115" s="172"/>
      <c r="XL115" s="172"/>
      <c r="XM115" s="172"/>
      <c r="XN115" s="172"/>
      <c r="XO115" s="172"/>
      <c r="XP115" s="172"/>
      <c r="XQ115" s="172"/>
      <c r="XR115" s="172"/>
      <c r="XS115" s="172"/>
      <c r="XT115" s="172"/>
      <c r="XU115" s="172"/>
      <c r="XV115" s="172"/>
      <c r="XW115" s="172"/>
      <c r="XX115" s="172"/>
      <c r="XY115" s="172"/>
      <c r="XZ115" s="172"/>
      <c r="YA115" s="172"/>
      <c r="YB115" s="172"/>
      <c r="YC115" s="172"/>
      <c r="YD115" s="172"/>
      <c r="YE115" s="172"/>
      <c r="YF115" s="172"/>
      <c r="YG115" s="172"/>
      <c r="YH115" s="172"/>
      <c r="YI115" s="172"/>
      <c r="YJ115" s="172"/>
      <c r="YK115" s="172"/>
      <c r="YL115" s="172"/>
      <c r="YM115" s="172"/>
      <c r="YN115" s="172"/>
      <c r="YO115" s="172"/>
      <c r="YP115" s="172"/>
      <c r="YQ115" s="172"/>
      <c r="YR115" s="172"/>
      <c r="YS115" s="172"/>
      <c r="YT115" s="172"/>
      <c r="YU115" s="172"/>
      <c r="YV115" s="172"/>
      <c r="YW115" s="172"/>
      <c r="YX115" s="172"/>
      <c r="YY115" s="172"/>
      <c r="YZ115" s="172"/>
      <c r="ZA115" s="172"/>
      <c r="ZB115" s="172"/>
      <c r="ZC115" s="172"/>
      <c r="ZD115" s="172"/>
      <c r="ZE115" s="172"/>
      <c r="ZF115" s="172"/>
      <c r="ZG115" s="172"/>
      <c r="ZH115" s="172"/>
      <c r="ZI115" s="172"/>
      <c r="ZJ115" s="172"/>
      <c r="ZK115" s="172"/>
      <c r="ZL115" s="172"/>
      <c r="ZM115" s="172"/>
      <c r="ZN115" s="172"/>
      <c r="ZO115" s="172"/>
      <c r="ZP115" s="172"/>
      <c r="ZQ115" s="172"/>
      <c r="ZR115" s="172"/>
      <c r="ZS115" s="172"/>
      <c r="ZT115" s="172"/>
      <c r="ZU115" s="172"/>
      <c r="ZV115" s="172"/>
      <c r="ZW115" s="172"/>
      <c r="ZX115" s="172"/>
      <c r="ZY115" s="172"/>
      <c r="ZZ115" s="172"/>
      <c r="AAA115" s="172"/>
      <c r="AAB115" s="172"/>
      <c r="AAC115" s="172"/>
      <c r="AAD115" s="172"/>
      <c r="AAE115" s="172"/>
      <c r="AAF115" s="172"/>
      <c r="AAG115" s="172"/>
      <c r="AAH115" s="172"/>
      <c r="AAI115" s="172"/>
      <c r="AAJ115" s="172"/>
      <c r="AAK115" s="172"/>
      <c r="AAL115" s="172"/>
      <c r="AAM115" s="172"/>
      <c r="AAN115" s="172"/>
      <c r="AAO115" s="172"/>
      <c r="AAP115" s="172"/>
      <c r="AAQ115" s="172"/>
      <c r="AAR115" s="172"/>
      <c r="AAS115" s="172"/>
      <c r="AAT115" s="172"/>
      <c r="AAU115" s="172"/>
      <c r="AAV115" s="172"/>
      <c r="AAW115" s="172"/>
      <c r="AAX115" s="172"/>
      <c r="AAY115" s="172"/>
      <c r="AAZ115" s="172"/>
      <c r="ABA115" s="172"/>
      <c r="ABB115" s="172"/>
      <c r="ABC115" s="172"/>
      <c r="ABD115" s="172"/>
      <c r="ABE115" s="172"/>
      <c r="ABF115" s="172"/>
      <c r="ABG115" s="172"/>
      <c r="ABH115" s="172"/>
      <c r="ABI115" s="172"/>
      <c r="ABJ115" s="172"/>
      <c r="ABK115" s="172"/>
      <c r="ABL115" s="172"/>
      <c r="ABM115" s="172"/>
      <c r="ABN115" s="172"/>
      <c r="ABO115" s="172"/>
      <c r="ABP115" s="172"/>
      <c r="ABQ115" s="172"/>
      <c r="ABR115" s="172"/>
      <c r="ABS115" s="172"/>
      <c r="ABT115" s="172"/>
      <c r="ABU115" s="172"/>
      <c r="ABV115" s="172"/>
      <c r="ABW115" s="172"/>
      <c r="ABX115" s="172"/>
      <c r="ABY115" s="172"/>
      <c r="ABZ115" s="172"/>
      <c r="ACA115" s="172"/>
      <c r="ACB115" s="172"/>
      <c r="ACC115" s="172"/>
      <c r="ACD115" s="172"/>
      <c r="ACE115" s="172"/>
      <c r="ACF115" s="172"/>
      <c r="ACG115" s="172"/>
      <c r="ACH115" s="172"/>
      <c r="ACI115" s="172"/>
      <c r="ACJ115" s="172"/>
      <c r="ACK115" s="172"/>
      <c r="ACL115" s="172"/>
      <c r="ACM115" s="172"/>
      <c r="ACN115" s="172"/>
      <c r="ACO115" s="172"/>
      <c r="ACP115" s="172"/>
      <c r="ACQ115" s="172"/>
      <c r="ACR115" s="172"/>
      <c r="ACS115" s="172"/>
      <c r="ACT115" s="172"/>
      <c r="ACU115" s="172"/>
      <c r="ACV115" s="172"/>
      <c r="ACW115" s="172"/>
      <c r="ACX115" s="172"/>
      <c r="ACY115" s="172"/>
      <c r="ACZ115" s="172"/>
      <c r="ADA115" s="172"/>
      <c r="ADB115" s="172"/>
      <c r="ADC115" s="172"/>
      <c r="ADD115" s="172"/>
      <c r="ADE115" s="172"/>
      <c r="ADF115" s="172"/>
      <c r="ADG115" s="172"/>
      <c r="ADH115" s="172"/>
      <c r="ADI115" s="172"/>
      <c r="ADJ115" s="172"/>
      <c r="ADK115" s="172"/>
      <c r="ADL115" s="172"/>
      <c r="ADM115" s="172"/>
      <c r="ADN115" s="172"/>
      <c r="ADO115" s="172"/>
      <c r="ADP115" s="172"/>
      <c r="ADQ115" s="172"/>
      <c r="ADR115" s="172"/>
      <c r="ADS115" s="172"/>
      <c r="ADT115" s="172"/>
      <c r="ADU115" s="172"/>
      <c r="ADV115" s="172"/>
      <c r="ADW115" s="172"/>
      <c r="ADX115" s="172"/>
      <c r="ADY115" s="172"/>
      <c r="ADZ115" s="172"/>
      <c r="AEA115" s="172"/>
      <c r="AEB115" s="172"/>
      <c r="AEC115" s="172"/>
      <c r="AED115" s="172"/>
      <c r="AEE115" s="172"/>
      <c r="AEF115" s="172"/>
      <c r="AEG115" s="172"/>
      <c r="AEH115" s="172"/>
      <c r="AEI115" s="172"/>
      <c r="AEJ115" s="172"/>
      <c r="AEK115" s="172"/>
      <c r="AEL115" s="172"/>
      <c r="AEM115" s="172"/>
      <c r="AEN115" s="172"/>
      <c r="AEO115" s="172"/>
      <c r="AEP115" s="172"/>
      <c r="AEQ115" s="172"/>
      <c r="AER115" s="172"/>
      <c r="AES115" s="172"/>
      <c r="AET115" s="172"/>
      <c r="AEU115" s="172"/>
      <c r="AEV115" s="172"/>
      <c r="AEW115" s="172"/>
      <c r="AEX115" s="172"/>
      <c r="AEY115" s="172"/>
      <c r="AEZ115" s="172"/>
      <c r="AFA115" s="172"/>
      <c r="AFB115" s="172"/>
      <c r="AFC115" s="172"/>
      <c r="AFD115" s="172"/>
      <c r="AFE115" s="172"/>
      <c r="AFF115" s="172"/>
      <c r="AFG115" s="172"/>
      <c r="AFH115" s="172"/>
      <c r="AFI115" s="172"/>
      <c r="AFJ115" s="172"/>
      <c r="AFK115" s="172"/>
      <c r="AFL115" s="172"/>
      <c r="AFM115" s="172"/>
      <c r="AFN115" s="172"/>
      <c r="AFO115" s="172"/>
      <c r="AFP115" s="172"/>
      <c r="AFQ115" s="172"/>
      <c r="AFR115" s="172"/>
      <c r="AFS115" s="172"/>
      <c r="AFT115" s="172"/>
      <c r="AFU115" s="172"/>
      <c r="AFV115" s="172"/>
      <c r="AFW115" s="172"/>
      <c r="AFX115" s="172"/>
      <c r="AFY115" s="172"/>
      <c r="AFZ115" s="172"/>
      <c r="AGA115" s="172"/>
      <c r="AGB115" s="172"/>
      <c r="AGC115" s="172"/>
      <c r="AGD115" s="172"/>
      <c r="AGE115" s="172"/>
      <c r="AGF115" s="172"/>
      <c r="AGG115" s="172"/>
      <c r="AGH115" s="172"/>
      <c r="AGI115" s="172"/>
      <c r="AGJ115" s="172"/>
      <c r="AGK115" s="172"/>
      <c r="AGL115" s="172"/>
      <c r="AGM115" s="172"/>
      <c r="AGN115" s="172"/>
      <c r="AGO115" s="172"/>
      <c r="AGP115" s="172"/>
      <c r="AGQ115" s="172"/>
      <c r="AGR115" s="172"/>
      <c r="AGS115" s="172"/>
      <c r="AGT115" s="172"/>
      <c r="AGU115" s="172"/>
      <c r="AGV115" s="172"/>
      <c r="AGW115" s="172"/>
      <c r="AGX115" s="172"/>
      <c r="AGY115" s="172"/>
      <c r="AGZ115" s="172"/>
      <c r="AHA115" s="172"/>
      <c r="AHB115" s="172"/>
      <c r="AHC115" s="172"/>
      <c r="AHD115" s="172"/>
      <c r="AHE115" s="172"/>
      <c r="AHF115" s="172"/>
      <c r="AHG115" s="172"/>
      <c r="AHH115" s="172"/>
      <c r="AHI115" s="172"/>
      <c r="AHJ115" s="172"/>
      <c r="AHK115" s="172"/>
      <c r="AHL115" s="172"/>
      <c r="AHM115" s="172"/>
      <c r="AHN115" s="172"/>
      <c r="AHO115" s="172"/>
      <c r="AHP115" s="172"/>
      <c r="AHQ115" s="172"/>
      <c r="AHR115" s="172"/>
      <c r="AHS115" s="172"/>
      <c r="AHT115" s="172"/>
      <c r="AHU115" s="172"/>
      <c r="AHV115" s="172"/>
      <c r="AHW115" s="172"/>
      <c r="AHX115" s="172"/>
      <c r="AHY115" s="172"/>
      <c r="AHZ115" s="172"/>
      <c r="AIA115" s="172"/>
      <c r="AIB115" s="172"/>
      <c r="AIC115" s="172"/>
      <c r="AID115" s="172"/>
      <c r="AIE115" s="172"/>
      <c r="AIF115" s="172"/>
      <c r="AIG115" s="172"/>
      <c r="AIH115" s="172"/>
      <c r="AII115" s="172"/>
      <c r="AIJ115" s="172"/>
      <c r="AIK115" s="172"/>
      <c r="AIL115" s="172"/>
      <c r="AIM115" s="172"/>
      <c r="AIN115" s="172"/>
      <c r="AIO115" s="172"/>
      <c r="AIP115" s="172"/>
      <c r="AIQ115" s="172"/>
      <c r="AIR115" s="172"/>
      <c r="AIS115" s="172"/>
      <c r="AIT115" s="172"/>
      <c r="AIU115" s="172"/>
      <c r="AIV115" s="172"/>
      <c r="AIW115" s="172"/>
      <c r="AIX115" s="172"/>
      <c r="AIY115" s="172"/>
      <c r="AIZ115" s="172"/>
      <c r="AJA115" s="172"/>
      <c r="AJB115" s="172"/>
      <c r="AJC115" s="172"/>
      <c r="AJD115" s="172"/>
      <c r="AJE115" s="172"/>
      <c r="AJF115" s="172"/>
      <c r="AJG115" s="172"/>
      <c r="AJH115" s="172"/>
      <c r="AJI115" s="172"/>
      <c r="AJJ115" s="172"/>
      <c r="AJK115" s="172"/>
      <c r="AJL115" s="172"/>
      <c r="AJM115" s="172"/>
      <c r="AJN115" s="172"/>
      <c r="AJO115" s="172"/>
      <c r="AJP115" s="172"/>
      <c r="AJQ115" s="172"/>
      <c r="AJR115" s="172"/>
      <c r="AJS115" s="172"/>
      <c r="AJT115" s="172"/>
      <c r="AJU115" s="172"/>
      <c r="AJV115" s="172"/>
      <c r="AJW115" s="172"/>
      <c r="AJX115" s="172"/>
      <c r="AJY115" s="172"/>
      <c r="AJZ115" s="172"/>
      <c r="AKA115" s="172"/>
      <c r="AKB115" s="172"/>
      <c r="AKC115" s="172"/>
      <c r="AKD115" s="172"/>
      <c r="AKE115" s="172"/>
      <c r="AKF115" s="172"/>
      <c r="AKG115" s="172"/>
      <c r="AKH115" s="172"/>
      <c r="AKI115" s="172"/>
      <c r="AKJ115" s="172"/>
      <c r="AKK115" s="172"/>
      <c r="AKL115" s="172"/>
      <c r="AKM115" s="172"/>
      <c r="AKN115" s="172"/>
      <c r="AKO115" s="172"/>
      <c r="AKP115" s="172"/>
      <c r="AKQ115" s="172"/>
      <c r="AKR115" s="172"/>
      <c r="AKS115" s="172"/>
      <c r="AKT115" s="172"/>
      <c r="AKU115" s="172"/>
      <c r="AKV115" s="172"/>
      <c r="AKW115" s="172"/>
      <c r="AKX115" s="172"/>
      <c r="AKY115" s="172"/>
      <c r="AKZ115" s="172"/>
      <c r="ALA115" s="172"/>
      <c r="ALB115" s="172"/>
      <c r="ALC115" s="172"/>
      <c r="ALD115" s="172"/>
      <c r="ALE115" s="172"/>
      <c r="ALF115" s="172"/>
      <c r="ALG115" s="172"/>
      <c r="ALH115" s="172"/>
      <c r="ALI115" s="172"/>
      <c r="ALJ115" s="172"/>
      <c r="ALK115" s="172"/>
      <c r="ALL115" s="172"/>
      <c r="ALM115" s="172"/>
      <c r="ALN115" s="172"/>
      <c r="ALO115" s="172"/>
      <c r="ALP115" s="172"/>
      <c r="ALQ115" s="172"/>
      <c r="ALR115" s="172"/>
      <c r="ALS115" s="172"/>
      <c r="ALT115" s="172"/>
      <c r="ALU115" s="172"/>
      <c r="ALV115" s="172"/>
      <c r="ALW115" s="172"/>
      <c r="ALX115" s="172"/>
      <c r="ALY115" s="172"/>
      <c r="ALZ115" s="172"/>
      <c r="AMA115" s="172"/>
      <c r="AMB115" s="172"/>
      <c r="AMC115" s="172"/>
      <c r="AMD115" s="172"/>
      <c r="AME115" s="172"/>
      <c r="AMF115" s="172"/>
      <c r="AMG115" s="172"/>
      <c r="AMH115" s="172"/>
      <c r="AMI115" s="172"/>
      <c r="AMJ115" s="172"/>
    </row>
    <row r="116" s="7" customFormat="true" ht="15.75" hidden="false" customHeight="true" outlineLevel="0" collapsed="false">
      <c r="A116" s="172"/>
      <c r="B116" s="48"/>
      <c r="C116" s="64" t="s">
        <v>110</v>
      </c>
      <c r="D116" s="60" t="n">
        <v>20</v>
      </c>
      <c r="E116" s="60" t="n">
        <v>1</v>
      </c>
      <c r="F116" s="145"/>
      <c r="G116" s="24"/>
      <c r="H116" s="72" t="s">
        <v>111</v>
      </c>
      <c r="I116" s="73" t="s">
        <v>88</v>
      </c>
      <c r="J116" s="74" t="n">
        <v>560</v>
      </c>
      <c r="K116" s="75"/>
      <c r="L116" s="157" t="n">
        <v>14</v>
      </c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  <c r="GH116" s="172"/>
      <c r="GI116" s="172"/>
      <c r="GJ116" s="172"/>
      <c r="GK116" s="172"/>
      <c r="GL116" s="172"/>
      <c r="GM116" s="172"/>
      <c r="GN116" s="172"/>
      <c r="GO116" s="172"/>
      <c r="GP116" s="172"/>
      <c r="GQ116" s="172"/>
      <c r="GR116" s="172"/>
      <c r="GS116" s="172"/>
      <c r="GT116" s="172"/>
      <c r="GU116" s="172"/>
      <c r="GV116" s="172"/>
      <c r="GW116" s="172"/>
      <c r="GX116" s="172"/>
      <c r="GY116" s="172"/>
      <c r="GZ116" s="172"/>
      <c r="HA116" s="172"/>
      <c r="HB116" s="172"/>
      <c r="HC116" s="172"/>
      <c r="HD116" s="172"/>
      <c r="HE116" s="172"/>
      <c r="HF116" s="172"/>
      <c r="HG116" s="172"/>
      <c r="HH116" s="172"/>
      <c r="HI116" s="172"/>
      <c r="HJ116" s="172"/>
      <c r="HK116" s="172"/>
      <c r="HL116" s="172"/>
      <c r="HM116" s="172"/>
      <c r="HN116" s="172"/>
      <c r="HO116" s="172"/>
      <c r="HP116" s="172"/>
      <c r="HQ116" s="172"/>
      <c r="HR116" s="172"/>
      <c r="HS116" s="172"/>
      <c r="HT116" s="172"/>
      <c r="HU116" s="172"/>
      <c r="HV116" s="172"/>
      <c r="HW116" s="172"/>
      <c r="HX116" s="172"/>
      <c r="HY116" s="172"/>
      <c r="HZ116" s="172"/>
      <c r="IA116" s="172"/>
      <c r="IB116" s="172"/>
      <c r="IC116" s="172"/>
      <c r="ID116" s="172"/>
      <c r="IE116" s="172"/>
      <c r="IF116" s="172"/>
      <c r="IG116" s="172"/>
      <c r="IH116" s="172"/>
      <c r="II116" s="172"/>
      <c r="IJ116" s="172"/>
      <c r="IK116" s="172"/>
      <c r="IL116" s="172"/>
      <c r="IM116" s="172"/>
      <c r="IN116" s="172"/>
      <c r="IO116" s="172"/>
      <c r="IP116" s="172"/>
      <c r="IQ116" s="172"/>
      <c r="IR116" s="172"/>
      <c r="IS116" s="172"/>
      <c r="IT116" s="172"/>
      <c r="IU116" s="172"/>
      <c r="IV116" s="172"/>
      <c r="IW116" s="172"/>
      <c r="IX116" s="172"/>
      <c r="IY116" s="172"/>
      <c r="IZ116" s="172"/>
      <c r="JA116" s="172"/>
      <c r="JB116" s="172"/>
      <c r="JC116" s="172"/>
      <c r="JD116" s="172"/>
      <c r="JE116" s="172"/>
      <c r="JF116" s="172"/>
      <c r="JG116" s="172"/>
      <c r="JH116" s="172"/>
      <c r="JI116" s="172"/>
      <c r="JJ116" s="172"/>
      <c r="JK116" s="172"/>
      <c r="JL116" s="172"/>
      <c r="JM116" s="172"/>
      <c r="JN116" s="172"/>
      <c r="JO116" s="172"/>
      <c r="JP116" s="172"/>
      <c r="JQ116" s="172"/>
      <c r="JR116" s="172"/>
      <c r="JS116" s="172"/>
      <c r="JT116" s="172"/>
      <c r="JU116" s="172"/>
      <c r="JV116" s="172"/>
      <c r="JW116" s="172"/>
      <c r="JX116" s="172"/>
      <c r="JY116" s="172"/>
      <c r="JZ116" s="172"/>
      <c r="KA116" s="172"/>
      <c r="KB116" s="172"/>
      <c r="KC116" s="172"/>
      <c r="KD116" s="172"/>
      <c r="KE116" s="172"/>
      <c r="KF116" s="172"/>
      <c r="KG116" s="172"/>
      <c r="KH116" s="172"/>
      <c r="KI116" s="172"/>
      <c r="KJ116" s="172"/>
      <c r="KK116" s="172"/>
      <c r="KL116" s="172"/>
      <c r="KM116" s="172"/>
      <c r="KN116" s="172"/>
      <c r="KO116" s="172"/>
      <c r="KP116" s="172"/>
      <c r="KQ116" s="172"/>
      <c r="KR116" s="172"/>
      <c r="KS116" s="172"/>
      <c r="KT116" s="172"/>
      <c r="KU116" s="172"/>
      <c r="KV116" s="172"/>
      <c r="KW116" s="172"/>
      <c r="KX116" s="172"/>
      <c r="KY116" s="172"/>
      <c r="KZ116" s="172"/>
      <c r="LA116" s="172"/>
      <c r="LB116" s="172"/>
      <c r="LC116" s="172"/>
      <c r="LD116" s="172"/>
      <c r="LE116" s="172"/>
      <c r="LF116" s="172"/>
      <c r="LG116" s="172"/>
      <c r="LH116" s="172"/>
      <c r="LI116" s="172"/>
      <c r="LJ116" s="172"/>
      <c r="LK116" s="172"/>
      <c r="LL116" s="172"/>
      <c r="LM116" s="172"/>
      <c r="LN116" s="172"/>
      <c r="LO116" s="172"/>
      <c r="LP116" s="172"/>
      <c r="LQ116" s="172"/>
      <c r="LR116" s="172"/>
      <c r="LS116" s="172"/>
      <c r="LT116" s="172"/>
      <c r="LU116" s="172"/>
      <c r="LV116" s="172"/>
      <c r="LW116" s="172"/>
      <c r="LX116" s="172"/>
      <c r="LY116" s="172"/>
      <c r="LZ116" s="172"/>
      <c r="MA116" s="172"/>
      <c r="MB116" s="172"/>
      <c r="MC116" s="172"/>
      <c r="MD116" s="172"/>
      <c r="ME116" s="172"/>
      <c r="MF116" s="172"/>
      <c r="MG116" s="172"/>
      <c r="MH116" s="172"/>
      <c r="MI116" s="172"/>
      <c r="MJ116" s="172"/>
      <c r="MK116" s="172"/>
      <c r="ML116" s="172"/>
      <c r="MM116" s="172"/>
      <c r="MN116" s="172"/>
      <c r="MO116" s="172"/>
      <c r="MP116" s="172"/>
      <c r="MQ116" s="172"/>
      <c r="MR116" s="172"/>
      <c r="MS116" s="172"/>
      <c r="MT116" s="172"/>
      <c r="MU116" s="172"/>
      <c r="MV116" s="172"/>
      <c r="MW116" s="172"/>
      <c r="MX116" s="172"/>
      <c r="MY116" s="172"/>
      <c r="MZ116" s="172"/>
      <c r="NA116" s="172"/>
      <c r="NB116" s="172"/>
      <c r="NC116" s="172"/>
      <c r="ND116" s="172"/>
      <c r="NE116" s="172"/>
      <c r="NF116" s="172"/>
      <c r="NG116" s="172"/>
      <c r="NH116" s="172"/>
      <c r="NI116" s="172"/>
      <c r="NJ116" s="172"/>
      <c r="NK116" s="172"/>
      <c r="NL116" s="172"/>
      <c r="NM116" s="172"/>
      <c r="NN116" s="172"/>
      <c r="NO116" s="172"/>
      <c r="NP116" s="172"/>
      <c r="NQ116" s="172"/>
      <c r="NR116" s="172"/>
      <c r="NS116" s="172"/>
      <c r="NT116" s="172"/>
      <c r="NU116" s="172"/>
      <c r="NV116" s="172"/>
      <c r="NW116" s="172"/>
      <c r="NX116" s="172"/>
      <c r="NY116" s="172"/>
      <c r="NZ116" s="172"/>
      <c r="OA116" s="172"/>
      <c r="OB116" s="172"/>
      <c r="OC116" s="172"/>
      <c r="OD116" s="172"/>
      <c r="OE116" s="172"/>
      <c r="OF116" s="172"/>
      <c r="OG116" s="172"/>
      <c r="OH116" s="172"/>
      <c r="OI116" s="172"/>
      <c r="OJ116" s="172"/>
      <c r="OK116" s="172"/>
      <c r="OL116" s="172"/>
      <c r="OM116" s="172"/>
      <c r="ON116" s="172"/>
      <c r="OO116" s="172"/>
      <c r="OP116" s="172"/>
      <c r="OQ116" s="172"/>
      <c r="OR116" s="172"/>
      <c r="OS116" s="172"/>
      <c r="OT116" s="172"/>
      <c r="OU116" s="172"/>
      <c r="OV116" s="172"/>
      <c r="OW116" s="172"/>
      <c r="OX116" s="172"/>
      <c r="OY116" s="172"/>
      <c r="OZ116" s="172"/>
      <c r="PA116" s="172"/>
      <c r="PB116" s="172"/>
      <c r="PC116" s="172"/>
      <c r="PD116" s="172"/>
      <c r="PE116" s="172"/>
      <c r="PF116" s="172"/>
      <c r="PG116" s="172"/>
      <c r="PH116" s="172"/>
      <c r="PI116" s="172"/>
      <c r="PJ116" s="172"/>
      <c r="PK116" s="172"/>
      <c r="PL116" s="172"/>
      <c r="PM116" s="172"/>
      <c r="PN116" s="172"/>
      <c r="PO116" s="172"/>
      <c r="PP116" s="172"/>
      <c r="PQ116" s="172"/>
      <c r="PR116" s="172"/>
      <c r="PS116" s="172"/>
      <c r="PT116" s="172"/>
      <c r="PU116" s="172"/>
      <c r="PV116" s="172"/>
      <c r="PW116" s="172"/>
      <c r="PX116" s="172"/>
      <c r="PY116" s="172"/>
      <c r="PZ116" s="172"/>
      <c r="QA116" s="172"/>
      <c r="QB116" s="172"/>
      <c r="QC116" s="172"/>
      <c r="QD116" s="172"/>
      <c r="QE116" s="172"/>
      <c r="QF116" s="172"/>
      <c r="QG116" s="172"/>
      <c r="QH116" s="172"/>
      <c r="QI116" s="172"/>
      <c r="QJ116" s="172"/>
      <c r="QK116" s="172"/>
      <c r="QL116" s="172"/>
      <c r="QM116" s="172"/>
      <c r="QN116" s="172"/>
      <c r="QO116" s="172"/>
      <c r="QP116" s="172"/>
      <c r="QQ116" s="172"/>
      <c r="QR116" s="172"/>
      <c r="QS116" s="172"/>
      <c r="QT116" s="172"/>
      <c r="QU116" s="172"/>
      <c r="QV116" s="172"/>
      <c r="QW116" s="172"/>
      <c r="QX116" s="172"/>
      <c r="QY116" s="172"/>
      <c r="QZ116" s="172"/>
      <c r="RA116" s="172"/>
      <c r="RB116" s="172"/>
      <c r="RC116" s="172"/>
      <c r="RD116" s="172"/>
      <c r="RE116" s="172"/>
      <c r="RF116" s="172"/>
      <c r="RG116" s="172"/>
      <c r="RH116" s="172"/>
      <c r="RI116" s="172"/>
      <c r="RJ116" s="172"/>
      <c r="RK116" s="172"/>
      <c r="RL116" s="172"/>
      <c r="RM116" s="172"/>
      <c r="RN116" s="172"/>
      <c r="RO116" s="172"/>
      <c r="RP116" s="172"/>
      <c r="RQ116" s="172"/>
      <c r="RR116" s="172"/>
      <c r="RS116" s="172"/>
      <c r="RT116" s="172"/>
      <c r="RU116" s="172"/>
      <c r="RV116" s="172"/>
      <c r="RW116" s="172"/>
      <c r="RX116" s="172"/>
      <c r="RY116" s="172"/>
      <c r="RZ116" s="172"/>
      <c r="SA116" s="172"/>
      <c r="SB116" s="172"/>
      <c r="SC116" s="172"/>
      <c r="SD116" s="172"/>
      <c r="SE116" s="172"/>
      <c r="SF116" s="172"/>
      <c r="SG116" s="172"/>
      <c r="SH116" s="172"/>
      <c r="SI116" s="172"/>
      <c r="SJ116" s="172"/>
      <c r="SK116" s="172"/>
      <c r="SL116" s="172"/>
      <c r="SM116" s="172"/>
      <c r="SN116" s="172"/>
      <c r="SO116" s="172"/>
      <c r="SP116" s="172"/>
      <c r="SQ116" s="172"/>
      <c r="SR116" s="172"/>
      <c r="SS116" s="172"/>
      <c r="ST116" s="172"/>
      <c r="SU116" s="172"/>
      <c r="SV116" s="172"/>
      <c r="SW116" s="172"/>
      <c r="SX116" s="172"/>
      <c r="SY116" s="172"/>
      <c r="SZ116" s="172"/>
      <c r="TA116" s="172"/>
      <c r="TB116" s="172"/>
      <c r="TC116" s="172"/>
      <c r="TD116" s="172"/>
      <c r="TE116" s="172"/>
      <c r="TF116" s="172"/>
      <c r="TG116" s="172"/>
      <c r="TH116" s="172"/>
      <c r="TI116" s="172"/>
      <c r="TJ116" s="172"/>
      <c r="TK116" s="172"/>
      <c r="TL116" s="172"/>
      <c r="TM116" s="172"/>
      <c r="TN116" s="172"/>
      <c r="TO116" s="172"/>
      <c r="TP116" s="172"/>
      <c r="TQ116" s="172"/>
      <c r="TR116" s="172"/>
      <c r="TS116" s="172"/>
      <c r="TT116" s="172"/>
      <c r="TU116" s="172"/>
      <c r="TV116" s="172"/>
      <c r="TW116" s="172"/>
      <c r="TX116" s="172"/>
      <c r="TY116" s="172"/>
      <c r="TZ116" s="172"/>
      <c r="UA116" s="172"/>
      <c r="UB116" s="172"/>
      <c r="UC116" s="172"/>
      <c r="UD116" s="172"/>
      <c r="UE116" s="172"/>
      <c r="UF116" s="172"/>
      <c r="UG116" s="172"/>
      <c r="UH116" s="172"/>
      <c r="UI116" s="172"/>
      <c r="UJ116" s="172"/>
      <c r="UK116" s="172"/>
      <c r="UL116" s="172"/>
      <c r="UM116" s="172"/>
      <c r="UN116" s="172"/>
      <c r="UO116" s="172"/>
      <c r="UP116" s="172"/>
      <c r="UQ116" s="172"/>
      <c r="UR116" s="172"/>
      <c r="US116" s="172"/>
      <c r="UT116" s="172"/>
      <c r="UU116" s="172"/>
      <c r="UV116" s="172"/>
      <c r="UW116" s="172"/>
      <c r="UX116" s="172"/>
      <c r="UY116" s="172"/>
      <c r="UZ116" s="172"/>
      <c r="VA116" s="172"/>
      <c r="VB116" s="172"/>
      <c r="VC116" s="172"/>
      <c r="VD116" s="172"/>
      <c r="VE116" s="172"/>
      <c r="VF116" s="172"/>
      <c r="VG116" s="172"/>
      <c r="VH116" s="172"/>
      <c r="VI116" s="172"/>
      <c r="VJ116" s="172"/>
      <c r="VK116" s="172"/>
      <c r="VL116" s="172"/>
      <c r="VM116" s="172"/>
      <c r="VN116" s="172"/>
      <c r="VO116" s="172"/>
      <c r="VP116" s="172"/>
      <c r="VQ116" s="172"/>
      <c r="VR116" s="172"/>
      <c r="VS116" s="172"/>
      <c r="VT116" s="172"/>
      <c r="VU116" s="172"/>
      <c r="VV116" s="172"/>
      <c r="VW116" s="172"/>
      <c r="VX116" s="172"/>
      <c r="VY116" s="172"/>
      <c r="VZ116" s="172"/>
      <c r="WA116" s="172"/>
      <c r="WB116" s="172"/>
      <c r="WC116" s="172"/>
      <c r="WD116" s="172"/>
      <c r="WE116" s="172"/>
      <c r="WF116" s="172"/>
      <c r="WG116" s="172"/>
      <c r="WH116" s="172"/>
      <c r="WI116" s="172"/>
      <c r="WJ116" s="172"/>
      <c r="WK116" s="172"/>
      <c r="WL116" s="172"/>
      <c r="WM116" s="172"/>
      <c r="WN116" s="172"/>
      <c r="WO116" s="172"/>
      <c r="WP116" s="172"/>
      <c r="WQ116" s="172"/>
      <c r="WR116" s="172"/>
      <c r="WS116" s="172"/>
      <c r="WT116" s="172"/>
      <c r="WU116" s="172"/>
      <c r="WV116" s="172"/>
      <c r="WW116" s="172"/>
      <c r="WX116" s="172"/>
      <c r="WY116" s="172"/>
      <c r="WZ116" s="172"/>
      <c r="XA116" s="172"/>
      <c r="XB116" s="172"/>
      <c r="XC116" s="172"/>
      <c r="XD116" s="172"/>
      <c r="XE116" s="172"/>
      <c r="XF116" s="172"/>
      <c r="XG116" s="172"/>
      <c r="XH116" s="172"/>
      <c r="XI116" s="172"/>
      <c r="XJ116" s="172"/>
      <c r="XK116" s="172"/>
      <c r="XL116" s="172"/>
      <c r="XM116" s="172"/>
      <c r="XN116" s="172"/>
      <c r="XO116" s="172"/>
      <c r="XP116" s="172"/>
      <c r="XQ116" s="172"/>
      <c r="XR116" s="172"/>
      <c r="XS116" s="172"/>
      <c r="XT116" s="172"/>
      <c r="XU116" s="172"/>
      <c r="XV116" s="172"/>
      <c r="XW116" s="172"/>
      <c r="XX116" s="172"/>
      <c r="XY116" s="172"/>
      <c r="XZ116" s="172"/>
      <c r="YA116" s="172"/>
      <c r="YB116" s="172"/>
      <c r="YC116" s="172"/>
      <c r="YD116" s="172"/>
      <c r="YE116" s="172"/>
      <c r="YF116" s="172"/>
      <c r="YG116" s="172"/>
      <c r="YH116" s="172"/>
      <c r="YI116" s="172"/>
      <c r="YJ116" s="172"/>
      <c r="YK116" s="172"/>
      <c r="YL116" s="172"/>
      <c r="YM116" s="172"/>
      <c r="YN116" s="172"/>
      <c r="YO116" s="172"/>
      <c r="YP116" s="172"/>
      <c r="YQ116" s="172"/>
      <c r="YR116" s="172"/>
      <c r="YS116" s="172"/>
      <c r="YT116" s="172"/>
      <c r="YU116" s="172"/>
      <c r="YV116" s="172"/>
      <c r="YW116" s="172"/>
      <c r="YX116" s="172"/>
      <c r="YY116" s="172"/>
      <c r="YZ116" s="172"/>
      <c r="ZA116" s="172"/>
      <c r="ZB116" s="172"/>
      <c r="ZC116" s="172"/>
      <c r="ZD116" s="172"/>
      <c r="ZE116" s="172"/>
      <c r="ZF116" s="172"/>
      <c r="ZG116" s="172"/>
      <c r="ZH116" s="172"/>
      <c r="ZI116" s="172"/>
      <c r="ZJ116" s="172"/>
      <c r="ZK116" s="172"/>
      <c r="ZL116" s="172"/>
      <c r="ZM116" s="172"/>
      <c r="ZN116" s="172"/>
      <c r="ZO116" s="172"/>
      <c r="ZP116" s="172"/>
      <c r="ZQ116" s="172"/>
      <c r="ZR116" s="172"/>
      <c r="ZS116" s="172"/>
      <c r="ZT116" s="172"/>
      <c r="ZU116" s="172"/>
      <c r="ZV116" s="172"/>
      <c r="ZW116" s="172"/>
      <c r="ZX116" s="172"/>
      <c r="ZY116" s="172"/>
      <c r="ZZ116" s="172"/>
      <c r="AAA116" s="172"/>
      <c r="AAB116" s="172"/>
      <c r="AAC116" s="172"/>
      <c r="AAD116" s="172"/>
      <c r="AAE116" s="172"/>
      <c r="AAF116" s="172"/>
      <c r="AAG116" s="172"/>
      <c r="AAH116" s="172"/>
      <c r="AAI116" s="172"/>
      <c r="AAJ116" s="172"/>
      <c r="AAK116" s="172"/>
      <c r="AAL116" s="172"/>
      <c r="AAM116" s="172"/>
      <c r="AAN116" s="172"/>
      <c r="AAO116" s="172"/>
      <c r="AAP116" s="172"/>
      <c r="AAQ116" s="172"/>
      <c r="AAR116" s="172"/>
      <c r="AAS116" s="172"/>
      <c r="AAT116" s="172"/>
      <c r="AAU116" s="172"/>
      <c r="AAV116" s="172"/>
      <c r="AAW116" s="172"/>
      <c r="AAX116" s="172"/>
      <c r="AAY116" s="172"/>
      <c r="AAZ116" s="172"/>
      <c r="ABA116" s="172"/>
      <c r="ABB116" s="172"/>
      <c r="ABC116" s="172"/>
      <c r="ABD116" s="172"/>
      <c r="ABE116" s="172"/>
      <c r="ABF116" s="172"/>
      <c r="ABG116" s="172"/>
      <c r="ABH116" s="172"/>
      <c r="ABI116" s="172"/>
      <c r="ABJ116" s="172"/>
      <c r="ABK116" s="172"/>
      <c r="ABL116" s="172"/>
      <c r="ABM116" s="172"/>
      <c r="ABN116" s="172"/>
      <c r="ABO116" s="172"/>
      <c r="ABP116" s="172"/>
      <c r="ABQ116" s="172"/>
      <c r="ABR116" s="172"/>
      <c r="ABS116" s="172"/>
      <c r="ABT116" s="172"/>
      <c r="ABU116" s="172"/>
      <c r="ABV116" s="172"/>
      <c r="ABW116" s="172"/>
      <c r="ABX116" s="172"/>
      <c r="ABY116" s="172"/>
      <c r="ABZ116" s="172"/>
      <c r="ACA116" s="172"/>
      <c r="ACB116" s="172"/>
      <c r="ACC116" s="172"/>
      <c r="ACD116" s="172"/>
      <c r="ACE116" s="172"/>
      <c r="ACF116" s="172"/>
      <c r="ACG116" s="172"/>
      <c r="ACH116" s="172"/>
      <c r="ACI116" s="172"/>
      <c r="ACJ116" s="172"/>
      <c r="ACK116" s="172"/>
      <c r="ACL116" s="172"/>
      <c r="ACM116" s="172"/>
      <c r="ACN116" s="172"/>
      <c r="ACO116" s="172"/>
      <c r="ACP116" s="172"/>
      <c r="ACQ116" s="172"/>
      <c r="ACR116" s="172"/>
      <c r="ACS116" s="172"/>
      <c r="ACT116" s="172"/>
      <c r="ACU116" s="172"/>
      <c r="ACV116" s="172"/>
      <c r="ACW116" s="172"/>
      <c r="ACX116" s="172"/>
      <c r="ACY116" s="172"/>
      <c r="ACZ116" s="172"/>
      <c r="ADA116" s="172"/>
      <c r="ADB116" s="172"/>
      <c r="ADC116" s="172"/>
      <c r="ADD116" s="172"/>
      <c r="ADE116" s="172"/>
      <c r="ADF116" s="172"/>
      <c r="ADG116" s="172"/>
      <c r="ADH116" s="172"/>
      <c r="ADI116" s="172"/>
      <c r="ADJ116" s="172"/>
      <c r="ADK116" s="172"/>
      <c r="ADL116" s="172"/>
      <c r="ADM116" s="172"/>
      <c r="ADN116" s="172"/>
      <c r="ADO116" s="172"/>
      <c r="ADP116" s="172"/>
      <c r="ADQ116" s="172"/>
      <c r="ADR116" s="172"/>
      <c r="ADS116" s="172"/>
      <c r="ADT116" s="172"/>
      <c r="ADU116" s="172"/>
      <c r="ADV116" s="172"/>
      <c r="ADW116" s="172"/>
      <c r="ADX116" s="172"/>
      <c r="ADY116" s="172"/>
      <c r="ADZ116" s="172"/>
      <c r="AEA116" s="172"/>
      <c r="AEB116" s="172"/>
      <c r="AEC116" s="172"/>
      <c r="AED116" s="172"/>
      <c r="AEE116" s="172"/>
      <c r="AEF116" s="172"/>
      <c r="AEG116" s="172"/>
      <c r="AEH116" s="172"/>
      <c r="AEI116" s="172"/>
      <c r="AEJ116" s="172"/>
      <c r="AEK116" s="172"/>
      <c r="AEL116" s="172"/>
      <c r="AEM116" s="172"/>
      <c r="AEN116" s="172"/>
      <c r="AEO116" s="172"/>
      <c r="AEP116" s="172"/>
      <c r="AEQ116" s="172"/>
      <c r="AER116" s="172"/>
      <c r="AES116" s="172"/>
      <c r="AET116" s="172"/>
      <c r="AEU116" s="172"/>
      <c r="AEV116" s="172"/>
      <c r="AEW116" s="172"/>
      <c r="AEX116" s="172"/>
      <c r="AEY116" s="172"/>
      <c r="AEZ116" s="172"/>
      <c r="AFA116" s="172"/>
      <c r="AFB116" s="172"/>
      <c r="AFC116" s="172"/>
      <c r="AFD116" s="172"/>
      <c r="AFE116" s="172"/>
      <c r="AFF116" s="172"/>
      <c r="AFG116" s="172"/>
      <c r="AFH116" s="172"/>
      <c r="AFI116" s="172"/>
      <c r="AFJ116" s="172"/>
      <c r="AFK116" s="172"/>
      <c r="AFL116" s="172"/>
      <c r="AFM116" s="172"/>
      <c r="AFN116" s="172"/>
      <c r="AFO116" s="172"/>
      <c r="AFP116" s="172"/>
      <c r="AFQ116" s="172"/>
      <c r="AFR116" s="172"/>
      <c r="AFS116" s="172"/>
      <c r="AFT116" s="172"/>
      <c r="AFU116" s="172"/>
      <c r="AFV116" s="172"/>
      <c r="AFW116" s="172"/>
      <c r="AFX116" s="172"/>
      <c r="AFY116" s="172"/>
      <c r="AFZ116" s="172"/>
      <c r="AGA116" s="172"/>
      <c r="AGB116" s="172"/>
      <c r="AGC116" s="172"/>
      <c r="AGD116" s="172"/>
      <c r="AGE116" s="172"/>
      <c r="AGF116" s="172"/>
      <c r="AGG116" s="172"/>
      <c r="AGH116" s="172"/>
      <c r="AGI116" s="172"/>
      <c r="AGJ116" s="172"/>
      <c r="AGK116" s="172"/>
      <c r="AGL116" s="172"/>
      <c r="AGM116" s="172"/>
      <c r="AGN116" s="172"/>
      <c r="AGO116" s="172"/>
      <c r="AGP116" s="172"/>
      <c r="AGQ116" s="172"/>
      <c r="AGR116" s="172"/>
      <c r="AGS116" s="172"/>
      <c r="AGT116" s="172"/>
      <c r="AGU116" s="172"/>
      <c r="AGV116" s="172"/>
      <c r="AGW116" s="172"/>
      <c r="AGX116" s="172"/>
      <c r="AGY116" s="172"/>
      <c r="AGZ116" s="172"/>
      <c r="AHA116" s="172"/>
      <c r="AHB116" s="172"/>
      <c r="AHC116" s="172"/>
      <c r="AHD116" s="172"/>
      <c r="AHE116" s="172"/>
      <c r="AHF116" s="172"/>
      <c r="AHG116" s="172"/>
      <c r="AHH116" s="172"/>
      <c r="AHI116" s="172"/>
      <c r="AHJ116" s="172"/>
      <c r="AHK116" s="172"/>
      <c r="AHL116" s="172"/>
      <c r="AHM116" s="172"/>
      <c r="AHN116" s="172"/>
      <c r="AHO116" s="172"/>
      <c r="AHP116" s="172"/>
      <c r="AHQ116" s="172"/>
      <c r="AHR116" s="172"/>
      <c r="AHS116" s="172"/>
      <c r="AHT116" s="172"/>
      <c r="AHU116" s="172"/>
      <c r="AHV116" s="172"/>
      <c r="AHW116" s="172"/>
      <c r="AHX116" s="172"/>
      <c r="AHY116" s="172"/>
      <c r="AHZ116" s="172"/>
      <c r="AIA116" s="172"/>
      <c r="AIB116" s="172"/>
      <c r="AIC116" s="172"/>
      <c r="AID116" s="172"/>
      <c r="AIE116" s="172"/>
      <c r="AIF116" s="172"/>
      <c r="AIG116" s="172"/>
      <c r="AIH116" s="172"/>
      <c r="AII116" s="172"/>
      <c r="AIJ116" s="172"/>
      <c r="AIK116" s="172"/>
      <c r="AIL116" s="172"/>
      <c r="AIM116" s="172"/>
      <c r="AIN116" s="172"/>
      <c r="AIO116" s="172"/>
      <c r="AIP116" s="172"/>
      <c r="AIQ116" s="172"/>
      <c r="AIR116" s="172"/>
      <c r="AIS116" s="172"/>
      <c r="AIT116" s="172"/>
      <c r="AIU116" s="172"/>
      <c r="AIV116" s="172"/>
      <c r="AIW116" s="172"/>
      <c r="AIX116" s="172"/>
      <c r="AIY116" s="172"/>
      <c r="AIZ116" s="172"/>
      <c r="AJA116" s="172"/>
      <c r="AJB116" s="172"/>
      <c r="AJC116" s="172"/>
      <c r="AJD116" s="172"/>
      <c r="AJE116" s="172"/>
      <c r="AJF116" s="172"/>
      <c r="AJG116" s="172"/>
      <c r="AJH116" s="172"/>
      <c r="AJI116" s="172"/>
      <c r="AJJ116" s="172"/>
      <c r="AJK116" s="172"/>
      <c r="AJL116" s="172"/>
      <c r="AJM116" s="172"/>
      <c r="AJN116" s="172"/>
      <c r="AJO116" s="172"/>
      <c r="AJP116" s="172"/>
      <c r="AJQ116" s="172"/>
      <c r="AJR116" s="172"/>
      <c r="AJS116" s="172"/>
      <c r="AJT116" s="172"/>
      <c r="AJU116" s="172"/>
      <c r="AJV116" s="172"/>
      <c r="AJW116" s="172"/>
      <c r="AJX116" s="172"/>
      <c r="AJY116" s="172"/>
      <c r="AJZ116" s="172"/>
      <c r="AKA116" s="172"/>
      <c r="AKB116" s="172"/>
      <c r="AKC116" s="172"/>
      <c r="AKD116" s="172"/>
      <c r="AKE116" s="172"/>
      <c r="AKF116" s="172"/>
      <c r="AKG116" s="172"/>
      <c r="AKH116" s="172"/>
      <c r="AKI116" s="172"/>
      <c r="AKJ116" s="172"/>
      <c r="AKK116" s="172"/>
      <c r="AKL116" s="172"/>
      <c r="AKM116" s="172"/>
      <c r="AKN116" s="172"/>
      <c r="AKO116" s="172"/>
      <c r="AKP116" s="172"/>
      <c r="AKQ116" s="172"/>
      <c r="AKR116" s="172"/>
      <c r="AKS116" s="172"/>
      <c r="AKT116" s="172"/>
      <c r="AKU116" s="172"/>
      <c r="AKV116" s="172"/>
      <c r="AKW116" s="172"/>
      <c r="AKX116" s="172"/>
      <c r="AKY116" s="172"/>
      <c r="AKZ116" s="172"/>
      <c r="ALA116" s="172"/>
      <c r="ALB116" s="172"/>
      <c r="ALC116" s="172"/>
      <c r="ALD116" s="172"/>
      <c r="ALE116" s="172"/>
      <c r="ALF116" s="172"/>
      <c r="ALG116" s="172"/>
      <c r="ALH116" s="172"/>
      <c r="ALI116" s="172"/>
      <c r="ALJ116" s="172"/>
      <c r="ALK116" s="172"/>
      <c r="ALL116" s="172"/>
      <c r="ALM116" s="172"/>
      <c r="ALN116" s="172"/>
      <c r="ALO116" s="172"/>
      <c r="ALP116" s="172"/>
      <c r="ALQ116" s="172"/>
      <c r="ALR116" s="172"/>
      <c r="ALS116" s="172"/>
      <c r="ALT116" s="172"/>
      <c r="ALU116" s="172"/>
      <c r="ALV116" s="172"/>
      <c r="ALW116" s="172"/>
      <c r="ALX116" s="172"/>
      <c r="ALY116" s="172"/>
      <c r="ALZ116" s="172"/>
      <c r="AMA116" s="172"/>
      <c r="AMB116" s="172"/>
      <c r="AMC116" s="172"/>
      <c r="AMD116" s="172"/>
      <c r="AME116" s="172"/>
      <c r="AMF116" s="172"/>
      <c r="AMG116" s="172"/>
      <c r="AMH116" s="172"/>
      <c r="AMI116" s="172"/>
      <c r="AMJ116" s="172"/>
    </row>
    <row r="117" s="7" customFormat="true" ht="15.75" hidden="false" customHeight="true" outlineLevel="0" collapsed="false">
      <c r="A117" s="172"/>
      <c r="B117" s="150"/>
      <c r="C117" s="173" t="s">
        <v>38</v>
      </c>
      <c r="D117" s="174" t="n">
        <f aca="false">SUM(D98:D116)</f>
        <v>327</v>
      </c>
      <c r="E117" s="174"/>
      <c r="F117" s="154" t="n">
        <f aca="false">F97+F100+F106+F110+F113+F115+F103</f>
        <v>16</v>
      </c>
      <c r="G117" s="10"/>
      <c r="H117" s="172"/>
      <c r="I117" s="172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  <c r="GH117" s="172"/>
      <c r="GI117" s="172"/>
      <c r="GJ117" s="172"/>
      <c r="GK117" s="172"/>
      <c r="GL117" s="172"/>
      <c r="GM117" s="172"/>
      <c r="GN117" s="172"/>
      <c r="GO117" s="172"/>
      <c r="GP117" s="172"/>
      <c r="GQ117" s="172"/>
      <c r="GR117" s="172"/>
      <c r="GS117" s="172"/>
      <c r="GT117" s="172"/>
      <c r="GU117" s="172"/>
      <c r="GV117" s="172"/>
      <c r="GW117" s="172"/>
      <c r="GX117" s="172"/>
      <c r="GY117" s="172"/>
      <c r="GZ117" s="172"/>
      <c r="HA117" s="172"/>
      <c r="HB117" s="172"/>
      <c r="HC117" s="172"/>
      <c r="HD117" s="172"/>
      <c r="HE117" s="172"/>
      <c r="HF117" s="172"/>
      <c r="HG117" s="172"/>
      <c r="HH117" s="172"/>
      <c r="HI117" s="172"/>
      <c r="HJ117" s="172"/>
      <c r="HK117" s="172"/>
      <c r="HL117" s="172"/>
      <c r="HM117" s="172"/>
      <c r="HN117" s="172"/>
      <c r="HO117" s="172"/>
      <c r="HP117" s="172"/>
      <c r="HQ117" s="172"/>
      <c r="HR117" s="172"/>
      <c r="HS117" s="172"/>
      <c r="HT117" s="172"/>
      <c r="HU117" s="172"/>
      <c r="HV117" s="172"/>
      <c r="HW117" s="172"/>
      <c r="HX117" s="172"/>
      <c r="HY117" s="172"/>
      <c r="HZ117" s="172"/>
      <c r="IA117" s="172"/>
      <c r="IB117" s="172"/>
      <c r="IC117" s="172"/>
      <c r="ID117" s="172"/>
      <c r="IE117" s="172"/>
      <c r="IF117" s="172"/>
      <c r="IG117" s="172"/>
      <c r="IH117" s="172"/>
      <c r="II117" s="172"/>
      <c r="IJ117" s="172"/>
      <c r="IK117" s="172"/>
      <c r="IL117" s="172"/>
      <c r="IM117" s="172"/>
      <c r="IN117" s="172"/>
      <c r="IO117" s="172"/>
      <c r="IP117" s="172"/>
      <c r="IQ117" s="172"/>
      <c r="IR117" s="172"/>
      <c r="IS117" s="172"/>
      <c r="IT117" s="172"/>
      <c r="IU117" s="172"/>
      <c r="IV117" s="172"/>
      <c r="IW117" s="172"/>
      <c r="IX117" s="172"/>
      <c r="IY117" s="172"/>
      <c r="IZ117" s="172"/>
      <c r="JA117" s="172"/>
      <c r="JB117" s="172"/>
      <c r="JC117" s="172"/>
      <c r="JD117" s="172"/>
      <c r="JE117" s="172"/>
      <c r="JF117" s="172"/>
      <c r="JG117" s="172"/>
      <c r="JH117" s="172"/>
      <c r="JI117" s="172"/>
      <c r="JJ117" s="172"/>
      <c r="JK117" s="172"/>
      <c r="JL117" s="172"/>
      <c r="JM117" s="172"/>
      <c r="JN117" s="172"/>
      <c r="JO117" s="172"/>
      <c r="JP117" s="172"/>
      <c r="JQ117" s="172"/>
      <c r="JR117" s="172"/>
      <c r="JS117" s="172"/>
      <c r="JT117" s="172"/>
      <c r="JU117" s="172"/>
      <c r="JV117" s="172"/>
      <c r="JW117" s="172"/>
      <c r="JX117" s="172"/>
      <c r="JY117" s="172"/>
      <c r="JZ117" s="172"/>
      <c r="KA117" s="172"/>
      <c r="KB117" s="172"/>
      <c r="KC117" s="172"/>
      <c r="KD117" s="172"/>
      <c r="KE117" s="172"/>
      <c r="KF117" s="172"/>
      <c r="KG117" s="172"/>
      <c r="KH117" s="172"/>
      <c r="KI117" s="172"/>
      <c r="KJ117" s="172"/>
      <c r="KK117" s="172"/>
      <c r="KL117" s="172"/>
      <c r="KM117" s="172"/>
      <c r="KN117" s="172"/>
      <c r="KO117" s="172"/>
      <c r="KP117" s="172"/>
      <c r="KQ117" s="172"/>
      <c r="KR117" s="172"/>
      <c r="KS117" s="172"/>
      <c r="KT117" s="172"/>
      <c r="KU117" s="172"/>
      <c r="KV117" s="172"/>
      <c r="KW117" s="172"/>
      <c r="KX117" s="172"/>
      <c r="KY117" s="172"/>
      <c r="KZ117" s="172"/>
      <c r="LA117" s="172"/>
      <c r="LB117" s="172"/>
      <c r="LC117" s="172"/>
      <c r="LD117" s="172"/>
      <c r="LE117" s="172"/>
      <c r="LF117" s="172"/>
      <c r="LG117" s="172"/>
      <c r="LH117" s="172"/>
      <c r="LI117" s="172"/>
      <c r="LJ117" s="172"/>
      <c r="LK117" s="172"/>
      <c r="LL117" s="172"/>
      <c r="LM117" s="172"/>
      <c r="LN117" s="172"/>
      <c r="LO117" s="172"/>
      <c r="LP117" s="172"/>
      <c r="LQ117" s="172"/>
      <c r="LR117" s="172"/>
      <c r="LS117" s="172"/>
      <c r="LT117" s="172"/>
      <c r="LU117" s="172"/>
      <c r="LV117" s="172"/>
      <c r="LW117" s="172"/>
      <c r="LX117" s="172"/>
      <c r="LY117" s="172"/>
      <c r="LZ117" s="172"/>
      <c r="MA117" s="172"/>
      <c r="MB117" s="172"/>
      <c r="MC117" s="172"/>
      <c r="MD117" s="172"/>
      <c r="ME117" s="172"/>
      <c r="MF117" s="172"/>
      <c r="MG117" s="172"/>
      <c r="MH117" s="172"/>
      <c r="MI117" s="172"/>
      <c r="MJ117" s="172"/>
      <c r="MK117" s="172"/>
      <c r="ML117" s="172"/>
      <c r="MM117" s="172"/>
      <c r="MN117" s="172"/>
      <c r="MO117" s="172"/>
      <c r="MP117" s="172"/>
      <c r="MQ117" s="172"/>
      <c r="MR117" s="172"/>
      <c r="MS117" s="172"/>
      <c r="MT117" s="172"/>
      <c r="MU117" s="172"/>
      <c r="MV117" s="172"/>
      <c r="MW117" s="172"/>
      <c r="MX117" s="172"/>
      <c r="MY117" s="172"/>
      <c r="MZ117" s="172"/>
      <c r="NA117" s="172"/>
      <c r="NB117" s="172"/>
      <c r="NC117" s="172"/>
      <c r="ND117" s="172"/>
      <c r="NE117" s="172"/>
      <c r="NF117" s="172"/>
      <c r="NG117" s="172"/>
      <c r="NH117" s="172"/>
      <c r="NI117" s="172"/>
      <c r="NJ117" s="172"/>
      <c r="NK117" s="172"/>
      <c r="NL117" s="172"/>
      <c r="NM117" s="172"/>
      <c r="NN117" s="172"/>
      <c r="NO117" s="172"/>
      <c r="NP117" s="172"/>
      <c r="NQ117" s="172"/>
      <c r="NR117" s="172"/>
      <c r="NS117" s="172"/>
      <c r="NT117" s="172"/>
      <c r="NU117" s="172"/>
      <c r="NV117" s="172"/>
      <c r="NW117" s="172"/>
      <c r="NX117" s="172"/>
      <c r="NY117" s="172"/>
      <c r="NZ117" s="172"/>
      <c r="OA117" s="172"/>
      <c r="OB117" s="172"/>
      <c r="OC117" s="172"/>
      <c r="OD117" s="172"/>
      <c r="OE117" s="172"/>
      <c r="OF117" s="172"/>
      <c r="OG117" s="172"/>
      <c r="OH117" s="172"/>
      <c r="OI117" s="172"/>
      <c r="OJ117" s="172"/>
      <c r="OK117" s="172"/>
      <c r="OL117" s="172"/>
      <c r="OM117" s="172"/>
      <c r="ON117" s="172"/>
      <c r="OO117" s="172"/>
      <c r="OP117" s="172"/>
      <c r="OQ117" s="172"/>
      <c r="OR117" s="172"/>
      <c r="OS117" s="172"/>
      <c r="OT117" s="172"/>
      <c r="OU117" s="172"/>
      <c r="OV117" s="172"/>
      <c r="OW117" s="172"/>
      <c r="OX117" s="172"/>
      <c r="OY117" s="172"/>
      <c r="OZ117" s="172"/>
      <c r="PA117" s="172"/>
      <c r="PB117" s="172"/>
      <c r="PC117" s="172"/>
      <c r="PD117" s="172"/>
      <c r="PE117" s="172"/>
      <c r="PF117" s="172"/>
      <c r="PG117" s="172"/>
      <c r="PH117" s="172"/>
      <c r="PI117" s="172"/>
      <c r="PJ117" s="172"/>
      <c r="PK117" s="172"/>
      <c r="PL117" s="172"/>
      <c r="PM117" s="172"/>
      <c r="PN117" s="172"/>
      <c r="PO117" s="172"/>
      <c r="PP117" s="172"/>
      <c r="PQ117" s="172"/>
      <c r="PR117" s="172"/>
      <c r="PS117" s="172"/>
      <c r="PT117" s="172"/>
      <c r="PU117" s="172"/>
      <c r="PV117" s="172"/>
      <c r="PW117" s="172"/>
      <c r="PX117" s="172"/>
      <c r="PY117" s="172"/>
      <c r="PZ117" s="172"/>
      <c r="QA117" s="172"/>
      <c r="QB117" s="172"/>
      <c r="QC117" s="172"/>
      <c r="QD117" s="172"/>
      <c r="QE117" s="172"/>
      <c r="QF117" s="172"/>
      <c r="QG117" s="172"/>
      <c r="QH117" s="172"/>
      <c r="QI117" s="172"/>
      <c r="QJ117" s="172"/>
      <c r="QK117" s="172"/>
      <c r="QL117" s="172"/>
      <c r="QM117" s="172"/>
      <c r="QN117" s="172"/>
      <c r="QO117" s="172"/>
      <c r="QP117" s="172"/>
      <c r="QQ117" s="172"/>
      <c r="QR117" s="172"/>
      <c r="QS117" s="172"/>
      <c r="QT117" s="172"/>
      <c r="QU117" s="172"/>
      <c r="QV117" s="172"/>
      <c r="QW117" s="172"/>
      <c r="QX117" s="172"/>
      <c r="QY117" s="172"/>
      <c r="QZ117" s="172"/>
      <c r="RA117" s="172"/>
      <c r="RB117" s="172"/>
      <c r="RC117" s="172"/>
      <c r="RD117" s="172"/>
      <c r="RE117" s="172"/>
      <c r="RF117" s="172"/>
      <c r="RG117" s="172"/>
      <c r="RH117" s="172"/>
      <c r="RI117" s="172"/>
      <c r="RJ117" s="172"/>
      <c r="RK117" s="172"/>
      <c r="RL117" s="172"/>
      <c r="RM117" s="172"/>
      <c r="RN117" s="172"/>
      <c r="RO117" s="172"/>
      <c r="RP117" s="172"/>
      <c r="RQ117" s="172"/>
      <c r="RR117" s="172"/>
      <c r="RS117" s="172"/>
      <c r="RT117" s="172"/>
      <c r="RU117" s="172"/>
      <c r="RV117" s="172"/>
      <c r="RW117" s="172"/>
      <c r="RX117" s="172"/>
      <c r="RY117" s="172"/>
      <c r="RZ117" s="172"/>
      <c r="SA117" s="172"/>
      <c r="SB117" s="172"/>
      <c r="SC117" s="172"/>
      <c r="SD117" s="172"/>
      <c r="SE117" s="172"/>
      <c r="SF117" s="172"/>
      <c r="SG117" s="172"/>
      <c r="SH117" s="172"/>
      <c r="SI117" s="172"/>
      <c r="SJ117" s="172"/>
      <c r="SK117" s="172"/>
      <c r="SL117" s="172"/>
      <c r="SM117" s="172"/>
      <c r="SN117" s="172"/>
      <c r="SO117" s="172"/>
      <c r="SP117" s="172"/>
      <c r="SQ117" s="172"/>
      <c r="SR117" s="172"/>
      <c r="SS117" s="172"/>
      <c r="ST117" s="172"/>
      <c r="SU117" s="172"/>
      <c r="SV117" s="172"/>
      <c r="SW117" s="172"/>
      <c r="SX117" s="172"/>
      <c r="SY117" s="172"/>
      <c r="SZ117" s="172"/>
      <c r="TA117" s="172"/>
      <c r="TB117" s="172"/>
      <c r="TC117" s="172"/>
      <c r="TD117" s="172"/>
      <c r="TE117" s="172"/>
      <c r="TF117" s="172"/>
      <c r="TG117" s="172"/>
      <c r="TH117" s="172"/>
      <c r="TI117" s="172"/>
      <c r="TJ117" s="172"/>
      <c r="TK117" s="172"/>
      <c r="TL117" s="172"/>
      <c r="TM117" s="172"/>
      <c r="TN117" s="172"/>
      <c r="TO117" s="172"/>
      <c r="TP117" s="172"/>
      <c r="TQ117" s="172"/>
      <c r="TR117" s="172"/>
      <c r="TS117" s="172"/>
      <c r="TT117" s="172"/>
      <c r="TU117" s="172"/>
      <c r="TV117" s="172"/>
      <c r="TW117" s="172"/>
      <c r="TX117" s="172"/>
      <c r="TY117" s="172"/>
      <c r="TZ117" s="172"/>
      <c r="UA117" s="172"/>
      <c r="UB117" s="172"/>
      <c r="UC117" s="172"/>
      <c r="UD117" s="172"/>
      <c r="UE117" s="172"/>
      <c r="UF117" s="172"/>
      <c r="UG117" s="172"/>
      <c r="UH117" s="172"/>
      <c r="UI117" s="172"/>
      <c r="UJ117" s="172"/>
      <c r="UK117" s="172"/>
      <c r="UL117" s="172"/>
      <c r="UM117" s="172"/>
      <c r="UN117" s="172"/>
      <c r="UO117" s="172"/>
      <c r="UP117" s="172"/>
      <c r="UQ117" s="172"/>
      <c r="UR117" s="172"/>
      <c r="US117" s="172"/>
      <c r="UT117" s="172"/>
      <c r="UU117" s="172"/>
      <c r="UV117" s="172"/>
      <c r="UW117" s="172"/>
      <c r="UX117" s="172"/>
      <c r="UY117" s="172"/>
      <c r="UZ117" s="172"/>
      <c r="VA117" s="172"/>
      <c r="VB117" s="172"/>
      <c r="VC117" s="172"/>
      <c r="VD117" s="172"/>
      <c r="VE117" s="172"/>
      <c r="VF117" s="172"/>
      <c r="VG117" s="172"/>
      <c r="VH117" s="172"/>
      <c r="VI117" s="172"/>
      <c r="VJ117" s="172"/>
      <c r="VK117" s="172"/>
      <c r="VL117" s="172"/>
      <c r="VM117" s="172"/>
      <c r="VN117" s="172"/>
      <c r="VO117" s="172"/>
      <c r="VP117" s="172"/>
      <c r="VQ117" s="172"/>
      <c r="VR117" s="172"/>
      <c r="VS117" s="172"/>
      <c r="VT117" s="172"/>
      <c r="VU117" s="172"/>
      <c r="VV117" s="172"/>
      <c r="VW117" s="172"/>
      <c r="VX117" s="172"/>
      <c r="VY117" s="172"/>
      <c r="VZ117" s="172"/>
      <c r="WA117" s="172"/>
      <c r="WB117" s="172"/>
      <c r="WC117" s="172"/>
      <c r="WD117" s="172"/>
      <c r="WE117" s="172"/>
      <c r="WF117" s="172"/>
      <c r="WG117" s="172"/>
      <c r="WH117" s="172"/>
      <c r="WI117" s="172"/>
      <c r="WJ117" s="172"/>
      <c r="WK117" s="172"/>
      <c r="WL117" s="172"/>
      <c r="WM117" s="172"/>
      <c r="WN117" s="172"/>
      <c r="WO117" s="172"/>
      <c r="WP117" s="172"/>
      <c r="WQ117" s="172"/>
      <c r="WR117" s="172"/>
      <c r="WS117" s="172"/>
      <c r="WT117" s="172"/>
      <c r="WU117" s="172"/>
      <c r="WV117" s="172"/>
      <c r="WW117" s="172"/>
      <c r="WX117" s="172"/>
      <c r="WY117" s="172"/>
      <c r="WZ117" s="172"/>
      <c r="XA117" s="172"/>
      <c r="XB117" s="172"/>
      <c r="XC117" s="172"/>
      <c r="XD117" s="172"/>
      <c r="XE117" s="172"/>
      <c r="XF117" s="172"/>
      <c r="XG117" s="172"/>
      <c r="XH117" s="172"/>
      <c r="XI117" s="172"/>
      <c r="XJ117" s="172"/>
      <c r="XK117" s="172"/>
      <c r="XL117" s="172"/>
      <c r="XM117" s="172"/>
      <c r="XN117" s="172"/>
      <c r="XO117" s="172"/>
      <c r="XP117" s="172"/>
      <c r="XQ117" s="172"/>
      <c r="XR117" s="172"/>
      <c r="XS117" s="172"/>
      <c r="XT117" s="172"/>
      <c r="XU117" s="172"/>
      <c r="XV117" s="172"/>
      <c r="XW117" s="172"/>
      <c r="XX117" s="172"/>
      <c r="XY117" s="172"/>
      <c r="XZ117" s="172"/>
      <c r="YA117" s="172"/>
      <c r="YB117" s="172"/>
      <c r="YC117" s="172"/>
      <c r="YD117" s="172"/>
      <c r="YE117" s="172"/>
      <c r="YF117" s="172"/>
      <c r="YG117" s="172"/>
      <c r="YH117" s="172"/>
      <c r="YI117" s="172"/>
      <c r="YJ117" s="172"/>
      <c r="YK117" s="172"/>
      <c r="YL117" s="172"/>
      <c r="YM117" s="172"/>
      <c r="YN117" s="172"/>
      <c r="YO117" s="172"/>
      <c r="YP117" s="172"/>
      <c r="YQ117" s="172"/>
      <c r="YR117" s="172"/>
      <c r="YS117" s="172"/>
      <c r="YT117" s="172"/>
      <c r="YU117" s="172"/>
      <c r="YV117" s="172"/>
      <c r="YW117" s="172"/>
      <c r="YX117" s="172"/>
      <c r="YY117" s="172"/>
      <c r="YZ117" s="172"/>
      <c r="ZA117" s="172"/>
      <c r="ZB117" s="172"/>
      <c r="ZC117" s="172"/>
      <c r="ZD117" s="172"/>
      <c r="ZE117" s="172"/>
      <c r="ZF117" s="172"/>
      <c r="ZG117" s="172"/>
      <c r="ZH117" s="172"/>
      <c r="ZI117" s="172"/>
      <c r="ZJ117" s="172"/>
      <c r="ZK117" s="172"/>
      <c r="ZL117" s="172"/>
      <c r="ZM117" s="172"/>
      <c r="ZN117" s="172"/>
      <c r="ZO117" s="172"/>
      <c r="ZP117" s="172"/>
      <c r="ZQ117" s="172"/>
      <c r="ZR117" s="172"/>
      <c r="ZS117" s="172"/>
      <c r="ZT117" s="172"/>
      <c r="ZU117" s="172"/>
      <c r="ZV117" s="172"/>
      <c r="ZW117" s="172"/>
      <c r="ZX117" s="172"/>
      <c r="ZY117" s="172"/>
      <c r="ZZ117" s="172"/>
      <c r="AAA117" s="172"/>
      <c r="AAB117" s="172"/>
      <c r="AAC117" s="172"/>
      <c r="AAD117" s="172"/>
      <c r="AAE117" s="172"/>
      <c r="AAF117" s="172"/>
      <c r="AAG117" s="172"/>
      <c r="AAH117" s="172"/>
      <c r="AAI117" s="172"/>
      <c r="AAJ117" s="172"/>
      <c r="AAK117" s="172"/>
      <c r="AAL117" s="172"/>
      <c r="AAM117" s="172"/>
      <c r="AAN117" s="172"/>
      <c r="AAO117" s="172"/>
      <c r="AAP117" s="172"/>
      <c r="AAQ117" s="172"/>
      <c r="AAR117" s="172"/>
      <c r="AAS117" s="172"/>
      <c r="AAT117" s="172"/>
      <c r="AAU117" s="172"/>
      <c r="AAV117" s="172"/>
      <c r="AAW117" s="172"/>
      <c r="AAX117" s="172"/>
      <c r="AAY117" s="172"/>
      <c r="AAZ117" s="172"/>
      <c r="ABA117" s="172"/>
      <c r="ABB117" s="172"/>
      <c r="ABC117" s="172"/>
      <c r="ABD117" s="172"/>
      <c r="ABE117" s="172"/>
      <c r="ABF117" s="172"/>
      <c r="ABG117" s="172"/>
      <c r="ABH117" s="172"/>
      <c r="ABI117" s="172"/>
      <c r="ABJ117" s="172"/>
      <c r="ABK117" s="172"/>
      <c r="ABL117" s="172"/>
      <c r="ABM117" s="172"/>
      <c r="ABN117" s="172"/>
      <c r="ABO117" s="172"/>
      <c r="ABP117" s="172"/>
      <c r="ABQ117" s="172"/>
      <c r="ABR117" s="172"/>
      <c r="ABS117" s="172"/>
      <c r="ABT117" s="172"/>
      <c r="ABU117" s="172"/>
      <c r="ABV117" s="172"/>
      <c r="ABW117" s="172"/>
      <c r="ABX117" s="172"/>
      <c r="ABY117" s="172"/>
      <c r="ABZ117" s="172"/>
      <c r="ACA117" s="172"/>
      <c r="ACB117" s="172"/>
      <c r="ACC117" s="172"/>
      <c r="ACD117" s="172"/>
      <c r="ACE117" s="172"/>
      <c r="ACF117" s="172"/>
      <c r="ACG117" s="172"/>
      <c r="ACH117" s="172"/>
      <c r="ACI117" s="172"/>
      <c r="ACJ117" s="172"/>
      <c r="ACK117" s="172"/>
      <c r="ACL117" s="172"/>
      <c r="ACM117" s="172"/>
      <c r="ACN117" s="172"/>
      <c r="ACO117" s="172"/>
      <c r="ACP117" s="172"/>
      <c r="ACQ117" s="172"/>
      <c r="ACR117" s="172"/>
      <c r="ACS117" s="172"/>
      <c r="ACT117" s="172"/>
      <c r="ACU117" s="172"/>
      <c r="ACV117" s="172"/>
      <c r="ACW117" s="172"/>
      <c r="ACX117" s="172"/>
      <c r="ACY117" s="172"/>
      <c r="ACZ117" s="172"/>
      <c r="ADA117" s="172"/>
      <c r="ADB117" s="172"/>
      <c r="ADC117" s="172"/>
      <c r="ADD117" s="172"/>
      <c r="ADE117" s="172"/>
      <c r="ADF117" s="172"/>
      <c r="ADG117" s="172"/>
      <c r="ADH117" s="172"/>
      <c r="ADI117" s="172"/>
      <c r="ADJ117" s="172"/>
      <c r="ADK117" s="172"/>
      <c r="ADL117" s="172"/>
      <c r="ADM117" s="172"/>
      <c r="ADN117" s="172"/>
      <c r="ADO117" s="172"/>
      <c r="ADP117" s="172"/>
      <c r="ADQ117" s="172"/>
      <c r="ADR117" s="172"/>
      <c r="ADS117" s="172"/>
      <c r="ADT117" s="172"/>
      <c r="ADU117" s="172"/>
      <c r="ADV117" s="172"/>
      <c r="ADW117" s="172"/>
      <c r="ADX117" s="172"/>
      <c r="ADY117" s="172"/>
      <c r="ADZ117" s="172"/>
      <c r="AEA117" s="172"/>
      <c r="AEB117" s="172"/>
      <c r="AEC117" s="172"/>
      <c r="AED117" s="172"/>
      <c r="AEE117" s="172"/>
      <c r="AEF117" s="172"/>
      <c r="AEG117" s="172"/>
      <c r="AEH117" s="172"/>
      <c r="AEI117" s="172"/>
      <c r="AEJ117" s="172"/>
      <c r="AEK117" s="172"/>
      <c r="AEL117" s="172"/>
      <c r="AEM117" s="172"/>
      <c r="AEN117" s="172"/>
      <c r="AEO117" s="172"/>
      <c r="AEP117" s="172"/>
      <c r="AEQ117" s="172"/>
      <c r="AER117" s="172"/>
      <c r="AES117" s="172"/>
      <c r="AET117" s="172"/>
      <c r="AEU117" s="172"/>
      <c r="AEV117" s="172"/>
      <c r="AEW117" s="172"/>
      <c r="AEX117" s="172"/>
      <c r="AEY117" s="172"/>
      <c r="AEZ117" s="172"/>
      <c r="AFA117" s="172"/>
      <c r="AFB117" s="172"/>
      <c r="AFC117" s="172"/>
      <c r="AFD117" s="172"/>
      <c r="AFE117" s="172"/>
      <c r="AFF117" s="172"/>
      <c r="AFG117" s="172"/>
      <c r="AFH117" s="172"/>
      <c r="AFI117" s="172"/>
      <c r="AFJ117" s="172"/>
      <c r="AFK117" s="172"/>
      <c r="AFL117" s="172"/>
      <c r="AFM117" s="172"/>
      <c r="AFN117" s="172"/>
      <c r="AFO117" s="172"/>
      <c r="AFP117" s="172"/>
      <c r="AFQ117" s="172"/>
      <c r="AFR117" s="172"/>
      <c r="AFS117" s="172"/>
      <c r="AFT117" s="172"/>
      <c r="AFU117" s="172"/>
      <c r="AFV117" s="172"/>
      <c r="AFW117" s="172"/>
      <c r="AFX117" s="172"/>
      <c r="AFY117" s="172"/>
      <c r="AFZ117" s="172"/>
      <c r="AGA117" s="172"/>
      <c r="AGB117" s="172"/>
      <c r="AGC117" s="172"/>
      <c r="AGD117" s="172"/>
      <c r="AGE117" s="172"/>
      <c r="AGF117" s="172"/>
      <c r="AGG117" s="172"/>
      <c r="AGH117" s="172"/>
      <c r="AGI117" s="172"/>
      <c r="AGJ117" s="172"/>
      <c r="AGK117" s="172"/>
      <c r="AGL117" s="172"/>
      <c r="AGM117" s="172"/>
      <c r="AGN117" s="172"/>
      <c r="AGO117" s="172"/>
      <c r="AGP117" s="172"/>
      <c r="AGQ117" s="172"/>
      <c r="AGR117" s="172"/>
      <c r="AGS117" s="172"/>
      <c r="AGT117" s="172"/>
      <c r="AGU117" s="172"/>
      <c r="AGV117" s="172"/>
      <c r="AGW117" s="172"/>
      <c r="AGX117" s="172"/>
      <c r="AGY117" s="172"/>
      <c r="AGZ117" s="172"/>
      <c r="AHA117" s="172"/>
      <c r="AHB117" s="172"/>
      <c r="AHC117" s="172"/>
      <c r="AHD117" s="172"/>
      <c r="AHE117" s="172"/>
      <c r="AHF117" s="172"/>
      <c r="AHG117" s="172"/>
      <c r="AHH117" s="172"/>
      <c r="AHI117" s="172"/>
      <c r="AHJ117" s="172"/>
      <c r="AHK117" s="172"/>
      <c r="AHL117" s="172"/>
      <c r="AHM117" s="172"/>
      <c r="AHN117" s="172"/>
      <c r="AHO117" s="172"/>
      <c r="AHP117" s="172"/>
      <c r="AHQ117" s="172"/>
      <c r="AHR117" s="172"/>
      <c r="AHS117" s="172"/>
      <c r="AHT117" s="172"/>
      <c r="AHU117" s="172"/>
      <c r="AHV117" s="172"/>
      <c r="AHW117" s="172"/>
      <c r="AHX117" s="172"/>
      <c r="AHY117" s="172"/>
      <c r="AHZ117" s="172"/>
      <c r="AIA117" s="172"/>
      <c r="AIB117" s="172"/>
      <c r="AIC117" s="172"/>
      <c r="AID117" s="172"/>
      <c r="AIE117" s="172"/>
      <c r="AIF117" s="172"/>
      <c r="AIG117" s="172"/>
      <c r="AIH117" s="172"/>
      <c r="AII117" s="172"/>
      <c r="AIJ117" s="172"/>
      <c r="AIK117" s="172"/>
      <c r="AIL117" s="172"/>
      <c r="AIM117" s="172"/>
      <c r="AIN117" s="172"/>
      <c r="AIO117" s="172"/>
      <c r="AIP117" s="172"/>
      <c r="AIQ117" s="172"/>
      <c r="AIR117" s="172"/>
      <c r="AIS117" s="172"/>
      <c r="AIT117" s="172"/>
      <c r="AIU117" s="172"/>
      <c r="AIV117" s="172"/>
      <c r="AIW117" s="172"/>
      <c r="AIX117" s="172"/>
      <c r="AIY117" s="172"/>
      <c r="AIZ117" s="172"/>
      <c r="AJA117" s="172"/>
      <c r="AJB117" s="172"/>
      <c r="AJC117" s="172"/>
      <c r="AJD117" s="172"/>
      <c r="AJE117" s="172"/>
      <c r="AJF117" s="172"/>
      <c r="AJG117" s="172"/>
      <c r="AJH117" s="172"/>
      <c r="AJI117" s="172"/>
      <c r="AJJ117" s="172"/>
      <c r="AJK117" s="172"/>
      <c r="AJL117" s="172"/>
      <c r="AJM117" s="172"/>
      <c r="AJN117" s="172"/>
      <c r="AJO117" s="172"/>
      <c r="AJP117" s="172"/>
      <c r="AJQ117" s="172"/>
      <c r="AJR117" s="172"/>
      <c r="AJS117" s="172"/>
      <c r="AJT117" s="172"/>
      <c r="AJU117" s="172"/>
      <c r="AJV117" s="172"/>
      <c r="AJW117" s="172"/>
      <c r="AJX117" s="172"/>
      <c r="AJY117" s="172"/>
      <c r="AJZ117" s="172"/>
      <c r="AKA117" s="172"/>
      <c r="AKB117" s="172"/>
      <c r="AKC117" s="172"/>
      <c r="AKD117" s="172"/>
      <c r="AKE117" s="172"/>
      <c r="AKF117" s="172"/>
      <c r="AKG117" s="172"/>
      <c r="AKH117" s="172"/>
      <c r="AKI117" s="172"/>
      <c r="AKJ117" s="172"/>
      <c r="AKK117" s="172"/>
      <c r="AKL117" s="172"/>
      <c r="AKM117" s="172"/>
      <c r="AKN117" s="172"/>
      <c r="AKO117" s="172"/>
      <c r="AKP117" s="172"/>
      <c r="AKQ117" s="172"/>
      <c r="AKR117" s="172"/>
      <c r="AKS117" s="172"/>
      <c r="AKT117" s="172"/>
      <c r="AKU117" s="172"/>
      <c r="AKV117" s="172"/>
      <c r="AKW117" s="172"/>
      <c r="AKX117" s="172"/>
      <c r="AKY117" s="172"/>
      <c r="AKZ117" s="172"/>
      <c r="ALA117" s="172"/>
      <c r="ALB117" s="172"/>
      <c r="ALC117" s="172"/>
      <c r="ALD117" s="172"/>
      <c r="ALE117" s="172"/>
      <c r="ALF117" s="172"/>
      <c r="ALG117" s="172"/>
      <c r="ALH117" s="172"/>
      <c r="ALI117" s="172"/>
      <c r="ALJ117" s="172"/>
      <c r="ALK117" s="172"/>
      <c r="ALL117" s="172"/>
      <c r="ALM117" s="172"/>
      <c r="ALN117" s="172"/>
      <c r="ALO117" s="172"/>
      <c r="ALP117" s="172"/>
      <c r="ALQ117" s="172"/>
      <c r="ALR117" s="172"/>
      <c r="ALS117" s="172"/>
      <c r="ALT117" s="172"/>
      <c r="ALU117" s="172"/>
      <c r="ALV117" s="172"/>
      <c r="ALW117" s="172"/>
      <c r="ALX117" s="172"/>
      <c r="ALY117" s="172"/>
      <c r="ALZ117" s="172"/>
      <c r="AMA117" s="172"/>
      <c r="AMB117" s="172"/>
      <c r="AMC117" s="172"/>
      <c r="AMD117" s="172"/>
      <c r="AME117" s="172"/>
      <c r="AMF117" s="172"/>
      <c r="AMG117" s="172"/>
      <c r="AMH117" s="172"/>
      <c r="AMI117" s="172"/>
      <c r="AMJ117" s="172"/>
    </row>
    <row r="118" s="7" customFormat="true" ht="15.75" hidden="false" customHeight="true" outlineLevel="0" collapsed="false">
      <c r="A118" s="172"/>
      <c r="B118" s="72" t="s">
        <v>111</v>
      </c>
      <c r="C118" s="73" t="s">
        <v>88</v>
      </c>
      <c r="D118" s="74" t="n">
        <v>560</v>
      </c>
      <c r="E118" s="75"/>
      <c r="F118" s="157" t="n">
        <v>14</v>
      </c>
      <c r="G118" s="10"/>
      <c r="H118" s="172"/>
      <c r="I118" s="172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  <c r="GH118" s="172"/>
      <c r="GI118" s="172"/>
      <c r="GJ118" s="172"/>
      <c r="GK118" s="172"/>
      <c r="GL118" s="172"/>
      <c r="GM118" s="172"/>
      <c r="GN118" s="172"/>
      <c r="GO118" s="172"/>
      <c r="GP118" s="172"/>
      <c r="GQ118" s="172"/>
      <c r="GR118" s="172"/>
      <c r="GS118" s="172"/>
      <c r="GT118" s="172"/>
      <c r="GU118" s="172"/>
      <c r="GV118" s="172"/>
      <c r="GW118" s="172"/>
      <c r="GX118" s="172"/>
      <c r="GY118" s="172"/>
      <c r="GZ118" s="172"/>
      <c r="HA118" s="172"/>
      <c r="HB118" s="172"/>
      <c r="HC118" s="172"/>
      <c r="HD118" s="172"/>
      <c r="HE118" s="172"/>
      <c r="HF118" s="172"/>
      <c r="HG118" s="172"/>
      <c r="HH118" s="172"/>
      <c r="HI118" s="172"/>
      <c r="HJ118" s="172"/>
      <c r="HK118" s="172"/>
      <c r="HL118" s="172"/>
      <c r="HM118" s="172"/>
      <c r="HN118" s="172"/>
      <c r="HO118" s="172"/>
      <c r="HP118" s="172"/>
      <c r="HQ118" s="172"/>
      <c r="HR118" s="172"/>
      <c r="HS118" s="172"/>
      <c r="HT118" s="172"/>
      <c r="HU118" s="172"/>
      <c r="HV118" s="172"/>
      <c r="HW118" s="172"/>
      <c r="HX118" s="172"/>
      <c r="HY118" s="172"/>
      <c r="HZ118" s="172"/>
      <c r="IA118" s="172"/>
      <c r="IB118" s="172"/>
      <c r="IC118" s="172"/>
      <c r="ID118" s="172"/>
      <c r="IE118" s="172"/>
      <c r="IF118" s="172"/>
      <c r="IG118" s="172"/>
      <c r="IH118" s="172"/>
      <c r="II118" s="172"/>
      <c r="IJ118" s="172"/>
      <c r="IK118" s="172"/>
      <c r="IL118" s="172"/>
      <c r="IM118" s="172"/>
      <c r="IN118" s="172"/>
      <c r="IO118" s="172"/>
      <c r="IP118" s="172"/>
      <c r="IQ118" s="172"/>
      <c r="IR118" s="172"/>
      <c r="IS118" s="172"/>
      <c r="IT118" s="172"/>
      <c r="IU118" s="172"/>
      <c r="IV118" s="172"/>
      <c r="IW118" s="172"/>
      <c r="IX118" s="172"/>
      <c r="IY118" s="172"/>
      <c r="IZ118" s="172"/>
      <c r="JA118" s="172"/>
      <c r="JB118" s="172"/>
      <c r="JC118" s="172"/>
      <c r="JD118" s="172"/>
      <c r="JE118" s="172"/>
      <c r="JF118" s="172"/>
      <c r="JG118" s="172"/>
      <c r="JH118" s="172"/>
      <c r="JI118" s="172"/>
      <c r="JJ118" s="172"/>
      <c r="JK118" s="172"/>
      <c r="JL118" s="172"/>
      <c r="JM118" s="172"/>
      <c r="JN118" s="172"/>
      <c r="JO118" s="172"/>
      <c r="JP118" s="172"/>
      <c r="JQ118" s="172"/>
      <c r="JR118" s="172"/>
      <c r="JS118" s="172"/>
      <c r="JT118" s="172"/>
      <c r="JU118" s="172"/>
      <c r="JV118" s="172"/>
      <c r="JW118" s="172"/>
      <c r="JX118" s="172"/>
      <c r="JY118" s="172"/>
      <c r="JZ118" s="172"/>
      <c r="KA118" s="172"/>
      <c r="KB118" s="172"/>
      <c r="KC118" s="172"/>
      <c r="KD118" s="172"/>
      <c r="KE118" s="172"/>
      <c r="KF118" s="172"/>
      <c r="KG118" s="172"/>
      <c r="KH118" s="172"/>
      <c r="KI118" s="172"/>
      <c r="KJ118" s="172"/>
      <c r="KK118" s="172"/>
      <c r="KL118" s="172"/>
      <c r="KM118" s="172"/>
      <c r="KN118" s="172"/>
      <c r="KO118" s="172"/>
      <c r="KP118" s="172"/>
      <c r="KQ118" s="172"/>
      <c r="KR118" s="172"/>
      <c r="KS118" s="172"/>
      <c r="KT118" s="172"/>
      <c r="KU118" s="172"/>
      <c r="KV118" s="172"/>
      <c r="KW118" s="172"/>
      <c r="KX118" s="172"/>
      <c r="KY118" s="172"/>
      <c r="KZ118" s="172"/>
      <c r="LA118" s="172"/>
      <c r="LB118" s="172"/>
      <c r="LC118" s="172"/>
      <c r="LD118" s="172"/>
      <c r="LE118" s="172"/>
      <c r="LF118" s="172"/>
      <c r="LG118" s="172"/>
      <c r="LH118" s="172"/>
      <c r="LI118" s="172"/>
      <c r="LJ118" s="172"/>
      <c r="LK118" s="172"/>
      <c r="LL118" s="172"/>
      <c r="LM118" s="172"/>
      <c r="LN118" s="172"/>
      <c r="LO118" s="172"/>
      <c r="LP118" s="172"/>
      <c r="LQ118" s="172"/>
      <c r="LR118" s="172"/>
      <c r="LS118" s="172"/>
      <c r="LT118" s="172"/>
      <c r="LU118" s="172"/>
      <c r="LV118" s="172"/>
      <c r="LW118" s="172"/>
      <c r="LX118" s="172"/>
      <c r="LY118" s="172"/>
      <c r="LZ118" s="172"/>
      <c r="MA118" s="172"/>
      <c r="MB118" s="172"/>
      <c r="MC118" s="172"/>
      <c r="MD118" s="172"/>
      <c r="ME118" s="172"/>
      <c r="MF118" s="172"/>
      <c r="MG118" s="172"/>
      <c r="MH118" s="172"/>
      <c r="MI118" s="172"/>
      <c r="MJ118" s="172"/>
      <c r="MK118" s="172"/>
      <c r="ML118" s="172"/>
      <c r="MM118" s="172"/>
      <c r="MN118" s="172"/>
      <c r="MO118" s="172"/>
      <c r="MP118" s="172"/>
      <c r="MQ118" s="172"/>
      <c r="MR118" s="172"/>
      <c r="MS118" s="172"/>
      <c r="MT118" s="172"/>
      <c r="MU118" s="172"/>
      <c r="MV118" s="172"/>
      <c r="MW118" s="172"/>
      <c r="MX118" s="172"/>
      <c r="MY118" s="172"/>
      <c r="MZ118" s="172"/>
      <c r="NA118" s="172"/>
      <c r="NB118" s="172"/>
      <c r="NC118" s="172"/>
      <c r="ND118" s="172"/>
      <c r="NE118" s="172"/>
      <c r="NF118" s="172"/>
      <c r="NG118" s="172"/>
      <c r="NH118" s="172"/>
      <c r="NI118" s="172"/>
      <c r="NJ118" s="172"/>
      <c r="NK118" s="172"/>
      <c r="NL118" s="172"/>
      <c r="NM118" s="172"/>
      <c r="NN118" s="172"/>
      <c r="NO118" s="172"/>
      <c r="NP118" s="172"/>
      <c r="NQ118" s="172"/>
      <c r="NR118" s="172"/>
      <c r="NS118" s="172"/>
      <c r="NT118" s="172"/>
      <c r="NU118" s="172"/>
      <c r="NV118" s="172"/>
      <c r="NW118" s="172"/>
      <c r="NX118" s="172"/>
      <c r="NY118" s="172"/>
      <c r="NZ118" s="172"/>
      <c r="OA118" s="172"/>
      <c r="OB118" s="172"/>
      <c r="OC118" s="172"/>
      <c r="OD118" s="172"/>
      <c r="OE118" s="172"/>
      <c r="OF118" s="172"/>
      <c r="OG118" s="172"/>
      <c r="OH118" s="172"/>
      <c r="OI118" s="172"/>
      <c r="OJ118" s="172"/>
      <c r="OK118" s="172"/>
      <c r="OL118" s="172"/>
      <c r="OM118" s="172"/>
      <c r="ON118" s="172"/>
      <c r="OO118" s="172"/>
      <c r="OP118" s="172"/>
      <c r="OQ118" s="172"/>
      <c r="OR118" s="172"/>
      <c r="OS118" s="172"/>
      <c r="OT118" s="172"/>
      <c r="OU118" s="172"/>
      <c r="OV118" s="172"/>
      <c r="OW118" s="172"/>
      <c r="OX118" s="172"/>
      <c r="OY118" s="172"/>
      <c r="OZ118" s="172"/>
      <c r="PA118" s="172"/>
      <c r="PB118" s="172"/>
      <c r="PC118" s="172"/>
      <c r="PD118" s="172"/>
      <c r="PE118" s="172"/>
      <c r="PF118" s="172"/>
      <c r="PG118" s="172"/>
      <c r="PH118" s="172"/>
      <c r="PI118" s="172"/>
      <c r="PJ118" s="172"/>
      <c r="PK118" s="172"/>
      <c r="PL118" s="172"/>
      <c r="PM118" s="172"/>
      <c r="PN118" s="172"/>
      <c r="PO118" s="172"/>
      <c r="PP118" s="172"/>
      <c r="PQ118" s="172"/>
      <c r="PR118" s="172"/>
      <c r="PS118" s="172"/>
      <c r="PT118" s="172"/>
      <c r="PU118" s="172"/>
      <c r="PV118" s="172"/>
      <c r="PW118" s="172"/>
      <c r="PX118" s="172"/>
      <c r="PY118" s="172"/>
      <c r="PZ118" s="172"/>
      <c r="QA118" s="172"/>
      <c r="QB118" s="172"/>
      <c r="QC118" s="172"/>
      <c r="QD118" s="172"/>
      <c r="QE118" s="172"/>
      <c r="QF118" s="172"/>
      <c r="QG118" s="172"/>
      <c r="QH118" s="172"/>
      <c r="QI118" s="172"/>
      <c r="QJ118" s="172"/>
      <c r="QK118" s="172"/>
      <c r="QL118" s="172"/>
      <c r="QM118" s="172"/>
      <c r="QN118" s="172"/>
      <c r="QO118" s="172"/>
      <c r="QP118" s="172"/>
      <c r="QQ118" s="172"/>
      <c r="QR118" s="172"/>
      <c r="QS118" s="172"/>
      <c r="QT118" s="172"/>
      <c r="QU118" s="172"/>
      <c r="QV118" s="172"/>
      <c r="QW118" s="172"/>
      <c r="QX118" s="172"/>
      <c r="QY118" s="172"/>
      <c r="QZ118" s="172"/>
      <c r="RA118" s="172"/>
      <c r="RB118" s="172"/>
      <c r="RC118" s="172"/>
      <c r="RD118" s="172"/>
      <c r="RE118" s="172"/>
      <c r="RF118" s="172"/>
      <c r="RG118" s="172"/>
      <c r="RH118" s="172"/>
      <c r="RI118" s="172"/>
      <c r="RJ118" s="172"/>
      <c r="RK118" s="172"/>
      <c r="RL118" s="172"/>
      <c r="RM118" s="172"/>
      <c r="RN118" s="172"/>
      <c r="RO118" s="172"/>
      <c r="RP118" s="172"/>
      <c r="RQ118" s="172"/>
      <c r="RR118" s="172"/>
      <c r="RS118" s="172"/>
      <c r="RT118" s="172"/>
      <c r="RU118" s="172"/>
      <c r="RV118" s="172"/>
      <c r="RW118" s="172"/>
      <c r="RX118" s="172"/>
      <c r="RY118" s="172"/>
      <c r="RZ118" s="172"/>
      <c r="SA118" s="172"/>
      <c r="SB118" s="172"/>
      <c r="SC118" s="172"/>
      <c r="SD118" s="172"/>
      <c r="SE118" s="172"/>
      <c r="SF118" s="172"/>
      <c r="SG118" s="172"/>
      <c r="SH118" s="172"/>
      <c r="SI118" s="172"/>
      <c r="SJ118" s="172"/>
      <c r="SK118" s="172"/>
      <c r="SL118" s="172"/>
      <c r="SM118" s="172"/>
      <c r="SN118" s="172"/>
      <c r="SO118" s="172"/>
      <c r="SP118" s="172"/>
      <c r="SQ118" s="172"/>
      <c r="SR118" s="172"/>
      <c r="SS118" s="172"/>
      <c r="ST118" s="172"/>
      <c r="SU118" s="172"/>
      <c r="SV118" s="172"/>
      <c r="SW118" s="172"/>
      <c r="SX118" s="172"/>
      <c r="SY118" s="172"/>
      <c r="SZ118" s="172"/>
      <c r="TA118" s="172"/>
      <c r="TB118" s="172"/>
      <c r="TC118" s="172"/>
      <c r="TD118" s="172"/>
      <c r="TE118" s="172"/>
      <c r="TF118" s="172"/>
      <c r="TG118" s="172"/>
      <c r="TH118" s="172"/>
      <c r="TI118" s="172"/>
      <c r="TJ118" s="172"/>
      <c r="TK118" s="172"/>
      <c r="TL118" s="172"/>
      <c r="TM118" s="172"/>
      <c r="TN118" s="172"/>
      <c r="TO118" s="172"/>
      <c r="TP118" s="172"/>
      <c r="TQ118" s="172"/>
      <c r="TR118" s="172"/>
      <c r="TS118" s="172"/>
      <c r="TT118" s="172"/>
      <c r="TU118" s="172"/>
      <c r="TV118" s="172"/>
      <c r="TW118" s="172"/>
      <c r="TX118" s="172"/>
      <c r="TY118" s="172"/>
      <c r="TZ118" s="172"/>
      <c r="UA118" s="172"/>
      <c r="UB118" s="172"/>
      <c r="UC118" s="172"/>
      <c r="UD118" s="172"/>
      <c r="UE118" s="172"/>
      <c r="UF118" s="172"/>
      <c r="UG118" s="172"/>
      <c r="UH118" s="172"/>
      <c r="UI118" s="172"/>
      <c r="UJ118" s="172"/>
      <c r="UK118" s="172"/>
      <c r="UL118" s="172"/>
      <c r="UM118" s="172"/>
      <c r="UN118" s="172"/>
      <c r="UO118" s="172"/>
      <c r="UP118" s="172"/>
      <c r="UQ118" s="172"/>
      <c r="UR118" s="172"/>
      <c r="US118" s="172"/>
      <c r="UT118" s="172"/>
      <c r="UU118" s="172"/>
      <c r="UV118" s="172"/>
      <c r="UW118" s="172"/>
      <c r="UX118" s="172"/>
      <c r="UY118" s="172"/>
      <c r="UZ118" s="172"/>
      <c r="VA118" s="172"/>
      <c r="VB118" s="172"/>
      <c r="VC118" s="172"/>
      <c r="VD118" s="172"/>
      <c r="VE118" s="172"/>
      <c r="VF118" s="172"/>
      <c r="VG118" s="172"/>
      <c r="VH118" s="172"/>
      <c r="VI118" s="172"/>
      <c r="VJ118" s="172"/>
      <c r="VK118" s="172"/>
      <c r="VL118" s="172"/>
      <c r="VM118" s="172"/>
      <c r="VN118" s="172"/>
      <c r="VO118" s="172"/>
      <c r="VP118" s="172"/>
      <c r="VQ118" s="172"/>
      <c r="VR118" s="172"/>
      <c r="VS118" s="172"/>
      <c r="VT118" s="172"/>
      <c r="VU118" s="172"/>
      <c r="VV118" s="172"/>
      <c r="VW118" s="172"/>
      <c r="VX118" s="172"/>
      <c r="VY118" s="172"/>
      <c r="VZ118" s="172"/>
      <c r="WA118" s="172"/>
      <c r="WB118" s="172"/>
      <c r="WC118" s="172"/>
      <c r="WD118" s="172"/>
      <c r="WE118" s="172"/>
      <c r="WF118" s="172"/>
      <c r="WG118" s="172"/>
      <c r="WH118" s="172"/>
      <c r="WI118" s="172"/>
      <c r="WJ118" s="172"/>
      <c r="WK118" s="172"/>
      <c r="WL118" s="172"/>
      <c r="WM118" s="172"/>
      <c r="WN118" s="172"/>
      <c r="WO118" s="172"/>
      <c r="WP118" s="172"/>
      <c r="WQ118" s="172"/>
      <c r="WR118" s="172"/>
      <c r="WS118" s="172"/>
      <c r="WT118" s="172"/>
      <c r="WU118" s="172"/>
      <c r="WV118" s="172"/>
      <c r="WW118" s="172"/>
      <c r="WX118" s="172"/>
      <c r="WY118" s="172"/>
      <c r="WZ118" s="172"/>
      <c r="XA118" s="172"/>
      <c r="XB118" s="172"/>
      <c r="XC118" s="172"/>
      <c r="XD118" s="172"/>
      <c r="XE118" s="172"/>
      <c r="XF118" s="172"/>
      <c r="XG118" s="172"/>
      <c r="XH118" s="172"/>
      <c r="XI118" s="172"/>
      <c r="XJ118" s="172"/>
      <c r="XK118" s="172"/>
      <c r="XL118" s="172"/>
      <c r="XM118" s="172"/>
      <c r="XN118" s="172"/>
      <c r="XO118" s="172"/>
      <c r="XP118" s="172"/>
      <c r="XQ118" s="172"/>
      <c r="XR118" s="172"/>
      <c r="XS118" s="172"/>
      <c r="XT118" s="172"/>
      <c r="XU118" s="172"/>
      <c r="XV118" s="172"/>
      <c r="XW118" s="172"/>
      <c r="XX118" s="172"/>
      <c r="XY118" s="172"/>
      <c r="XZ118" s="172"/>
      <c r="YA118" s="172"/>
      <c r="YB118" s="172"/>
      <c r="YC118" s="172"/>
      <c r="YD118" s="172"/>
      <c r="YE118" s="172"/>
      <c r="YF118" s="172"/>
      <c r="YG118" s="172"/>
      <c r="YH118" s="172"/>
      <c r="YI118" s="172"/>
      <c r="YJ118" s="172"/>
      <c r="YK118" s="172"/>
      <c r="YL118" s="172"/>
      <c r="YM118" s="172"/>
      <c r="YN118" s="172"/>
      <c r="YO118" s="172"/>
      <c r="YP118" s="172"/>
      <c r="YQ118" s="172"/>
      <c r="YR118" s="172"/>
      <c r="YS118" s="172"/>
      <c r="YT118" s="172"/>
      <c r="YU118" s="172"/>
      <c r="YV118" s="172"/>
      <c r="YW118" s="172"/>
      <c r="YX118" s="172"/>
      <c r="YY118" s="172"/>
      <c r="YZ118" s="172"/>
      <c r="ZA118" s="172"/>
      <c r="ZB118" s="172"/>
      <c r="ZC118" s="172"/>
      <c r="ZD118" s="172"/>
      <c r="ZE118" s="172"/>
      <c r="ZF118" s="172"/>
      <c r="ZG118" s="172"/>
      <c r="ZH118" s="172"/>
      <c r="ZI118" s="172"/>
      <c r="ZJ118" s="172"/>
      <c r="ZK118" s="172"/>
      <c r="ZL118" s="172"/>
      <c r="ZM118" s="172"/>
      <c r="ZN118" s="172"/>
      <c r="ZO118" s="172"/>
      <c r="ZP118" s="172"/>
      <c r="ZQ118" s="172"/>
      <c r="ZR118" s="172"/>
      <c r="ZS118" s="172"/>
      <c r="ZT118" s="172"/>
      <c r="ZU118" s="172"/>
      <c r="ZV118" s="172"/>
      <c r="ZW118" s="172"/>
      <c r="ZX118" s="172"/>
      <c r="ZY118" s="172"/>
      <c r="ZZ118" s="172"/>
      <c r="AAA118" s="172"/>
      <c r="AAB118" s="172"/>
      <c r="AAC118" s="172"/>
      <c r="AAD118" s="172"/>
      <c r="AAE118" s="172"/>
      <c r="AAF118" s="172"/>
      <c r="AAG118" s="172"/>
      <c r="AAH118" s="172"/>
      <c r="AAI118" s="172"/>
      <c r="AAJ118" s="172"/>
      <c r="AAK118" s="172"/>
      <c r="AAL118" s="172"/>
      <c r="AAM118" s="172"/>
      <c r="AAN118" s="172"/>
      <c r="AAO118" s="172"/>
      <c r="AAP118" s="172"/>
      <c r="AAQ118" s="172"/>
      <c r="AAR118" s="172"/>
      <c r="AAS118" s="172"/>
      <c r="AAT118" s="172"/>
      <c r="AAU118" s="172"/>
      <c r="AAV118" s="172"/>
      <c r="AAW118" s="172"/>
      <c r="AAX118" s="172"/>
      <c r="AAY118" s="172"/>
      <c r="AAZ118" s="172"/>
      <c r="ABA118" s="172"/>
      <c r="ABB118" s="172"/>
      <c r="ABC118" s="172"/>
      <c r="ABD118" s="172"/>
      <c r="ABE118" s="172"/>
      <c r="ABF118" s="172"/>
      <c r="ABG118" s="172"/>
      <c r="ABH118" s="172"/>
      <c r="ABI118" s="172"/>
      <c r="ABJ118" s="172"/>
      <c r="ABK118" s="172"/>
      <c r="ABL118" s="172"/>
      <c r="ABM118" s="172"/>
      <c r="ABN118" s="172"/>
      <c r="ABO118" s="172"/>
      <c r="ABP118" s="172"/>
      <c r="ABQ118" s="172"/>
      <c r="ABR118" s="172"/>
      <c r="ABS118" s="172"/>
      <c r="ABT118" s="172"/>
      <c r="ABU118" s="172"/>
      <c r="ABV118" s="172"/>
      <c r="ABW118" s="172"/>
      <c r="ABX118" s="172"/>
      <c r="ABY118" s="172"/>
      <c r="ABZ118" s="172"/>
      <c r="ACA118" s="172"/>
      <c r="ACB118" s="172"/>
      <c r="ACC118" s="172"/>
      <c r="ACD118" s="172"/>
      <c r="ACE118" s="172"/>
      <c r="ACF118" s="172"/>
      <c r="ACG118" s="172"/>
      <c r="ACH118" s="172"/>
      <c r="ACI118" s="172"/>
      <c r="ACJ118" s="172"/>
      <c r="ACK118" s="172"/>
      <c r="ACL118" s="172"/>
      <c r="ACM118" s="172"/>
      <c r="ACN118" s="172"/>
      <c r="ACO118" s="172"/>
      <c r="ACP118" s="172"/>
      <c r="ACQ118" s="172"/>
      <c r="ACR118" s="172"/>
      <c r="ACS118" s="172"/>
      <c r="ACT118" s="172"/>
      <c r="ACU118" s="172"/>
      <c r="ACV118" s="172"/>
      <c r="ACW118" s="172"/>
      <c r="ACX118" s="172"/>
      <c r="ACY118" s="172"/>
      <c r="ACZ118" s="172"/>
      <c r="ADA118" s="172"/>
      <c r="ADB118" s="172"/>
      <c r="ADC118" s="172"/>
      <c r="ADD118" s="172"/>
      <c r="ADE118" s="172"/>
      <c r="ADF118" s="172"/>
      <c r="ADG118" s="172"/>
      <c r="ADH118" s="172"/>
      <c r="ADI118" s="172"/>
      <c r="ADJ118" s="172"/>
      <c r="ADK118" s="172"/>
      <c r="ADL118" s="172"/>
      <c r="ADM118" s="172"/>
      <c r="ADN118" s="172"/>
      <c r="ADO118" s="172"/>
      <c r="ADP118" s="172"/>
      <c r="ADQ118" s="172"/>
      <c r="ADR118" s="172"/>
      <c r="ADS118" s="172"/>
      <c r="ADT118" s="172"/>
      <c r="ADU118" s="172"/>
      <c r="ADV118" s="172"/>
      <c r="ADW118" s="172"/>
      <c r="ADX118" s="172"/>
      <c r="ADY118" s="172"/>
      <c r="ADZ118" s="172"/>
      <c r="AEA118" s="172"/>
      <c r="AEB118" s="172"/>
      <c r="AEC118" s="172"/>
      <c r="AED118" s="172"/>
      <c r="AEE118" s="172"/>
      <c r="AEF118" s="172"/>
      <c r="AEG118" s="172"/>
      <c r="AEH118" s="172"/>
      <c r="AEI118" s="172"/>
      <c r="AEJ118" s="172"/>
      <c r="AEK118" s="172"/>
      <c r="AEL118" s="172"/>
      <c r="AEM118" s="172"/>
      <c r="AEN118" s="172"/>
      <c r="AEO118" s="172"/>
      <c r="AEP118" s="172"/>
      <c r="AEQ118" s="172"/>
      <c r="AER118" s="172"/>
      <c r="AES118" s="172"/>
      <c r="AET118" s="172"/>
      <c r="AEU118" s="172"/>
      <c r="AEV118" s="172"/>
      <c r="AEW118" s="172"/>
      <c r="AEX118" s="172"/>
      <c r="AEY118" s="172"/>
      <c r="AEZ118" s="172"/>
      <c r="AFA118" s="172"/>
      <c r="AFB118" s="172"/>
      <c r="AFC118" s="172"/>
      <c r="AFD118" s="172"/>
      <c r="AFE118" s="172"/>
      <c r="AFF118" s="172"/>
      <c r="AFG118" s="172"/>
      <c r="AFH118" s="172"/>
      <c r="AFI118" s="172"/>
      <c r="AFJ118" s="172"/>
      <c r="AFK118" s="172"/>
      <c r="AFL118" s="172"/>
      <c r="AFM118" s="172"/>
      <c r="AFN118" s="172"/>
      <c r="AFO118" s="172"/>
      <c r="AFP118" s="172"/>
      <c r="AFQ118" s="172"/>
      <c r="AFR118" s="172"/>
      <c r="AFS118" s="172"/>
      <c r="AFT118" s="172"/>
      <c r="AFU118" s="172"/>
      <c r="AFV118" s="172"/>
      <c r="AFW118" s="172"/>
      <c r="AFX118" s="172"/>
      <c r="AFY118" s="172"/>
      <c r="AFZ118" s="172"/>
      <c r="AGA118" s="172"/>
      <c r="AGB118" s="172"/>
      <c r="AGC118" s="172"/>
      <c r="AGD118" s="172"/>
      <c r="AGE118" s="172"/>
      <c r="AGF118" s="172"/>
      <c r="AGG118" s="172"/>
      <c r="AGH118" s="172"/>
      <c r="AGI118" s="172"/>
      <c r="AGJ118" s="172"/>
      <c r="AGK118" s="172"/>
      <c r="AGL118" s="172"/>
      <c r="AGM118" s="172"/>
      <c r="AGN118" s="172"/>
      <c r="AGO118" s="172"/>
      <c r="AGP118" s="172"/>
      <c r="AGQ118" s="172"/>
      <c r="AGR118" s="172"/>
      <c r="AGS118" s="172"/>
      <c r="AGT118" s="172"/>
      <c r="AGU118" s="172"/>
      <c r="AGV118" s="172"/>
      <c r="AGW118" s="172"/>
      <c r="AGX118" s="172"/>
      <c r="AGY118" s="172"/>
      <c r="AGZ118" s="172"/>
      <c r="AHA118" s="172"/>
      <c r="AHB118" s="172"/>
      <c r="AHC118" s="172"/>
      <c r="AHD118" s="172"/>
      <c r="AHE118" s="172"/>
      <c r="AHF118" s="172"/>
      <c r="AHG118" s="172"/>
      <c r="AHH118" s="172"/>
      <c r="AHI118" s="172"/>
      <c r="AHJ118" s="172"/>
      <c r="AHK118" s="172"/>
      <c r="AHL118" s="172"/>
      <c r="AHM118" s="172"/>
      <c r="AHN118" s="172"/>
      <c r="AHO118" s="172"/>
      <c r="AHP118" s="172"/>
      <c r="AHQ118" s="172"/>
      <c r="AHR118" s="172"/>
      <c r="AHS118" s="172"/>
      <c r="AHT118" s="172"/>
      <c r="AHU118" s="172"/>
      <c r="AHV118" s="172"/>
      <c r="AHW118" s="172"/>
      <c r="AHX118" s="172"/>
      <c r="AHY118" s="172"/>
      <c r="AHZ118" s="172"/>
      <c r="AIA118" s="172"/>
      <c r="AIB118" s="172"/>
      <c r="AIC118" s="172"/>
      <c r="AID118" s="172"/>
      <c r="AIE118" s="172"/>
      <c r="AIF118" s="172"/>
      <c r="AIG118" s="172"/>
      <c r="AIH118" s="172"/>
      <c r="AII118" s="172"/>
      <c r="AIJ118" s="172"/>
      <c r="AIK118" s="172"/>
      <c r="AIL118" s="172"/>
      <c r="AIM118" s="172"/>
      <c r="AIN118" s="172"/>
      <c r="AIO118" s="172"/>
      <c r="AIP118" s="172"/>
      <c r="AIQ118" s="172"/>
      <c r="AIR118" s="172"/>
      <c r="AIS118" s="172"/>
      <c r="AIT118" s="172"/>
      <c r="AIU118" s="172"/>
      <c r="AIV118" s="172"/>
      <c r="AIW118" s="172"/>
      <c r="AIX118" s="172"/>
      <c r="AIY118" s="172"/>
      <c r="AIZ118" s="172"/>
      <c r="AJA118" s="172"/>
      <c r="AJB118" s="172"/>
      <c r="AJC118" s="172"/>
      <c r="AJD118" s="172"/>
      <c r="AJE118" s="172"/>
      <c r="AJF118" s="172"/>
      <c r="AJG118" s="172"/>
      <c r="AJH118" s="172"/>
      <c r="AJI118" s="172"/>
      <c r="AJJ118" s="172"/>
      <c r="AJK118" s="172"/>
      <c r="AJL118" s="172"/>
      <c r="AJM118" s="172"/>
      <c r="AJN118" s="172"/>
      <c r="AJO118" s="172"/>
      <c r="AJP118" s="172"/>
      <c r="AJQ118" s="172"/>
      <c r="AJR118" s="172"/>
      <c r="AJS118" s="172"/>
      <c r="AJT118" s="172"/>
      <c r="AJU118" s="172"/>
      <c r="AJV118" s="172"/>
      <c r="AJW118" s="172"/>
      <c r="AJX118" s="172"/>
      <c r="AJY118" s="172"/>
      <c r="AJZ118" s="172"/>
      <c r="AKA118" s="172"/>
      <c r="AKB118" s="172"/>
      <c r="AKC118" s="172"/>
      <c r="AKD118" s="172"/>
      <c r="AKE118" s="172"/>
      <c r="AKF118" s="172"/>
      <c r="AKG118" s="172"/>
      <c r="AKH118" s="172"/>
      <c r="AKI118" s="172"/>
      <c r="AKJ118" s="172"/>
      <c r="AKK118" s="172"/>
      <c r="AKL118" s="172"/>
      <c r="AKM118" s="172"/>
      <c r="AKN118" s="172"/>
      <c r="AKO118" s="172"/>
      <c r="AKP118" s="172"/>
      <c r="AKQ118" s="172"/>
      <c r="AKR118" s="172"/>
      <c r="AKS118" s="172"/>
      <c r="AKT118" s="172"/>
      <c r="AKU118" s="172"/>
      <c r="AKV118" s="172"/>
      <c r="AKW118" s="172"/>
      <c r="AKX118" s="172"/>
      <c r="AKY118" s="172"/>
      <c r="AKZ118" s="172"/>
      <c r="ALA118" s="172"/>
      <c r="ALB118" s="172"/>
      <c r="ALC118" s="172"/>
      <c r="ALD118" s="172"/>
      <c r="ALE118" s="172"/>
      <c r="ALF118" s="172"/>
      <c r="ALG118" s="172"/>
      <c r="ALH118" s="172"/>
      <c r="ALI118" s="172"/>
      <c r="ALJ118" s="172"/>
      <c r="ALK118" s="172"/>
      <c r="ALL118" s="172"/>
      <c r="ALM118" s="172"/>
      <c r="ALN118" s="172"/>
      <c r="ALO118" s="172"/>
      <c r="ALP118" s="172"/>
      <c r="ALQ118" s="172"/>
      <c r="ALR118" s="172"/>
      <c r="ALS118" s="172"/>
      <c r="ALT118" s="172"/>
      <c r="ALU118" s="172"/>
      <c r="ALV118" s="172"/>
      <c r="ALW118" s="172"/>
      <c r="ALX118" s="172"/>
      <c r="ALY118" s="172"/>
      <c r="ALZ118" s="172"/>
      <c r="AMA118" s="172"/>
      <c r="AMB118" s="172"/>
      <c r="AMC118" s="172"/>
      <c r="AMD118" s="172"/>
      <c r="AME118" s="172"/>
      <c r="AMF118" s="172"/>
      <c r="AMG118" s="172"/>
      <c r="AMH118" s="172"/>
      <c r="AMI118" s="172"/>
      <c r="AMJ118" s="172"/>
    </row>
    <row r="119" s="7" customFormat="true" ht="15.75" hidden="false" customHeight="true" outlineLevel="0" collapsed="false">
      <c r="A119" s="172"/>
      <c r="B119" s="77"/>
      <c r="C119" s="175"/>
      <c r="D119" s="176"/>
      <c r="E119" s="176"/>
      <c r="F119" s="176"/>
      <c r="G119" s="10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  <c r="GH119" s="172"/>
      <c r="GI119" s="172"/>
      <c r="GJ119" s="172"/>
      <c r="GK119" s="172"/>
      <c r="GL119" s="172"/>
      <c r="GM119" s="172"/>
      <c r="GN119" s="172"/>
      <c r="GO119" s="172"/>
      <c r="GP119" s="172"/>
      <c r="GQ119" s="172"/>
      <c r="GR119" s="172"/>
      <c r="GS119" s="172"/>
      <c r="GT119" s="172"/>
      <c r="GU119" s="172"/>
      <c r="GV119" s="172"/>
      <c r="GW119" s="172"/>
      <c r="GX119" s="172"/>
      <c r="GY119" s="172"/>
      <c r="GZ119" s="172"/>
      <c r="HA119" s="172"/>
      <c r="HB119" s="172"/>
      <c r="HC119" s="172"/>
      <c r="HD119" s="172"/>
      <c r="HE119" s="172"/>
      <c r="HF119" s="172"/>
      <c r="HG119" s="172"/>
      <c r="HH119" s="172"/>
      <c r="HI119" s="172"/>
      <c r="HJ119" s="172"/>
      <c r="HK119" s="172"/>
      <c r="HL119" s="172"/>
      <c r="HM119" s="172"/>
      <c r="HN119" s="172"/>
      <c r="HO119" s="172"/>
      <c r="HP119" s="172"/>
      <c r="HQ119" s="172"/>
      <c r="HR119" s="172"/>
      <c r="HS119" s="172"/>
      <c r="HT119" s="172"/>
      <c r="HU119" s="172"/>
      <c r="HV119" s="172"/>
      <c r="HW119" s="172"/>
      <c r="HX119" s="172"/>
      <c r="HY119" s="172"/>
      <c r="HZ119" s="172"/>
      <c r="IA119" s="172"/>
      <c r="IB119" s="172"/>
      <c r="IC119" s="172"/>
      <c r="ID119" s="172"/>
      <c r="IE119" s="172"/>
      <c r="IF119" s="172"/>
      <c r="IG119" s="172"/>
      <c r="IH119" s="172"/>
      <c r="II119" s="172"/>
      <c r="IJ119" s="172"/>
      <c r="IK119" s="172"/>
      <c r="IL119" s="172"/>
      <c r="IM119" s="172"/>
      <c r="IN119" s="172"/>
      <c r="IO119" s="172"/>
      <c r="IP119" s="172"/>
      <c r="IQ119" s="172"/>
      <c r="IR119" s="172"/>
      <c r="IS119" s="172"/>
      <c r="IT119" s="172"/>
      <c r="IU119" s="172"/>
      <c r="IV119" s="172"/>
      <c r="IW119" s="172"/>
      <c r="IX119" s="172"/>
      <c r="IY119" s="172"/>
      <c r="IZ119" s="172"/>
      <c r="JA119" s="172"/>
      <c r="JB119" s="172"/>
      <c r="JC119" s="172"/>
      <c r="JD119" s="172"/>
      <c r="JE119" s="172"/>
      <c r="JF119" s="172"/>
      <c r="JG119" s="172"/>
      <c r="JH119" s="172"/>
      <c r="JI119" s="172"/>
      <c r="JJ119" s="172"/>
      <c r="JK119" s="172"/>
      <c r="JL119" s="172"/>
      <c r="JM119" s="172"/>
      <c r="JN119" s="172"/>
      <c r="JO119" s="172"/>
      <c r="JP119" s="172"/>
      <c r="JQ119" s="172"/>
      <c r="JR119" s="172"/>
      <c r="JS119" s="172"/>
      <c r="JT119" s="172"/>
      <c r="JU119" s="172"/>
      <c r="JV119" s="172"/>
      <c r="JW119" s="172"/>
      <c r="JX119" s="172"/>
      <c r="JY119" s="172"/>
      <c r="JZ119" s="172"/>
      <c r="KA119" s="172"/>
      <c r="KB119" s="172"/>
      <c r="KC119" s="172"/>
      <c r="KD119" s="172"/>
      <c r="KE119" s="172"/>
      <c r="KF119" s="172"/>
      <c r="KG119" s="172"/>
      <c r="KH119" s="172"/>
      <c r="KI119" s="172"/>
      <c r="KJ119" s="172"/>
      <c r="KK119" s="172"/>
      <c r="KL119" s="172"/>
      <c r="KM119" s="172"/>
      <c r="KN119" s="172"/>
      <c r="KO119" s="172"/>
      <c r="KP119" s="172"/>
      <c r="KQ119" s="172"/>
      <c r="KR119" s="172"/>
      <c r="KS119" s="172"/>
      <c r="KT119" s="172"/>
      <c r="KU119" s="172"/>
      <c r="KV119" s="172"/>
      <c r="KW119" s="172"/>
      <c r="KX119" s="172"/>
      <c r="KY119" s="172"/>
      <c r="KZ119" s="172"/>
      <c r="LA119" s="172"/>
      <c r="LB119" s="172"/>
      <c r="LC119" s="172"/>
      <c r="LD119" s="172"/>
      <c r="LE119" s="172"/>
      <c r="LF119" s="172"/>
      <c r="LG119" s="172"/>
      <c r="LH119" s="172"/>
      <c r="LI119" s="172"/>
      <c r="LJ119" s="172"/>
      <c r="LK119" s="172"/>
      <c r="LL119" s="172"/>
      <c r="LM119" s="172"/>
      <c r="LN119" s="172"/>
      <c r="LO119" s="172"/>
      <c r="LP119" s="172"/>
      <c r="LQ119" s="172"/>
      <c r="LR119" s="172"/>
      <c r="LS119" s="172"/>
      <c r="LT119" s="172"/>
      <c r="LU119" s="172"/>
      <c r="LV119" s="172"/>
      <c r="LW119" s="172"/>
      <c r="LX119" s="172"/>
      <c r="LY119" s="172"/>
      <c r="LZ119" s="172"/>
      <c r="MA119" s="172"/>
      <c r="MB119" s="172"/>
      <c r="MC119" s="172"/>
      <c r="MD119" s="172"/>
      <c r="ME119" s="172"/>
      <c r="MF119" s="172"/>
      <c r="MG119" s="172"/>
      <c r="MH119" s="172"/>
      <c r="MI119" s="172"/>
      <c r="MJ119" s="172"/>
      <c r="MK119" s="172"/>
      <c r="ML119" s="172"/>
      <c r="MM119" s="172"/>
      <c r="MN119" s="172"/>
      <c r="MO119" s="172"/>
      <c r="MP119" s="172"/>
      <c r="MQ119" s="172"/>
      <c r="MR119" s="172"/>
      <c r="MS119" s="172"/>
      <c r="MT119" s="172"/>
      <c r="MU119" s="172"/>
      <c r="MV119" s="172"/>
      <c r="MW119" s="172"/>
      <c r="MX119" s="172"/>
      <c r="MY119" s="172"/>
      <c r="MZ119" s="172"/>
      <c r="NA119" s="172"/>
      <c r="NB119" s="172"/>
      <c r="NC119" s="172"/>
      <c r="ND119" s="172"/>
      <c r="NE119" s="172"/>
      <c r="NF119" s="172"/>
      <c r="NG119" s="172"/>
      <c r="NH119" s="172"/>
      <c r="NI119" s="172"/>
      <c r="NJ119" s="172"/>
      <c r="NK119" s="172"/>
      <c r="NL119" s="172"/>
      <c r="NM119" s="172"/>
      <c r="NN119" s="172"/>
      <c r="NO119" s="172"/>
      <c r="NP119" s="172"/>
      <c r="NQ119" s="172"/>
      <c r="NR119" s="172"/>
      <c r="NS119" s="172"/>
      <c r="NT119" s="172"/>
      <c r="NU119" s="172"/>
      <c r="NV119" s="172"/>
      <c r="NW119" s="172"/>
      <c r="NX119" s="172"/>
      <c r="NY119" s="172"/>
      <c r="NZ119" s="172"/>
      <c r="OA119" s="172"/>
      <c r="OB119" s="172"/>
      <c r="OC119" s="172"/>
      <c r="OD119" s="172"/>
      <c r="OE119" s="172"/>
      <c r="OF119" s="172"/>
      <c r="OG119" s="172"/>
      <c r="OH119" s="172"/>
      <c r="OI119" s="172"/>
      <c r="OJ119" s="172"/>
      <c r="OK119" s="172"/>
      <c r="OL119" s="172"/>
      <c r="OM119" s="172"/>
      <c r="ON119" s="172"/>
      <c r="OO119" s="172"/>
      <c r="OP119" s="172"/>
      <c r="OQ119" s="172"/>
      <c r="OR119" s="172"/>
      <c r="OS119" s="172"/>
      <c r="OT119" s="172"/>
      <c r="OU119" s="172"/>
      <c r="OV119" s="172"/>
      <c r="OW119" s="172"/>
      <c r="OX119" s="172"/>
      <c r="OY119" s="172"/>
      <c r="OZ119" s="172"/>
      <c r="PA119" s="172"/>
      <c r="PB119" s="172"/>
      <c r="PC119" s="172"/>
      <c r="PD119" s="172"/>
      <c r="PE119" s="172"/>
      <c r="PF119" s="172"/>
      <c r="PG119" s="172"/>
      <c r="PH119" s="172"/>
      <c r="PI119" s="172"/>
      <c r="PJ119" s="172"/>
      <c r="PK119" s="172"/>
      <c r="PL119" s="172"/>
      <c r="PM119" s="172"/>
      <c r="PN119" s="172"/>
      <c r="PO119" s="172"/>
      <c r="PP119" s="172"/>
      <c r="PQ119" s="172"/>
      <c r="PR119" s="172"/>
      <c r="PS119" s="172"/>
      <c r="PT119" s="172"/>
      <c r="PU119" s="172"/>
      <c r="PV119" s="172"/>
      <c r="PW119" s="172"/>
      <c r="PX119" s="172"/>
      <c r="PY119" s="172"/>
      <c r="PZ119" s="172"/>
      <c r="QA119" s="172"/>
      <c r="QB119" s="172"/>
      <c r="QC119" s="172"/>
      <c r="QD119" s="172"/>
      <c r="QE119" s="172"/>
      <c r="QF119" s="172"/>
      <c r="QG119" s="172"/>
      <c r="QH119" s="172"/>
      <c r="QI119" s="172"/>
      <c r="QJ119" s="172"/>
      <c r="QK119" s="172"/>
      <c r="QL119" s="172"/>
      <c r="QM119" s="172"/>
      <c r="QN119" s="172"/>
      <c r="QO119" s="172"/>
      <c r="QP119" s="172"/>
      <c r="QQ119" s="172"/>
      <c r="QR119" s="172"/>
      <c r="QS119" s="172"/>
      <c r="QT119" s="172"/>
      <c r="QU119" s="172"/>
      <c r="QV119" s="172"/>
      <c r="QW119" s="172"/>
      <c r="QX119" s="172"/>
      <c r="QY119" s="172"/>
      <c r="QZ119" s="172"/>
      <c r="RA119" s="172"/>
      <c r="RB119" s="172"/>
      <c r="RC119" s="172"/>
      <c r="RD119" s="172"/>
      <c r="RE119" s="172"/>
      <c r="RF119" s="172"/>
      <c r="RG119" s="172"/>
      <c r="RH119" s="172"/>
      <c r="RI119" s="172"/>
      <c r="RJ119" s="172"/>
      <c r="RK119" s="172"/>
      <c r="RL119" s="172"/>
      <c r="RM119" s="172"/>
      <c r="RN119" s="172"/>
      <c r="RO119" s="172"/>
      <c r="RP119" s="172"/>
      <c r="RQ119" s="172"/>
      <c r="RR119" s="172"/>
      <c r="RS119" s="172"/>
      <c r="RT119" s="172"/>
      <c r="RU119" s="172"/>
      <c r="RV119" s="172"/>
      <c r="RW119" s="172"/>
      <c r="RX119" s="172"/>
      <c r="RY119" s="172"/>
      <c r="RZ119" s="172"/>
      <c r="SA119" s="172"/>
      <c r="SB119" s="172"/>
      <c r="SC119" s="172"/>
      <c r="SD119" s="172"/>
      <c r="SE119" s="172"/>
      <c r="SF119" s="172"/>
      <c r="SG119" s="172"/>
      <c r="SH119" s="172"/>
      <c r="SI119" s="172"/>
      <c r="SJ119" s="172"/>
      <c r="SK119" s="172"/>
      <c r="SL119" s="172"/>
      <c r="SM119" s="172"/>
      <c r="SN119" s="172"/>
      <c r="SO119" s="172"/>
      <c r="SP119" s="172"/>
      <c r="SQ119" s="172"/>
      <c r="SR119" s="172"/>
      <c r="SS119" s="172"/>
      <c r="ST119" s="172"/>
      <c r="SU119" s="172"/>
      <c r="SV119" s="172"/>
      <c r="SW119" s="172"/>
      <c r="SX119" s="172"/>
      <c r="SY119" s="172"/>
      <c r="SZ119" s="172"/>
      <c r="TA119" s="172"/>
      <c r="TB119" s="172"/>
      <c r="TC119" s="172"/>
      <c r="TD119" s="172"/>
      <c r="TE119" s="172"/>
      <c r="TF119" s="172"/>
      <c r="TG119" s="172"/>
      <c r="TH119" s="172"/>
      <c r="TI119" s="172"/>
      <c r="TJ119" s="172"/>
      <c r="TK119" s="172"/>
      <c r="TL119" s="172"/>
      <c r="TM119" s="172"/>
      <c r="TN119" s="172"/>
      <c r="TO119" s="172"/>
      <c r="TP119" s="172"/>
      <c r="TQ119" s="172"/>
      <c r="TR119" s="172"/>
      <c r="TS119" s="172"/>
      <c r="TT119" s="172"/>
      <c r="TU119" s="172"/>
      <c r="TV119" s="172"/>
      <c r="TW119" s="172"/>
      <c r="TX119" s="172"/>
      <c r="TY119" s="172"/>
      <c r="TZ119" s="172"/>
      <c r="UA119" s="172"/>
      <c r="UB119" s="172"/>
      <c r="UC119" s="172"/>
      <c r="UD119" s="172"/>
      <c r="UE119" s="172"/>
      <c r="UF119" s="172"/>
      <c r="UG119" s="172"/>
      <c r="UH119" s="172"/>
      <c r="UI119" s="172"/>
      <c r="UJ119" s="172"/>
      <c r="UK119" s="172"/>
      <c r="UL119" s="172"/>
      <c r="UM119" s="172"/>
      <c r="UN119" s="172"/>
      <c r="UO119" s="172"/>
      <c r="UP119" s="172"/>
      <c r="UQ119" s="172"/>
      <c r="UR119" s="172"/>
      <c r="US119" s="172"/>
      <c r="UT119" s="172"/>
      <c r="UU119" s="172"/>
      <c r="UV119" s="172"/>
      <c r="UW119" s="172"/>
      <c r="UX119" s="172"/>
      <c r="UY119" s="172"/>
      <c r="UZ119" s="172"/>
      <c r="VA119" s="172"/>
      <c r="VB119" s="172"/>
      <c r="VC119" s="172"/>
      <c r="VD119" s="172"/>
      <c r="VE119" s="172"/>
      <c r="VF119" s="172"/>
      <c r="VG119" s="172"/>
      <c r="VH119" s="172"/>
      <c r="VI119" s="172"/>
      <c r="VJ119" s="172"/>
      <c r="VK119" s="172"/>
      <c r="VL119" s="172"/>
      <c r="VM119" s="172"/>
      <c r="VN119" s="172"/>
      <c r="VO119" s="172"/>
      <c r="VP119" s="172"/>
      <c r="VQ119" s="172"/>
      <c r="VR119" s="172"/>
      <c r="VS119" s="172"/>
      <c r="VT119" s="172"/>
      <c r="VU119" s="172"/>
      <c r="VV119" s="172"/>
      <c r="VW119" s="172"/>
      <c r="VX119" s="172"/>
      <c r="VY119" s="172"/>
      <c r="VZ119" s="172"/>
      <c r="WA119" s="172"/>
      <c r="WB119" s="172"/>
      <c r="WC119" s="172"/>
      <c r="WD119" s="172"/>
      <c r="WE119" s="172"/>
      <c r="WF119" s="172"/>
      <c r="WG119" s="172"/>
      <c r="WH119" s="172"/>
      <c r="WI119" s="172"/>
      <c r="WJ119" s="172"/>
      <c r="WK119" s="172"/>
      <c r="WL119" s="172"/>
      <c r="WM119" s="172"/>
      <c r="WN119" s="172"/>
      <c r="WO119" s="172"/>
      <c r="WP119" s="172"/>
      <c r="WQ119" s="172"/>
      <c r="WR119" s="172"/>
      <c r="WS119" s="172"/>
      <c r="WT119" s="172"/>
      <c r="WU119" s="172"/>
      <c r="WV119" s="172"/>
      <c r="WW119" s="172"/>
      <c r="WX119" s="172"/>
      <c r="WY119" s="172"/>
      <c r="WZ119" s="172"/>
      <c r="XA119" s="172"/>
      <c r="XB119" s="172"/>
      <c r="XC119" s="172"/>
      <c r="XD119" s="172"/>
      <c r="XE119" s="172"/>
      <c r="XF119" s="172"/>
      <c r="XG119" s="172"/>
      <c r="XH119" s="172"/>
      <c r="XI119" s="172"/>
      <c r="XJ119" s="172"/>
      <c r="XK119" s="172"/>
      <c r="XL119" s="172"/>
      <c r="XM119" s="172"/>
      <c r="XN119" s="172"/>
      <c r="XO119" s="172"/>
      <c r="XP119" s="172"/>
      <c r="XQ119" s="172"/>
      <c r="XR119" s="172"/>
      <c r="XS119" s="172"/>
      <c r="XT119" s="172"/>
      <c r="XU119" s="172"/>
      <c r="XV119" s="172"/>
      <c r="XW119" s="172"/>
      <c r="XX119" s="172"/>
      <c r="XY119" s="172"/>
      <c r="XZ119" s="172"/>
      <c r="YA119" s="172"/>
      <c r="YB119" s="172"/>
      <c r="YC119" s="172"/>
      <c r="YD119" s="172"/>
      <c r="YE119" s="172"/>
      <c r="YF119" s="172"/>
      <c r="YG119" s="172"/>
      <c r="YH119" s="172"/>
      <c r="YI119" s="172"/>
      <c r="YJ119" s="172"/>
      <c r="YK119" s="172"/>
      <c r="YL119" s="172"/>
      <c r="YM119" s="172"/>
      <c r="YN119" s="172"/>
      <c r="YO119" s="172"/>
      <c r="YP119" s="172"/>
      <c r="YQ119" s="172"/>
      <c r="YR119" s="172"/>
      <c r="YS119" s="172"/>
      <c r="YT119" s="172"/>
      <c r="YU119" s="172"/>
      <c r="YV119" s="172"/>
      <c r="YW119" s="172"/>
      <c r="YX119" s="172"/>
      <c r="YY119" s="172"/>
      <c r="YZ119" s="172"/>
      <c r="ZA119" s="172"/>
      <c r="ZB119" s="172"/>
      <c r="ZC119" s="172"/>
      <c r="ZD119" s="172"/>
      <c r="ZE119" s="172"/>
      <c r="ZF119" s="172"/>
      <c r="ZG119" s="172"/>
      <c r="ZH119" s="172"/>
      <c r="ZI119" s="172"/>
      <c r="ZJ119" s="172"/>
      <c r="ZK119" s="172"/>
      <c r="ZL119" s="172"/>
      <c r="ZM119" s="172"/>
      <c r="ZN119" s="172"/>
      <c r="ZO119" s="172"/>
      <c r="ZP119" s="172"/>
      <c r="ZQ119" s="172"/>
      <c r="ZR119" s="172"/>
      <c r="ZS119" s="172"/>
      <c r="ZT119" s="172"/>
      <c r="ZU119" s="172"/>
      <c r="ZV119" s="172"/>
      <c r="ZW119" s="172"/>
      <c r="ZX119" s="172"/>
      <c r="ZY119" s="172"/>
      <c r="ZZ119" s="172"/>
      <c r="AAA119" s="172"/>
      <c r="AAB119" s="172"/>
      <c r="AAC119" s="172"/>
      <c r="AAD119" s="172"/>
      <c r="AAE119" s="172"/>
      <c r="AAF119" s="172"/>
      <c r="AAG119" s="172"/>
      <c r="AAH119" s="172"/>
      <c r="AAI119" s="172"/>
      <c r="AAJ119" s="172"/>
      <c r="AAK119" s="172"/>
      <c r="AAL119" s="172"/>
      <c r="AAM119" s="172"/>
      <c r="AAN119" s="172"/>
      <c r="AAO119" s="172"/>
      <c r="AAP119" s="172"/>
      <c r="AAQ119" s="172"/>
      <c r="AAR119" s="172"/>
      <c r="AAS119" s="172"/>
      <c r="AAT119" s="172"/>
      <c r="AAU119" s="172"/>
      <c r="AAV119" s="172"/>
      <c r="AAW119" s="172"/>
      <c r="AAX119" s="172"/>
      <c r="AAY119" s="172"/>
      <c r="AAZ119" s="172"/>
      <c r="ABA119" s="172"/>
      <c r="ABB119" s="172"/>
      <c r="ABC119" s="172"/>
      <c r="ABD119" s="172"/>
      <c r="ABE119" s="172"/>
      <c r="ABF119" s="172"/>
      <c r="ABG119" s="172"/>
      <c r="ABH119" s="172"/>
      <c r="ABI119" s="172"/>
      <c r="ABJ119" s="172"/>
      <c r="ABK119" s="172"/>
      <c r="ABL119" s="172"/>
      <c r="ABM119" s="172"/>
      <c r="ABN119" s="172"/>
      <c r="ABO119" s="172"/>
      <c r="ABP119" s="172"/>
      <c r="ABQ119" s="172"/>
      <c r="ABR119" s="172"/>
      <c r="ABS119" s="172"/>
      <c r="ABT119" s="172"/>
      <c r="ABU119" s="172"/>
      <c r="ABV119" s="172"/>
      <c r="ABW119" s="172"/>
      <c r="ABX119" s="172"/>
      <c r="ABY119" s="172"/>
      <c r="ABZ119" s="172"/>
      <c r="ACA119" s="172"/>
      <c r="ACB119" s="172"/>
      <c r="ACC119" s="172"/>
      <c r="ACD119" s="172"/>
      <c r="ACE119" s="172"/>
      <c r="ACF119" s="172"/>
      <c r="ACG119" s="172"/>
      <c r="ACH119" s="172"/>
      <c r="ACI119" s="172"/>
      <c r="ACJ119" s="172"/>
      <c r="ACK119" s="172"/>
      <c r="ACL119" s="172"/>
      <c r="ACM119" s="172"/>
      <c r="ACN119" s="172"/>
      <c r="ACO119" s="172"/>
      <c r="ACP119" s="172"/>
      <c r="ACQ119" s="172"/>
      <c r="ACR119" s="172"/>
      <c r="ACS119" s="172"/>
      <c r="ACT119" s="172"/>
      <c r="ACU119" s="172"/>
      <c r="ACV119" s="172"/>
      <c r="ACW119" s="172"/>
      <c r="ACX119" s="172"/>
      <c r="ACY119" s="172"/>
      <c r="ACZ119" s="172"/>
      <c r="ADA119" s="172"/>
      <c r="ADB119" s="172"/>
      <c r="ADC119" s="172"/>
      <c r="ADD119" s="172"/>
      <c r="ADE119" s="172"/>
      <c r="ADF119" s="172"/>
      <c r="ADG119" s="172"/>
      <c r="ADH119" s="172"/>
      <c r="ADI119" s="172"/>
      <c r="ADJ119" s="172"/>
      <c r="ADK119" s="172"/>
      <c r="ADL119" s="172"/>
      <c r="ADM119" s="172"/>
      <c r="ADN119" s="172"/>
      <c r="ADO119" s="172"/>
      <c r="ADP119" s="172"/>
      <c r="ADQ119" s="172"/>
      <c r="ADR119" s="172"/>
      <c r="ADS119" s="172"/>
      <c r="ADT119" s="172"/>
      <c r="ADU119" s="172"/>
      <c r="ADV119" s="172"/>
      <c r="ADW119" s="172"/>
      <c r="ADX119" s="172"/>
      <c r="ADY119" s="172"/>
      <c r="ADZ119" s="172"/>
      <c r="AEA119" s="172"/>
      <c r="AEB119" s="172"/>
      <c r="AEC119" s="172"/>
      <c r="AED119" s="172"/>
      <c r="AEE119" s="172"/>
      <c r="AEF119" s="172"/>
      <c r="AEG119" s="172"/>
      <c r="AEH119" s="172"/>
      <c r="AEI119" s="172"/>
      <c r="AEJ119" s="172"/>
      <c r="AEK119" s="172"/>
      <c r="AEL119" s="172"/>
      <c r="AEM119" s="172"/>
      <c r="AEN119" s="172"/>
      <c r="AEO119" s="172"/>
      <c r="AEP119" s="172"/>
      <c r="AEQ119" s="172"/>
      <c r="AER119" s="172"/>
      <c r="AES119" s="172"/>
      <c r="AET119" s="172"/>
      <c r="AEU119" s="172"/>
      <c r="AEV119" s="172"/>
      <c r="AEW119" s="172"/>
      <c r="AEX119" s="172"/>
      <c r="AEY119" s="172"/>
      <c r="AEZ119" s="172"/>
      <c r="AFA119" s="172"/>
      <c r="AFB119" s="172"/>
      <c r="AFC119" s="172"/>
      <c r="AFD119" s="172"/>
      <c r="AFE119" s="172"/>
      <c r="AFF119" s="172"/>
      <c r="AFG119" s="172"/>
      <c r="AFH119" s="172"/>
      <c r="AFI119" s="172"/>
      <c r="AFJ119" s="172"/>
      <c r="AFK119" s="172"/>
      <c r="AFL119" s="172"/>
      <c r="AFM119" s="172"/>
      <c r="AFN119" s="172"/>
      <c r="AFO119" s="172"/>
      <c r="AFP119" s="172"/>
      <c r="AFQ119" s="172"/>
      <c r="AFR119" s="172"/>
      <c r="AFS119" s="172"/>
      <c r="AFT119" s="172"/>
      <c r="AFU119" s="172"/>
      <c r="AFV119" s="172"/>
      <c r="AFW119" s="172"/>
      <c r="AFX119" s="172"/>
      <c r="AFY119" s="172"/>
      <c r="AFZ119" s="172"/>
      <c r="AGA119" s="172"/>
      <c r="AGB119" s="172"/>
      <c r="AGC119" s="172"/>
      <c r="AGD119" s="172"/>
      <c r="AGE119" s="172"/>
      <c r="AGF119" s="172"/>
      <c r="AGG119" s="172"/>
      <c r="AGH119" s="172"/>
      <c r="AGI119" s="172"/>
      <c r="AGJ119" s="172"/>
      <c r="AGK119" s="172"/>
      <c r="AGL119" s="172"/>
      <c r="AGM119" s="172"/>
      <c r="AGN119" s="172"/>
      <c r="AGO119" s="172"/>
      <c r="AGP119" s="172"/>
      <c r="AGQ119" s="172"/>
      <c r="AGR119" s="172"/>
      <c r="AGS119" s="172"/>
      <c r="AGT119" s="172"/>
      <c r="AGU119" s="172"/>
      <c r="AGV119" s="172"/>
      <c r="AGW119" s="172"/>
      <c r="AGX119" s="172"/>
      <c r="AGY119" s="172"/>
      <c r="AGZ119" s="172"/>
      <c r="AHA119" s="172"/>
      <c r="AHB119" s="172"/>
      <c r="AHC119" s="172"/>
      <c r="AHD119" s="172"/>
      <c r="AHE119" s="172"/>
      <c r="AHF119" s="172"/>
      <c r="AHG119" s="172"/>
      <c r="AHH119" s="172"/>
      <c r="AHI119" s="172"/>
      <c r="AHJ119" s="172"/>
      <c r="AHK119" s="172"/>
      <c r="AHL119" s="172"/>
      <c r="AHM119" s="172"/>
      <c r="AHN119" s="172"/>
      <c r="AHO119" s="172"/>
      <c r="AHP119" s="172"/>
      <c r="AHQ119" s="172"/>
      <c r="AHR119" s="172"/>
      <c r="AHS119" s="172"/>
      <c r="AHT119" s="172"/>
      <c r="AHU119" s="172"/>
      <c r="AHV119" s="172"/>
      <c r="AHW119" s="172"/>
      <c r="AHX119" s="172"/>
      <c r="AHY119" s="172"/>
      <c r="AHZ119" s="172"/>
      <c r="AIA119" s="172"/>
      <c r="AIB119" s="172"/>
      <c r="AIC119" s="172"/>
      <c r="AID119" s="172"/>
      <c r="AIE119" s="172"/>
      <c r="AIF119" s="172"/>
      <c r="AIG119" s="172"/>
      <c r="AIH119" s="172"/>
      <c r="AII119" s="172"/>
      <c r="AIJ119" s="172"/>
      <c r="AIK119" s="172"/>
      <c r="AIL119" s="172"/>
      <c r="AIM119" s="172"/>
      <c r="AIN119" s="172"/>
      <c r="AIO119" s="172"/>
      <c r="AIP119" s="172"/>
      <c r="AIQ119" s="172"/>
      <c r="AIR119" s="172"/>
      <c r="AIS119" s="172"/>
      <c r="AIT119" s="172"/>
      <c r="AIU119" s="172"/>
      <c r="AIV119" s="172"/>
      <c r="AIW119" s="172"/>
      <c r="AIX119" s="172"/>
      <c r="AIY119" s="172"/>
      <c r="AIZ119" s="172"/>
      <c r="AJA119" s="172"/>
      <c r="AJB119" s="172"/>
      <c r="AJC119" s="172"/>
      <c r="AJD119" s="172"/>
      <c r="AJE119" s="172"/>
      <c r="AJF119" s="172"/>
      <c r="AJG119" s="172"/>
      <c r="AJH119" s="172"/>
      <c r="AJI119" s="172"/>
      <c r="AJJ119" s="172"/>
      <c r="AJK119" s="172"/>
      <c r="AJL119" s="172"/>
      <c r="AJM119" s="172"/>
      <c r="AJN119" s="172"/>
      <c r="AJO119" s="172"/>
      <c r="AJP119" s="172"/>
      <c r="AJQ119" s="172"/>
      <c r="AJR119" s="172"/>
      <c r="AJS119" s="172"/>
      <c r="AJT119" s="172"/>
      <c r="AJU119" s="172"/>
      <c r="AJV119" s="172"/>
      <c r="AJW119" s="172"/>
      <c r="AJX119" s="172"/>
      <c r="AJY119" s="172"/>
      <c r="AJZ119" s="172"/>
      <c r="AKA119" s="172"/>
      <c r="AKB119" s="172"/>
      <c r="AKC119" s="172"/>
      <c r="AKD119" s="172"/>
      <c r="AKE119" s="172"/>
      <c r="AKF119" s="172"/>
      <c r="AKG119" s="172"/>
      <c r="AKH119" s="172"/>
      <c r="AKI119" s="172"/>
      <c r="AKJ119" s="172"/>
      <c r="AKK119" s="172"/>
      <c r="AKL119" s="172"/>
      <c r="AKM119" s="172"/>
      <c r="AKN119" s="172"/>
      <c r="AKO119" s="172"/>
      <c r="AKP119" s="172"/>
      <c r="AKQ119" s="172"/>
      <c r="AKR119" s="172"/>
      <c r="AKS119" s="172"/>
      <c r="AKT119" s="172"/>
      <c r="AKU119" s="172"/>
      <c r="AKV119" s="172"/>
      <c r="AKW119" s="172"/>
      <c r="AKX119" s="172"/>
      <c r="AKY119" s="172"/>
      <c r="AKZ119" s="172"/>
      <c r="ALA119" s="172"/>
      <c r="ALB119" s="172"/>
      <c r="ALC119" s="172"/>
      <c r="ALD119" s="172"/>
      <c r="ALE119" s="172"/>
      <c r="ALF119" s="172"/>
      <c r="ALG119" s="172"/>
      <c r="ALH119" s="172"/>
      <c r="ALI119" s="172"/>
      <c r="ALJ119" s="172"/>
      <c r="ALK119" s="172"/>
      <c r="ALL119" s="172"/>
      <c r="ALM119" s="172"/>
      <c r="ALN119" s="172"/>
      <c r="ALO119" s="172"/>
      <c r="ALP119" s="172"/>
      <c r="ALQ119" s="172"/>
      <c r="ALR119" s="172"/>
      <c r="ALS119" s="172"/>
      <c r="ALT119" s="172"/>
      <c r="ALU119" s="172"/>
      <c r="ALV119" s="172"/>
      <c r="ALW119" s="172"/>
      <c r="ALX119" s="172"/>
      <c r="ALY119" s="172"/>
      <c r="ALZ119" s="172"/>
      <c r="AMA119" s="172"/>
      <c r="AMB119" s="172"/>
      <c r="AMC119" s="172"/>
      <c r="AMD119" s="172"/>
      <c r="AME119" s="172"/>
      <c r="AMF119" s="172"/>
      <c r="AMG119" s="172"/>
      <c r="AMH119" s="172"/>
      <c r="AMI119" s="172"/>
      <c r="AMJ119" s="172"/>
    </row>
    <row r="120" s="7" customFormat="true" ht="15.75" hidden="false" customHeight="true" outlineLevel="0" collapsed="false">
      <c r="A120" s="172"/>
      <c r="B120" s="77"/>
      <c r="C120" s="175"/>
      <c r="D120" s="176"/>
      <c r="E120" s="176"/>
      <c r="F120" s="176"/>
      <c r="G120" s="10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  <c r="GH120" s="172"/>
      <c r="GI120" s="172"/>
      <c r="GJ120" s="172"/>
      <c r="GK120" s="172"/>
      <c r="GL120" s="172"/>
      <c r="GM120" s="172"/>
      <c r="GN120" s="172"/>
      <c r="GO120" s="172"/>
      <c r="GP120" s="172"/>
      <c r="GQ120" s="172"/>
      <c r="GR120" s="172"/>
      <c r="GS120" s="172"/>
      <c r="GT120" s="172"/>
      <c r="GU120" s="172"/>
      <c r="GV120" s="172"/>
      <c r="GW120" s="172"/>
      <c r="GX120" s="172"/>
      <c r="GY120" s="172"/>
      <c r="GZ120" s="172"/>
      <c r="HA120" s="172"/>
      <c r="HB120" s="172"/>
      <c r="HC120" s="172"/>
      <c r="HD120" s="172"/>
      <c r="HE120" s="172"/>
      <c r="HF120" s="172"/>
      <c r="HG120" s="172"/>
      <c r="HH120" s="172"/>
      <c r="HI120" s="172"/>
      <c r="HJ120" s="172"/>
      <c r="HK120" s="172"/>
      <c r="HL120" s="172"/>
      <c r="HM120" s="172"/>
      <c r="HN120" s="172"/>
      <c r="HO120" s="172"/>
      <c r="HP120" s="172"/>
      <c r="HQ120" s="172"/>
      <c r="HR120" s="172"/>
      <c r="HS120" s="172"/>
      <c r="HT120" s="172"/>
      <c r="HU120" s="172"/>
      <c r="HV120" s="172"/>
      <c r="HW120" s="172"/>
      <c r="HX120" s="172"/>
      <c r="HY120" s="172"/>
      <c r="HZ120" s="172"/>
      <c r="IA120" s="172"/>
      <c r="IB120" s="172"/>
      <c r="IC120" s="172"/>
      <c r="ID120" s="172"/>
      <c r="IE120" s="172"/>
      <c r="IF120" s="172"/>
      <c r="IG120" s="172"/>
      <c r="IH120" s="172"/>
      <c r="II120" s="172"/>
      <c r="IJ120" s="172"/>
      <c r="IK120" s="172"/>
      <c r="IL120" s="172"/>
      <c r="IM120" s="172"/>
      <c r="IN120" s="172"/>
      <c r="IO120" s="172"/>
      <c r="IP120" s="172"/>
      <c r="IQ120" s="172"/>
      <c r="IR120" s="172"/>
      <c r="IS120" s="172"/>
      <c r="IT120" s="172"/>
      <c r="IU120" s="172"/>
      <c r="IV120" s="172"/>
      <c r="IW120" s="172"/>
      <c r="IX120" s="172"/>
      <c r="IY120" s="172"/>
      <c r="IZ120" s="172"/>
      <c r="JA120" s="172"/>
      <c r="JB120" s="172"/>
      <c r="JC120" s="172"/>
      <c r="JD120" s="172"/>
      <c r="JE120" s="172"/>
      <c r="JF120" s="172"/>
      <c r="JG120" s="172"/>
      <c r="JH120" s="172"/>
      <c r="JI120" s="172"/>
      <c r="JJ120" s="172"/>
      <c r="JK120" s="172"/>
      <c r="JL120" s="172"/>
      <c r="JM120" s="172"/>
      <c r="JN120" s="172"/>
      <c r="JO120" s="172"/>
      <c r="JP120" s="172"/>
      <c r="JQ120" s="172"/>
      <c r="JR120" s="172"/>
      <c r="JS120" s="172"/>
      <c r="JT120" s="172"/>
      <c r="JU120" s="172"/>
      <c r="JV120" s="172"/>
      <c r="JW120" s="172"/>
      <c r="JX120" s="172"/>
      <c r="JY120" s="172"/>
      <c r="JZ120" s="172"/>
      <c r="KA120" s="172"/>
      <c r="KB120" s="172"/>
      <c r="KC120" s="172"/>
      <c r="KD120" s="172"/>
      <c r="KE120" s="172"/>
      <c r="KF120" s="172"/>
      <c r="KG120" s="172"/>
      <c r="KH120" s="172"/>
      <c r="KI120" s="172"/>
      <c r="KJ120" s="172"/>
      <c r="KK120" s="172"/>
      <c r="KL120" s="172"/>
      <c r="KM120" s="172"/>
      <c r="KN120" s="172"/>
      <c r="KO120" s="172"/>
      <c r="KP120" s="172"/>
      <c r="KQ120" s="172"/>
      <c r="KR120" s="172"/>
      <c r="KS120" s="172"/>
      <c r="KT120" s="172"/>
      <c r="KU120" s="172"/>
      <c r="KV120" s="172"/>
      <c r="KW120" s="172"/>
      <c r="KX120" s="172"/>
      <c r="KY120" s="172"/>
      <c r="KZ120" s="172"/>
      <c r="LA120" s="172"/>
      <c r="LB120" s="172"/>
      <c r="LC120" s="172"/>
      <c r="LD120" s="172"/>
      <c r="LE120" s="172"/>
      <c r="LF120" s="172"/>
      <c r="LG120" s="172"/>
      <c r="LH120" s="172"/>
      <c r="LI120" s="172"/>
      <c r="LJ120" s="172"/>
      <c r="LK120" s="172"/>
      <c r="LL120" s="172"/>
      <c r="LM120" s="172"/>
      <c r="LN120" s="172"/>
      <c r="LO120" s="172"/>
      <c r="LP120" s="172"/>
      <c r="LQ120" s="172"/>
      <c r="LR120" s="172"/>
      <c r="LS120" s="172"/>
      <c r="LT120" s="172"/>
      <c r="LU120" s="172"/>
      <c r="LV120" s="172"/>
      <c r="LW120" s="172"/>
      <c r="LX120" s="172"/>
      <c r="LY120" s="172"/>
      <c r="LZ120" s="172"/>
      <c r="MA120" s="172"/>
      <c r="MB120" s="172"/>
      <c r="MC120" s="172"/>
      <c r="MD120" s="172"/>
      <c r="ME120" s="172"/>
      <c r="MF120" s="172"/>
      <c r="MG120" s="172"/>
      <c r="MH120" s="172"/>
      <c r="MI120" s="172"/>
      <c r="MJ120" s="172"/>
      <c r="MK120" s="172"/>
      <c r="ML120" s="172"/>
      <c r="MM120" s="172"/>
      <c r="MN120" s="172"/>
      <c r="MO120" s="172"/>
      <c r="MP120" s="172"/>
      <c r="MQ120" s="172"/>
      <c r="MR120" s="172"/>
      <c r="MS120" s="172"/>
      <c r="MT120" s="172"/>
      <c r="MU120" s="172"/>
      <c r="MV120" s="172"/>
      <c r="MW120" s="172"/>
      <c r="MX120" s="172"/>
      <c r="MY120" s="172"/>
      <c r="MZ120" s="172"/>
      <c r="NA120" s="172"/>
      <c r="NB120" s="172"/>
      <c r="NC120" s="172"/>
      <c r="ND120" s="172"/>
      <c r="NE120" s="172"/>
      <c r="NF120" s="172"/>
      <c r="NG120" s="172"/>
      <c r="NH120" s="172"/>
      <c r="NI120" s="172"/>
      <c r="NJ120" s="172"/>
      <c r="NK120" s="172"/>
      <c r="NL120" s="172"/>
      <c r="NM120" s="172"/>
      <c r="NN120" s="172"/>
      <c r="NO120" s="172"/>
      <c r="NP120" s="172"/>
      <c r="NQ120" s="172"/>
      <c r="NR120" s="172"/>
      <c r="NS120" s="172"/>
      <c r="NT120" s="172"/>
      <c r="NU120" s="172"/>
      <c r="NV120" s="172"/>
      <c r="NW120" s="172"/>
      <c r="NX120" s="172"/>
      <c r="NY120" s="172"/>
      <c r="NZ120" s="172"/>
      <c r="OA120" s="172"/>
      <c r="OB120" s="172"/>
      <c r="OC120" s="172"/>
      <c r="OD120" s="172"/>
      <c r="OE120" s="172"/>
      <c r="OF120" s="172"/>
      <c r="OG120" s="172"/>
      <c r="OH120" s="172"/>
      <c r="OI120" s="172"/>
      <c r="OJ120" s="172"/>
      <c r="OK120" s="172"/>
      <c r="OL120" s="172"/>
      <c r="OM120" s="172"/>
      <c r="ON120" s="172"/>
      <c r="OO120" s="172"/>
      <c r="OP120" s="172"/>
      <c r="OQ120" s="172"/>
      <c r="OR120" s="172"/>
      <c r="OS120" s="172"/>
      <c r="OT120" s="172"/>
      <c r="OU120" s="172"/>
      <c r="OV120" s="172"/>
      <c r="OW120" s="172"/>
      <c r="OX120" s="172"/>
      <c r="OY120" s="172"/>
      <c r="OZ120" s="172"/>
      <c r="PA120" s="172"/>
      <c r="PB120" s="172"/>
      <c r="PC120" s="172"/>
      <c r="PD120" s="172"/>
      <c r="PE120" s="172"/>
      <c r="PF120" s="172"/>
      <c r="PG120" s="172"/>
      <c r="PH120" s="172"/>
      <c r="PI120" s="172"/>
      <c r="PJ120" s="172"/>
      <c r="PK120" s="172"/>
      <c r="PL120" s="172"/>
      <c r="PM120" s="172"/>
      <c r="PN120" s="172"/>
      <c r="PO120" s="172"/>
      <c r="PP120" s="172"/>
      <c r="PQ120" s="172"/>
      <c r="PR120" s="172"/>
      <c r="PS120" s="172"/>
      <c r="PT120" s="172"/>
      <c r="PU120" s="172"/>
      <c r="PV120" s="172"/>
      <c r="PW120" s="172"/>
      <c r="PX120" s="172"/>
      <c r="PY120" s="172"/>
      <c r="PZ120" s="172"/>
      <c r="QA120" s="172"/>
      <c r="QB120" s="172"/>
      <c r="QC120" s="172"/>
      <c r="QD120" s="172"/>
      <c r="QE120" s="172"/>
      <c r="QF120" s="172"/>
      <c r="QG120" s="172"/>
      <c r="QH120" s="172"/>
      <c r="QI120" s="172"/>
      <c r="QJ120" s="172"/>
      <c r="QK120" s="172"/>
      <c r="QL120" s="172"/>
      <c r="QM120" s="172"/>
      <c r="QN120" s="172"/>
      <c r="QO120" s="172"/>
      <c r="QP120" s="172"/>
      <c r="QQ120" s="172"/>
      <c r="QR120" s="172"/>
      <c r="QS120" s="172"/>
      <c r="QT120" s="172"/>
      <c r="QU120" s="172"/>
      <c r="QV120" s="172"/>
      <c r="QW120" s="172"/>
      <c r="QX120" s="172"/>
      <c r="QY120" s="172"/>
      <c r="QZ120" s="172"/>
      <c r="RA120" s="172"/>
      <c r="RB120" s="172"/>
      <c r="RC120" s="172"/>
      <c r="RD120" s="172"/>
      <c r="RE120" s="172"/>
      <c r="RF120" s="172"/>
      <c r="RG120" s="172"/>
      <c r="RH120" s="172"/>
      <c r="RI120" s="172"/>
      <c r="RJ120" s="172"/>
      <c r="RK120" s="172"/>
      <c r="RL120" s="172"/>
      <c r="RM120" s="172"/>
      <c r="RN120" s="172"/>
      <c r="RO120" s="172"/>
      <c r="RP120" s="172"/>
      <c r="RQ120" s="172"/>
      <c r="RR120" s="172"/>
      <c r="RS120" s="172"/>
      <c r="RT120" s="172"/>
      <c r="RU120" s="172"/>
      <c r="RV120" s="172"/>
      <c r="RW120" s="172"/>
      <c r="RX120" s="172"/>
      <c r="RY120" s="172"/>
      <c r="RZ120" s="172"/>
      <c r="SA120" s="172"/>
      <c r="SB120" s="172"/>
      <c r="SC120" s="172"/>
      <c r="SD120" s="172"/>
      <c r="SE120" s="172"/>
      <c r="SF120" s="172"/>
      <c r="SG120" s="172"/>
      <c r="SH120" s="172"/>
      <c r="SI120" s="172"/>
      <c r="SJ120" s="172"/>
      <c r="SK120" s="172"/>
      <c r="SL120" s="172"/>
      <c r="SM120" s="172"/>
      <c r="SN120" s="172"/>
      <c r="SO120" s="172"/>
      <c r="SP120" s="172"/>
      <c r="SQ120" s="172"/>
      <c r="SR120" s="172"/>
      <c r="SS120" s="172"/>
      <c r="ST120" s="172"/>
      <c r="SU120" s="172"/>
      <c r="SV120" s="172"/>
      <c r="SW120" s="172"/>
      <c r="SX120" s="172"/>
      <c r="SY120" s="172"/>
      <c r="SZ120" s="172"/>
      <c r="TA120" s="172"/>
      <c r="TB120" s="172"/>
      <c r="TC120" s="172"/>
      <c r="TD120" s="172"/>
      <c r="TE120" s="172"/>
      <c r="TF120" s="172"/>
      <c r="TG120" s="172"/>
      <c r="TH120" s="172"/>
      <c r="TI120" s="172"/>
      <c r="TJ120" s="172"/>
      <c r="TK120" s="172"/>
      <c r="TL120" s="172"/>
      <c r="TM120" s="172"/>
      <c r="TN120" s="172"/>
      <c r="TO120" s="172"/>
      <c r="TP120" s="172"/>
      <c r="TQ120" s="172"/>
      <c r="TR120" s="172"/>
      <c r="TS120" s="172"/>
      <c r="TT120" s="172"/>
      <c r="TU120" s="172"/>
      <c r="TV120" s="172"/>
      <c r="TW120" s="172"/>
      <c r="TX120" s="172"/>
      <c r="TY120" s="172"/>
      <c r="TZ120" s="172"/>
      <c r="UA120" s="172"/>
      <c r="UB120" s="172"/>
      <c r="UC120" s="172"/>
      <c r="UD120" s="172"/>
      <c r="UE120" s="172"/>
      <c r="UF120" s="172"/>
      <c r="UG120" s="172"/>
      <c r="UH120" s="172"/>
      <c r="UI120" s="172"/>
      <c r="UJ120" s="172"/>
      <c r="UK120" s="172"/>
      <c r="UL120" s="172"/>
      <c r="UM120" s="172"/>
      <c r="UN120" s="172"/>
      <c r="UO120" s="172"/>
      <c r="UP120" s="172"/>
      <c r="UQ120" s="172"/>
      <c r="UR120" s="172"/>
      <c r="US120" s="172"/>
      <c r="UT120" s="172"/>
      <c r="UU120" s="172"/>
      <c r="UV120" s="172"/>
      <c r="UW120" s="172"/>
      <c r="UX120" s="172"/>
      <c r="UY120" s="172"/>
      <c r="UZ120" s="172"/>
      <c r="VA120" s="172"/>
      <c r="VB120" s="172"/>
      <c r="VC120" s="172"/>
      <c r="VD120" s="172"/>
      <c r="VE120" s="172"/>
      <c r="VF120" s="172"/>
      <c r="VG120" s="172"/>
      <c r="VH120" s="172"/>
      <c r="VI120" s="172"/>
      <c r="VJ120" s="172"/>
      <c r="VK120" s="172"/>
      <c r="VL120" s="172"/>
      <c r="VM120" s="172"/>
      <c r="VN120" s="172"/>
      <c r="VO120" s="172"/>
      <c r="VP120" s="172"/>
      <c r="VQ120" s="172"/>
      <c r="VR120" s="172"/>
      <c r="VS120" s="172"/>
      <c r="VT120" s="172"/>
      <c r="VU120" s="172"/>
      <c r="VV120" s="172"/>
      <c r="VW120" s="172"/>
      <c r="VX120" s="172"/>
      <c r="VY120" s="172"/>
      <c r="VZ120" s="172"/>
      <c r="WA120" s="172"/>
      <c r="WB120" s="172"/>
      <c r="WC120" s="172"/>
      <c r="WD120" s="172"/>
      <c r="WE120" s="172"/>
      <c r="WF120" s="172"/>
      <c r="WG120" s="172"/>
      <c r="WH120" s="172"/>
      <c r="WI120" s="172"/>
      <c r="WJ120" s="172"/>
      <c r="WK120" s="172"/>
      <c r="WL120" s="172"/>
      <c r="WM120" s="172"/>
      <c r="WN120" s="172"/>
      <c r="WO120" s="172"/>
      <c r="WP120" s="172"/>
      <c r="WQ120" s="172"/>
      <c r="WR120" s="172"/>
      <c r="WS120" s="172"/>
      <c r="WT120" s="172"/>
      <c r="WU120" s="172"/>
      <c r="WV120" s="172"/>
      <c r="WW120" s="172"/>
      <c r="WX120" s="172"/>
      <c r="WY120" s="172"/>
      <c r="WZ120" s="172"/>
      <c r="XA120" s="172"/>
      <c r="XB120" s="172"/>
      <c r="XC120" s="172"/>
      <c r="XD120" s="172"/>
      <c r="XE120" s="172"/>
      <c r="XF120" s="172"/>
      <c r="XG120" s="172"/>
      <c r="XH120" s="172"/>
      <c r="XI120" s="172"/>
      <c r="XJ120" s="172"/>
      <c r="XK120" s="172"/>
      <c r="XL120" s="172"/>
      <c r="XM120" s="172"/>
      <c r="XN120" s="172"/>
      <c r="XO120" s="172"/>
      <c r="XP120" s="172"/>
      <c r="XQ120" s="172"/>
      <c r="XR120" s="172"/>
      <c r="XS120" s="172"/>
      <c r="XT120" s="172"/>
      <c r="XU120" s="172"/>
      <c r="XV120" s="172"/>
      <c r="XW120" s="172"/>
      <c r="XX120" s="172"/>
      <c r="XY120" s="172"/>
      <c r="XZ120" s="172"/>
      <c r="YA120" s="172"/>
      <c r="YB120" s="172"/>
      <c r="YC120" s="172"/>
      <c r="YD120" s="172"/>
      <c r="YE120" s="172"/>
      <c r="YF120" s="172"/>
      <c r="YG120" s="172"/>
      <c r="YH120" s="172"/>
      <c r="YI120" s="172"/>
      <c r="YJ120" s="172"/>
      <c r="YK120" s="172"/>
      <c r="YL120" s="172"/>
      <c r="YM120" s="172"/>
      <c r="YN120" s="172"/>
      <c r="YO120" s="172"/>
      <c r="YP120" s="172"/>
      <c r="YQ120" s="172"/>
      <c r="YR120" s="172"/>
      <c r="YS120" s="172"/>
      <c r="YT120" s="172"/>
      <c r="YU120" s="172"/>
      <c r="YV120" s="172"/>
      <c r="YW120" s="172"/>
      <c r="YX120" s="172"/>
      <c r="YY120" s="172"/>
      <c r="YZ120" s="172"/>
      <c r="ZA120" s="172"/>
      <c r="ZB120" s="172"/>
      <c r="ZC120" s="172"/>
      <c r="ZD120" s="172"/>
      <c r="ZE120" s="172"/>
      <c r="ZF120" s="172"/>
      <c r="ZG120" s="172"/>
      <c r="ZH120" s="172"/>
      <c r="ZI120" s="172"/>
      <c r="ZJ120" s="172"/>
      <c r="ZK120" s="172"/>
      <c r="ZL120" s="172"/>
      <c r="ZM120" s="172"/>
      <c r="ZN120" s="172"/>
      <c r="ZO120" s="172"/>
      <c r="ZP120" s="172"/>
      <c r="ZQ120" s="172"/>
      <c r="ZR120" s="172"/>
      <c r="ZS120" s="172"/>
      <c r="ZT120" s="172"/>
      <c r="ZU120" s="172"/>
      <c r="ZV120" s="172"/>
      <c r="ZW120" s="172"/>
      <c r="ZX120" s="172"/>
      <c r="ZY120" s="172"/>
      <c r="ZZ120" s="172"/>
      <c r="AAA120" s="172"/>
      <c r="AAB120" s="172"/>
      <c r="AAC120" s="172"/>
      <c r="AAD120" s="172"/>
      <c r="AAE120" s="172"/>
      <c r="AAF120" s="172"/>
      <c r="AAG120" s="172"/>
      <c r="AAH120" s="172"/>
      <c r="AAI120" s="172"/>
      <c r="AAJ120" s="172"/>
      <c r="AAK120" s="172"/>
      <c r="AAL120" s="172"/>
      <c r="AAM120" s="172"/>
      <c r="AAN120" s="172"/>
      <c r="AAO120" s="172"/>
      <c r="AAP120" s="172"/>
      <c r="AAQ120" s="172"/>
      <c r="AAR120" s="172"/>
      <c r="AAS120" s="172"/>
      <c r="AAT120" s="172"/>
      <c r="AAU120" s="172"/>
      <c r="AAV120" s="172"/>
      <c r="AAW120" s="172"/>
      <c r="AAX120" s="172"/>
      <c r="AAY120" s="172"/>
      <c r="AAZ120" s="172"/>
      <c r="ABA120" s="172"/>
      <c r="ABB120" s="172"/>
      <c r="ABC120" s="172"/>
      <c r="ABD120" s="172"/>
      <c r="ABE120" s="172"/>
      <c r="ABF120" s="172"/>
      <c r="ABG120" s="172"/>
      <c r="ABH120" s="172"/>
      <c r="ABI120" s="172"/>
      <c r="ABJ120" s="172"/>
      <c r="ABK120" s="172"/>
      <c r="ABL120" s="172"/>
      <c r="ABM120" s="172"/>
      <c r="ABN120" s="172"/>
      <c r="ABO120" s="172"/>
      <c r="ABP120" s="172"/>
      <c r="ABQ120" s="172"/>
      <c r="ABR120" s="172"/>
      <c r="ABS120" s="172"/>
      <c r="ABT120" s="172"/>
      <c r="ABU120" s="172"/>
      <c r="ABV120" s="172"/>
      <c r="ABW120" s="172"/>
      <c r="ABX120" s="172"/>
      <c r="ABY120" s="172"/>
      <c r="ABZ120" s="172"/>
      <c r="ACA120" s="172"/>
      <c r="ACB120" s="172"/>
      <c r="ACC120" s="172"/>
      <c r="ACD120" s="172"/>
      <c r="ACE120" s="172"/>
      <c r="ACF120" s="172"/>
      <c r="ACG120" s="172"/>
      <c r="ACH120" s="172"/>
      <c r="ACI120" s="172"/>
      <c r="ACJ120" s="172"/>
      <c r="ACK120" s="172"/>
      <c r="ACL120" s="172"/>
      <c r="ACM120" s="172"/>
      <c r="ACN120" s="172"/>
      <c r="ACO120" s="172"/>
      <c r="ACP120" s="172"/>
      <c r="ACQ120" s="172"/>
      <c r="ACR120" s="172"/>
      <c r="ACS120" s="172"/>
      <c r="ACT120" s="172"/>
      <c r="ACU120" s="172"/>
      <c r="ACV120" s="172"/>
      <c r="ACW120" s="172"/>
      <c r="ACX120" s="172"/>
      <c r="ACY120" s="172"/>
      <c r="ACZ120" s="172"/>
      <c r="ADA120" s="172"/>
      <c r="ADB120" s="172"/>
      <c r="ADC120" s="172"/>
      <c r="ADD120" s="172"/>
      <c r="ADE120" s="172"/>
      <c r="ADF120" s="172"/>
      <c r="ADG120" s="172"/>
      <c r="ADH120" s="172"/>
      <c r="ADI120" s="172"/>
      <c r="ADJ120" s="172"/>
      <c r="ADK120" s="172"/>
      <c r="ADL120" s="172"/>
      <c r="ADM120" s="172"/>
      <c r="ADN120" s="172"/>
      <c r="ADO120" s="172"/>
      <c r="ADP120" s="172"/>
      <c r="ADQ120" s="172"/>
      <c r="ADR120" s="172"/>
      <c r="ADS120" s="172"/>
      <c r="ADT120" s="172"/>
      <c r="ADU120" s="172"/>
      <c r="ADV120" s="172"/>
      <c r="ADW120" s="172"/>
      <c r="ADX120" s="172"/>
      <c r="ADY120" s="172"/>
      <c r="ADZ120" s="172"/>
      <c r="AEA120" s="172"/>
      <c r="AEB120" s="172"/>
      <c r="AEC120" s="172"/>
      <c r="AED120" s="172"/>
      <c r="AEE120" s="172"/>
      <c r="AEF120" s="172"/>
      <c r="AEG120" s="172"/>
      <c r="AEH120" s="172"/>
      <c r="AEI120" s="172"/>
      <c r="AEJ120" s="172"/>
      <c r="AEK120" s="172"/>
      <c r="AEL120" s="172"/>
      <c r="AEM120" s="172"/>
      <c r="AEN120" s="172"/>
      <c r="AEO120" s="172"/>
      <c r="AEP120" s="172"/>
      <c r="AEQ120" s="172"/>
      <c r="AER120" s="172"/>
      <c r="AES120" s="172"/>
      <c r="AET120" s="172"/>
      <c r="AEU120" s="172"/>
      <c r="AEV120" s="172"/>
      <c r="AEW120" s="172"/>
      <c r="AEX120" s="172"/>
      <c r="AEY120" s="172"/>
      <c r="AEZ120" s="172"/>
      <c r="AFA120" s="172"/>
      <c r="AFB120" s="172"/>
      <c r="AFC120" s="172"/>
      <c r="AFD120" s="172"/>
      <c r="AFE120" s="172"/>
      <c r="AFF120" s="172"/>
      <c r="AFG120" s="172"/>
      <c r="AFH120" s="172"/>
      <c r="AFI120" s="172"/>
      <c r="AFJ120" s="172"/>
      <c r="AFK120" s="172"/>
      <c r="AFL120" s="172"/>
      <c r="AFM120" s="172"/>
      <c r="AFN120" s="172"/>
      <c r="AFO120" s="172"/>
      <c r="AFP120" s="172"/>
      <c r="AFQ120" s="172"/>
      <c r="AFR120" s="172"/>
      <c r="AFS120" s="172"/>
      <c r="AFT120" s="172"/>
      <c r="AFU120" s="172"/>
      <c r="AFV120" s="172"/>
      <c r="AFW120" s="172"/>
      <c r="AFX120" s="172"/>
      <c r="AFY120" s="172"/>
      <c r="AFZ120" s="172"/>
      <c r="AGA120" s="172"/>
      <c r="AGB120" s="172"/>
      <c r="AGC120" s="172"/>
      <c r="AGD120" s="172"/>
      <c r="AGE120" s="172"/>
      <c r="AGF120" s="172"/>
      <c r="AGG120" s="172"/>
      <c r="AGH120" s="172"/>
      <c r="AGI120" s="172"/>
      <c r="AGJ120" s="172"/>
      <c r="AGK120" s="172"/>
      <c r="AGL120" s="172"/>
      <c r="AGM120" s="172"/>
      <c r="AGN120" s="172"/>
      <c r="AGO120" s="172"/>
      <c r="AGP120" s="172"/>
      <c r="AGQ120" s="172"/>
      <c r="AGR120" s="172"/>
      <c r="AGS120" s="172"/>
      <c r="AGT120" s="172"/>
      <c r="AGU120" s="172"/>
      <c r="AGV120" s="172"/>
      <c r="AGW120" s="172"/>
      <c r="AGX120" s="172"/>
      <c r="AGY120" s="172"/>
      <c r="AGZ120" s="172"/>
      <c r="AHA120" s="172"/>
      <c r="AHB120" s="172"/>
      <c r="AHC120" s="172"/>
      <c r="AHD120" s="172"/>
      <c r="AHE120" s="172"/>
      <c r="AHF120" s="172"/>
      <c r="AHG120" s="172"/>
      <c r="AHH120" s="172"/>
      <c r="AHI120" s="172"/>
      <c r="AHJ120" s="172"/>
      <c r="AHK120" s="172"/>
      <c r="AHL120" s="172"/>
      <c r="AHM120" s="172"/>
      <c r="AHN120" s="172"/>
      <c r="AHO120" s="172"/>
      <c r="AHP120" s="172"/>
      <c r="AHQ120" s="172"/>
      <c r="AHR120" s="172"/>
      <c r="AHS120" s="172"/>
      <c r="AHT120" s="172"/>
      <c r="AHU120" s="172"/>
      <c r="AHV120" s="172"/>
      <c r="AHW120" s="172"/>
      <c r="AHX120" s="172"/>
      <c r="AHY120" s="172"/>
      <c r="AHZ120" s="172"/>
      <c r="AIA120" s="172"/>
      <c r="AIB120" s="172"/>
      <c r="AIC120" s="172"/>
      <c r="AID120" s="172"/>
      <c r="AIE120" s="172"/>
      <c r="AIF120" s="172"/>
      <c r="AIG120" s="172"/>
      <c r="AIH120" s="172"/>
      <c r="AII120" s="172"/>
      <c r="AIJ120" s="172"/>
      <c r="AIK120" s="172"/>
      <c r="AIL120" s="172"/>
      <c r="AIM120" s="172"/>
      <c r="AIN120" s="172"/>
      <c r="AIO120" s="172"/>
      <c r="AIP120" s="172"/>
      <c r="AIQ120" s="172"/>
      <c r="AIR120" s="172"/>
      <c r="AIS120" s="172"/>
      <c r="AIT120" s="172"/>
      <c r="AIU120" s="172"/>
      <c r="AIV120" s="172"/>
      <c r="AIW120" s="172"/>
      <c r="AIX120" s="172"/>
      <c r="AIY120" s="172"/>
      <c r="AIZ120" s="172"/>
      <c r="AJA120" s="172"/>
      <c r="AJB120" s="172"/>
      <c r="AJC120" s="172"/>
      <c r="AJD120" s="172"/>
      <c r="AJE120" s="172"/>
      <c r="AJF120" s="172"/>
      <c r="AJG120" s="172"/>
      <c r="AJH120" s="172"/>
      <c r="AJI120" s="172"/>
      <c r="AJJ120" s="172"/>
      <c r="AJK120" s="172"/>
      <c r="AJL120" s="172"/>
      <c r="AJM120" s="172"/>
      <c r="AJN120" s="172"/>
      <c r="AJO120" s="172"/>
      <c r="AJP120" s="172"/>
      <c r="AJQ120" s="172"/>
      <c r="AJR120" s="172"/>
      <c r="AJS120" s="172"/>
      <c r="AJT120" s="172"/>
      <c r="AJU120" s="172"/>
      <c r="AJV120" s="172"/>
      <c r="AJW120" s="172"/>
      <c r="AJX120" s="172"/>
      <c r="AJY120" s="172"/>
      <c r="AJZ120" s="172"/>
      <c r="AKA120" s="172"/>
      <c r="AKB120" s="172"/>
      <c r="AKC120" s="172"/>
      <c r="AKD120" s="172"/>
      <c r="AKE120" s="172"/>
      <c r="AKF120" s="172"/>
      <c r="AKG120" s="172"/>
      <c r="AKH120" s="172"/>
      <c r="AKI120" s="172"/>
      <c r="AKJ120" s="172"/>
      <c r="AKK120" s="172"/>
      <c r="AKL120" s="172"/>
      <c r="AKM120" s="172"/>
      <c r="AKN120" s="172"/>
      <c r="AKO120" s="172"/>
      <c r="AKP120" s="172"/>
      <c r="AKQ120" s="172"/>
      <c r="AKR120" s="172"/>
      <c r="AKS120" s="172"/>
      <c r="AKT120" s="172"/>
      <c r="AKU120" s="172"/>
      <c r="AKV120" s="172"/>
      <c r="AKW120" s="172"/>
      <c r="AKX120" s="172"/>
      <c r="AKY120" s="172"/>
      <c r="AKZ120" s="172"/>
      <c r="ALA120" s="172"/>
      <c r="ALB120" s="172"/>
      <c r="ALC120" s="172"/>
      <c r="ALD120" s="172"/>
      <c r="ALE120" s="172"/>
      <c r="ALF120" s="172"/>
      <c r="ALG120" s="172"/>
      <c r="ALH120" s="172"/>
      <c r="ALI120" s="172"/>
      <c r="ALJ120" s="172"/>
      <c r="ALK120" s="172"/>
      <c r="ALL120" s="172"/>
      <c r="ALM120" s="172"/>
      <c r="ALN120" s="172"/>
      <c r="ALO120" s="172"/>
      <c r="ALP120" s="172"/>
      <c r="ALQ120" s="172"/>
      <c r="ALR120" s="172"/>
      <c r="ALS120" s="172"/>
      <c r="ALT120" s="172"/>
      <c r="ALU120" s="172"/>
      <c r="ALV120" s="172"/>
      <c r="ALW120" s="172"/>
      <c r="ALX120" s="172"/>
      <c r="ALY120" s="172"/>
      <c r="ALZ120" s="172"/>
      <c r="AMA120" s="172"/>
      <c r="AMB120" s="172"/>
      <c r="AMC120" s="172"/>
      <c r="AMD120" s="172"/>
      <c r="AME120" s="172"/>
      <c r="AMF120" s="172"/>
      <c r="AMG120" s="172"/>
      <c r="AMH120" s="172"/>
      <c r="AMI120" s="172"/>
      <c r="AMJ120" s="172"/>
    </row>
    <row r="121" s="7" customFormat="true" ht="15.75" hidden="false" customHeight="true" outlineLevel="0" collapsed="false">
      <c r="A121" s="172"/>
      <c r="B121" s="226" t="s">
        <v>171</v>
      </c>
      <c r="C121" s="226"/>
      <c r="D121" s="226"/>
      <c r="E121" s="226"/>
      <c r="F121" s="226"/>
      <c r="G121" s="231"/>
      <c r="H121" s="226" t="s">
        <v>171</v>
      </c>
      <c r="I121" s="226"/>
      <c r="J121" s="226"/>
      <c r="K121" s="226"/>
      <c r="L121" s="226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  <c r="GH121" s="172"/>
      <c r="GI121" s="172"/>
      <c r="GJ121" s="172"/>
      <c r="GK121" s="172"/>
      <c r="GL121" s="172"/>
      <c r="GM121" s="172"/>
      <c r="GN121" s="172"/>
      <c r="GO121" s="172"/>
      <c r="GP121" s="172"/>
      <c r="GQ121" s="172"/>
      <c r="GR121" s="172"/>
      <c r="GS121" s="172"/>
      <c r="GT121" s="172"/>
      <c r="GU121" s="172"/>
      <c r="GV121" s="172"/>
      <c r="GW121" s="172"/>
      <c r="GX121" s="172"/>
      <c r="GY121" s="172"/>
      <c r="GZ121" s="172"/>
      <c r="HA121" s="172"/>
      <c r="HB121" s="172"/>
      <c r="HC121" s="172"/>
      <c r="HD121" s="172"/>
      <c r="HE121" s="172"/>
      <c r="HF121" s="172"/>
      <c r="HG121" s="172"/>
      <c r="HH121" s="172"/>
      <c r="HI121" s="172"/>
      <c r="HJ121" s="172"/>
      <c r="HK121" s="172"/>
      <c r="HL121" s="172"/>
      <c r="HM121" s="172"/>
      <c r="HN121" s="172"/>
      <c r="HO121" s="172"/>
      <c r="HP121" s="172"/>
      <c r="HQ121" s="172"/>
      <c r="HR121" s="172"/>
      <c r="HS121" s="172"/>
      <c r="HT121" s="172"/>
      <c r="HU121" s="172"/>
      <c r="HV121" s="172"/>
      <c r="HW121" s="172"/>
      <c r="HX121" s="172"/>
      <c r="HY121" s="172"/>
      <c r="HZ121" s="172"/>
      <c r="IA121" s="172"/>
      <c r="IB121" s="172"/>
      <c r="IC121" s="172"/>
      <c r="ID121" s="172"/>
      <c r="IE121" s="172"/>
      <c r="IF121" s="172"/>
      <c r="IG121" s="172"/>
      <c r="IH121" s="172"/>
      <c r="II121" s="172"/>
      <c r="IJ121" s="172"/>
      <c r="IK121" s="172"/>
      <c r="IL121" s="172"/>
      <c r="IM121" s="172"/>
      <c r="IN121" s="172"/>
      <c r="IO121" s="172"/>
      <c r="IP121" s="172"/>
      <c r="IQ121" s="172"/>
      <c r="IR121" s="172"/>
      <c r="IS121" s="172"/>
      <c r="IT121" s="172"/>
      <c r="IU121" s="172"/>
      <c r="IV121" s="172"/>
      <c r="IW121" s="172"/>
      <c r="IX121" s="172"/>
      <c r="IY121" s="172"/>
      <c r="IZ121" s="172"/>
      <c r="JA121" s="172"/>
      <c r="JB121" s="172"/>
      <c r="JC121" s="172"/>
      <c r="JD121" s="172"/>
      <c r="JE121" s="172"/>
      <c r="JF121" s="172"/>
      <c r="JG121" s="172"/>
      <c r="JH121" s="172"/>
      <c r="JI121" s="172"/>
      <c r="JJ121" s="172"/>
      <c r="JK121" s="172"/>
      <c r="JL121" s="172"/>
      <c r="JM121" s="172"/>
      <c r="JN121" s="172"/>
      <c r="JO121" s="172"/>
      <c r="JP121" s="172"/>
      <c r="JQ121" s="172"/>
      <c r="JR121" s="172"/>
      <c r="JS121" s="172"/>
      <c r="JT121" s="172"/>
      <c r="JU121" s="172"/>
      <c r="JV121" s="172"/>
      <c r="JW121" s="172"/>
      <c r="JX121" s="172"/>
      <c r="JY121" s="172"/>
      <c r="JZ121" s="172"/>
      <c r="KA121" s="172"/>
      <c r="KB121" s="172"/>
      <c r="KC121" s="172"/>
      <c r="KD121" s="172"/>
      <c r="KE121" s="172"/>
      <c r="KF121" s="172"/>
      <c r="KG121" s="172"/>
      <c r="KH121" s="172"/>
      <c r="KI121" s="172"/>
      <c r="KJ121" s="172"/>
      <c r="KK121" s="172"/>
      <c r="KL121" s="172"/>
      <c r="KM121" s="172"/>
      <c r="KN121" s="172"/>
      <c r="KO121" s="172"/>
      <c r="KP121" s="172"/>
      <c r="KQ121" s="172"/>
      <c r="KR121" s="172"/>
      <c r="KS121" s="172"/>
      <c r="KT121" s="172"/>
      <c r="KU121" s="172"/>
      <c r="KV121" s="172"/>
      <c r="KW121" s="172"/>
      <c r="KX121" s="172"/>
      <c r="KY121" s="172"/>
      <c r="KZ121" s="172"/>
      <c r="LA121" s="172"/>
      <c r="LB121" s="172"/>
      <c r="LC121" s="172"/>
      <c r="LD121" s="172"/>
      <c r="LE121" s="172"/>
      <c r="LF121" s="172"/>
      <c r="LG121" s="172"/>
      <c r="LH121" s="172"/>
      <c r="LI121" s="172"/>
      <c r="LJ121" s="172"/>
      <c r="LK121" s="172"/>
      <c r="LL121" s="172"/>
      <c r="LM121" s="172"/>
      <c r="LN121" s="172"/>
      <c r="LO121" s="172"/>
      <c r="LP121" s="172"/>
      <c r="LQ121" s="172"/>
      <c r="LR121" s="172"/>
      <c r="LS121" s="172"/>
      <c r="LT121" s="172"/>
      <c r="LU121" s="172"/>
      <c r="LV121" s="172"/>
      <c r="LW121" s="172"/>
      <c r="LX121" s="172"/>
      <c r="LY121" s="172"/>
      <c r="LZ121" s="172"/>
      <c r="MA121" s="172"/>
      <c r="MB121" s="172"/>
      <c r="MC121" s="172"/>
      <c r="MD121" s="172"/>
      <c r="ME121" s="172"/>
      <c r="MF121" s="172"/>
      <c r="MG121" s="172"/>
      <c r="MH121" s="172"/>
      <c r="MI121" s="172"/>
      <c r="MJ121" s="172"/>
      <c r="MK121" s="172"/>
      <c r="ML121" s="172"/>
      <c r="MM121" s="172"/>
      <c r="MN121" s="172"/>
      <c r="MO121" s="172"/>
      <c r="MP121" s="172"/>
      <c r="MQ121" s="172"/>
      <c r="MR121" s="172"/>
      <c r="MS121" s="172"/>
      <c r="MT121" s="172"/>
      <c r="MU121" s="172"/>
      <c r="MV121" s="172"/>
      <c r="MW121" s="172"/>
      <c r="MX121" s="172"/>
      <c r="MY121" s="172"/>
      <c r="MZ121" s="172"/>
      <c r="NA121" s="172"/>
      <c r="NB121" s="172"/>
      <c r="NC121" s="172"/>
      <c r="ND121" s="172"/>
      <c r="NE121" s="172"/>
      <c r="NF121" s="172"/>
      <c r="NG121" s="172"/>
      <c r="NH121" s="172"/>
      <c r="NI121" s="172"/>
      <c r="NJ121" s="172"/>
      <c r="NK121" s="172"/>
      <c r="NL121" s="172"/>
      <c r="NM121" s="172"/>
      <c r="NN121" s="172"/>
      <c r="NO121" s="172"/>
      <c r="NP121" s="172"/>
      <c r="NQ121" s="172"/>
      <c r="NR121" s="172"/>
      <c r="NS121" s="172"/>
      <c r="NT121" s="172"/>
      <c r="NU121" s="172"/>
      <c r="NV121" s="172"/>
      <c r="NW121" s="172"/>
      <c r="NX121" s="172"/>
      <c r="NY121" s="172"/>
      <c r="NZ121" s="172"/>
      <c r="OA121" s="172"/>
      <c r="OB121" s="172"/>
      <c r="OC121" s="172"/>
      <c r="OD121" s="172"/>
      <c r="OE121" s="172"/>
      <c r="OF121" s="172"/>
      <c r="OG121" s="172"/>
      <c r="OH121" s="172"/>
      <c r="OI121" s="172"/>
      <c r="OJ121" s="172"/>
      <c r="OK121" s="172"/>
      <c r="OL121" s="172"/>
      <c r="OM121" s="172"/>
      <c r="ON121" s="172"/>
      <c r="OO121" s="172"/>
      <c r="OP121" s="172"/>
      <c r="OQ121" s="172"/>
      <c r="OR121" s="172"/>
      <c r="OS121" s="172"/>
      <c r="OT121" s="172"/>
      <c r="OU121" s="172"/>
      <c r="OV121" s="172"/>
      <c r="OW121" s="172"/>
      <c r="OX121" s="172"/>
      <c r="OY121" s="172"/>
      <c r="OZ121" s="172"/>
      <c r="PA121" s="172"/>
      <c r="PB121" s="172"/>
      <c r="PC121" s="172"/>
      <c r="PD121" s="172"/>
      <c r="PE121" s="172"/>
      <c r="PF121" s="172"/>
      <c r="PG121" s="172"/>
      <c r="PH121" s="172"/>
      <c r="PI121" s="172"/>
      <c r="PJ121" s="172"/>
      <c r="PK121" s="172"/>
      <c r="PL121" s="172"/>
      <c r="PM121" s="172"/>
      <c r="PN121" s="172"/>
      <c r="PO121" s="172"/>
      <c r="PP121" s="172"/>
      <c r="PQ121" s="172"/>
      <c r="PR121" s="172"/>
      <c r="PS121" s="172"/>
      <c r="PT121" s="172"/>
      <c r="PU121" s="172"/>
      <c r="PV121" s="172"/>
      <c r="PW121" s="172"/>
      <c r="PX121" s="172"/>
      <c r="PY121" s="172"/>
      <c r="PZ121" s="172"/>
      <c r="QA121" s="172"/>
      <c r="QB121" s="172"/>
      <c r="QC121" s="172"/>
      <c r="QD121" s="172"/>
      <c r="QE121" s="172"/>
      <c r="QF121" s="172"/>
      <c r="QG121" s="172"/>
      <c r="QH121" s="172"/>
      <c r="QI121" s="172"/>
      <c r="QJ121" s="172"/>
      <c r="QK121" s="172"/>
      <c r="QL121" s="172"/>
      <c r="QM121" s="172"/>
      <c r="QN121" s="172"/>
      <c r="QO121" s="172"/>
      <c r="QP121" s="172"/>
      <c r="QQ121" s="172"/>
      <c r="QR121" s="172"/>
      <c r="QS121" s="172"/>
      <c r="QT121" s="172"/>
      <c r="QU121" s="172"/>
      <c r="QV121" s="172"/>
      <c r="QW121" s="172"/>
      <c r="QX121" s="172"/>
      <c r="QY121" s="172"/>
      <c r="QZ121" s="172"/>
      <c r="RA121" s="172"/>
      <c r="RB121" s="172"/>
      <c r="RC121" s="172"/>
      <c r="RD121" s="172"/>
      <c r="RE121" s="172"/>
      <c r="RF121" s="172"/>
      <c r="RG121" s="172"/>
      <c r="RH121" s="172"/>
      <c r="RI121" s="172"/>
      <c r="RJ121" s="172"/>
      <c r="RK121" s="172"/>
      <c r="RL121" s="172"/>
      <c r="RM121" s="172"/>
      <c r="RN121" s="172"/>
      <c r="RO121" s="172"/>
      <c r="RP121" s="172"/>
      <c r="RQ121" s="172"/>
      <c r="RR121" s="172"/>
      <c r="RS121" s="172"/>
      <c r="RT121" s="172"/>
      <c r="RU121" s="172"/>
      <c r="RV121" s="172"/>
      <c r="RW121" s="172"/>
      <c r="RX121" s="172"/>
      <c r="RY121" s="172"/>
      <c r="RZ121" s="172"/>
      <c r="SA121" s="172"/>
      <c r="SB121" s="172"/>
      <c r="SC121" s="172"/>
      <c r="SD121" s="172"/>
      <c r="SE121" s="172"/>
      <c r="SF121" s="172"/>
      <c r="SG121" s="172"/>
      <c r="SH121" s="172"/>
      <c r="SI121" s="172"/>
      <c r="SJ121" s="172"/>
      <c r="SK121" s="172"/>
      <c r="SL121" s="172"/>
      <c r="SM121" s="172"/>
      <c r="SN121" s="172"/>
      <c r="SO121" s="172"/>
      <c r="SP121" s="172"/>
      <c r="SQ121" s="172"/>
      <c r="SR121" s="172"/>
      <c r="SS121" s="172"/>
      <c r="ST121" s="172"/>
      <c r="SU121" s="172"/>
      <c r="SV121" s="172"/>
      <c r="SW121" s="172"/>
      <c r="SX121" s="172"/>
      <c r="SY121" s="172"/>
      <c r="SZ121" s="172"/>
      <c r="TA121" s="172"/>
      <c r="TB121" s="172"/>
      <c r="TC121" s="172"/>
      <c r="TD121" s="172"/>
      <c r="TE121" s="172"/>
      <c r="TF121" s="172"/>
      <c r="TG121" s="172"/>
      <c r="TH121" s="172"/>
      <c r="TI121" s="172"/>
      <c r="TJ121" s="172"/>
      <c r="TK121" s="172"/>
      <c r="TL121" s="172"/>
      <c r="TM121" s="172"/>
      <c r="TN121" s="172"/>
      <c r="TO121" s="172"/>
      <c r="TP121" s="172"/>
      <c r="TQ121" s="172"/>
      <c r="TR121" s="172"/>
      <c r="TS121" s="172"/>
      <c r="TT121" s="172"/>
      <c r="TU121" s="172"/>
      <c r="TV121" s="172"/>
      <c r="TW121" s="172"/>
      <c r="TX121" s="172"/>
      <c r="TY121" s="172"/>
      <c r="TZ121" s="172"/>
      <c r="UA121" s="172"/>
      <c r="UB121" s="172"/>
      <c r="UC121" s="172"/>
      <c r="UD121" s="172"/>
      <c r="UE121" s="172"/>
      <c r="UF121" s="172"/>
      <c r="UG121" s="172"/>
      <c r="UH121" s="172"/>
      <c r="UI121" s="172"/>
      <c r="UJ121" s="172"/>
      <c r="UK121" s="172"/>
      <c r="UL121" s="172"/>
      <c r="UM121" s="172"/>
      <c r="UN121" s="172"/>
      <c r="UO121" s="172"/>
      <c r="UP121" s="172"/>
      <c r="UQ121" s="172"/>
      <c r="UR121" s="172"/>
      <c r="US121" s="172"/>
      <c r="UT121" s="172"/>
      <c r="UU121" s="172"/>
      <c r="UV121" s="172"/>
      <c r="UW121" s="172"/>
      <c r="UX121" s="172"/>
      <c r="UY121" s="172"/>
      <c r="UZ121" s="172"/>
      <c r="VA121" s="172"/>
      <c r="VB121" s="172"/>
      <c r="VC121" s="172"/>
      <c r="VD121" s="172"/>
      <c r="VE121" s="172"/>
      <c r="VF121" s="172"/>
      <c r="VG121" s="172"/>
      <c r="VH121" s="172"/>
      <c r="VI121" s="172"/>
      <c r="VJ121" s="172"/>
      <c r="VK121" s="172"/>
      <c r="VL121" s="172"/>
      <c r="VM121" s="172"/>
      <c r="VN121" s="172"/>
      <c r="VO121" s="172"/>
      <c r="VP121" s="172"/>
      <c r="VQ121" s="172"/>
      <c r="VR121" s="172"/>
      <c r="VS121" s="172"/>
      <c r="VT121" s="172"/>
      <c r="VU121" s="172"/>
      <c r="VV121" s="172"/>
      <c r="VW121" s="172"/>
      <c r="VX121" s="172"/>
      <c r="VY121" s="172"/>
      <c r="VZ121" s="172"/>
      <c r="WA121" s="172"/>
      <c r="WB121" s="172"/>
      <c r="WC121" s="172"/>
      <c r="WD121" s="172"/>
      <c r="WE121" s="172"/>
      <c r="WF121" s="172"/>
      <c r="WG121" s="172"/>
      <c r="WH121" s="172"/>
      <c r="WI121" s="172"/>
      <c r="WJ121" s="172"/>
      <c r="WK121" s="172"/>
      <c r="WL121" s="172"/>
      <c r="WM121" s="172"/>
      <c r="WN121" s="172"/>
      <c r="WO121" s="172"/>
      <c r="WP121" s="172"/>
      <c r="WQ121" s="172"/>
      <c r="WR121" s="172"/>
      <c r="WS121" s="172"/>
      <c r="WT121" s="172"/>
      <c r="WU121" s="172"/>
      <c r="WV121" s="172"/>
      <c r="WW121" s="172"/>
      <c r="WX121" s="172"/>
      <c r="WY121" s="172"/>
      <c r="WZ121" s="172"/>
      <c r="XA121" s="172"/>
      <c r="XB121" s="172"/>
      <c r="XC121" s="172"/>
      <c r="XD121" s="172"/>
      <c r="XE121" s="172"/>
      <c r="XF121" s="172"/>
      <c r="XG121" s="172"/>
      <c r="XH121" s="172"/>
      <c r="XI121" s="172"/>
      <c r="XJ121" s="172"/>
      <c r="XK121" s="172"/>
      <c r="XL121" s="172"/>
      <c r="XM121" s="172"/>
      <c r="XN121" s="172"/>
      <c r="XO121" s="172"/>
      <c r="XP121" s="172"/>
      <c r="XQ121" s="172"/>
      <c r="XR121" s="172"/>
      <c r="XS121" s="172"/>
      <c r="XT121" s="172"/>
      <c r="XU121" s="172"/>
      <c r="XV121" s="172"/>
      <c r="XW121" s="172"/>
      <c r="XX121" s="172"/>
      <c r="XY121" s="172"/>
      <c r="XZ121" s="172"/>
      <c r="YA121" s="172"/>
      <c r="YB121" s="172"/>
      <c r="YC121" s="172"/>
      <c r="YD121" s="172"/>
      <c r="YE121" s="172"/>
      <c r="YF121" s="172"/>
      <c r="YG121" s="172"/>
      <c r="YH121" s="172"/>
      <c r="YI121" s="172"/>
      <c r="YJ121" s="172"/>
      <c r="YK121" s="172"/>
      <c r="YL121" s="172"/>
      <c r="YM121" s="172"/>
      <c r="YN121" s="172"/>
      <c r="YO121" s="172"/>
      <c r="YP121" s="172"/>
      <c r="YQ121" s="172"/>
      <c r="YR121" s="172"/>
      <c r="YS121" s="172"/>
      <c r="YT121" s="172"/>
      <c r="YU121" s="172"/>
      <c r="YV121" s="172"/>
      <c r="YW121" s="172"/>
      <c r="YX121" s="172"/>
      <c r="YY121" s="172"/>
      <c r="YZ121" s="172"/>
      <c r="ZA121" s="172"/>
      <c r="ZB121" s="172"/>
      <c r="ZC121" s="172"/>
      <c r="ZD121" s="172"/>
      <c r="ZE121" s="172"/>
      <c r="ZF121" s="172"/>
      <c r="ZG121" s="172"/>
      <c r="ZH121" s="172"/>
      <c r="ZI121" s="172"/>
      <c r="ZJ121" s="172"/>
      <c r="ZK121" s="172"/>
      <c r="ZL121" s="172"/>
      <c r="ZM121" s="172"/>
      <c r="ZN121" s="172"/>
      <c r="ZO121" s="172"/>
      <c r="ZP121" s="172"/>
      <c r="ZQ121" s="172"/>
      <c r="ZR121" s="172"/>
      <c r="ZS121" s="172"/>
      <c r="ZT121" s="172"/>
      <c r="ZU121" s="172"/>
      <c r="ZV121" s="172"/>
      <c r="ZW121" s="172"/>
      <c r="ZX121" s="172"/>
      <c r="ZY121" s="172"/>
      <c r="ZZ121" s="172"/>
      <c r="AAA121" s="172"/>
      <c r="AAB121" s="172"/>
      <c r="AAC121" s="172"/>
      <c r="AAD121" s="172"/>
      <c r="AAE121" s="172"/>
      <c r="AAF121" s="172"/>
      <c r="AAG121" s="172"/>
      <c r="AAH121" s="172"/>
      <c r="AAI121" s="172"/>
      <c r="AAJ121" s="172"/>
      <c r="AAK121" s="172"/>
      <c r="AAL121" s="172"/>
      <c r="AAM121" s="172"/>
      <c r="AAN121" s="172"/>
      <c r="AAO121" s="172"/>
      <c r="AAP121" s="172"/>
      <c r="AAQ121" s="172"/>
      <c r="AAR121" s="172"/>
      <c r="AAS121" s="172"/>
      <c r="AAT121" s="172"/>
      <c r="AAU121" s="172"/>
      <c r="AAV121" s="172"/>
      <c r="AAW121" s="172"/>
      <c r="AAX121" s="172"/>
      <c r="AAY121" s="172"/>
      <c r="AAZ121" s="172"/>
      <c r="ABA121" s="172"/>
      <c r="ABB121" s="172"/>
      <c r="ABC121" s="172"/>
      <c r="ABD121" s="172"/>
      <c r="ABE121" s="172"/>
      <c r="ABF121" s="172"/>
      <c r="ABG121" s="172"/>
      <c r="ABH121" s="172"/>
      <c r="ABI121" s="172"/>
      <c r="ABJ121" s="172"/>
      <c r="ABK121" s="172"/>
      <c r="ABL121" s="172"/>
      <c r="ABM121" s="172"/>
      <c r="ABN121" s="172"/>
      <c r="ABO121" s="172"/>
      <c r="ABP121" s="172"/>
      <c r="ABQ121" s="172"/>
      <c r="ABR121" s="172"/>
      <c r="ABS121" s="172"/>
      <c r="ABT121" s="172"/>
      <c r="ABU121" s="172"/>
      <c r="ABV121" s="172"/>
      <c r="ABW121" s="172"/>
      <c r="ABX121" s="172"/>
      <c r="ABY121" s="172"/>
      <c r="ABZ121" s="172"/>
      <c r="ACA121" s="172"/>
      <c r="ACB121" s="172"/>
      <c r="ACC121" s="172"/>
      <c r="ACD121" s="172"/>
      <c r="ACE121" s="172"/>
      <c r="ACF121" s="172"/>
      <c r="ACG121" s="172"/>
      <c r="ACH121" s="172"/>
      <c r="ACI121" s="172"/>
      <c r="ACJ121" s="172"/>
      <c r="ACK121" s="172"/>
      <c r="ACL121" s="172"/>
      <c r="ACM121" s="172"/>
      <c r="ACN121" s="172"/>
      <c r="ACO121" s="172"/>
      <c r="ACP121" s="172"/>
      <c r="ACQ121" s="172"/>
      <c r="ACR121" s="172"/>
      <c r="ACS121" s="172"/>
      <c r="ACT121" s="172"/>
      <c r="ACU121" s="172"/>
      <c r="ACV121" s="172"/>
      <c r="ACW121" s="172"/>
      <c r="ACX121" s="172"/>
      <c r="ACY121" s="172"/>
      <c r="ACZ121" s="172"/>
      <c r="ADA121" s="172"/>
      <c r="ADB121" s="172"/>
      <c r="ADC121" s="172"/>
      <c r="ADD121" s="172"/>
      <c r="ADE121" s="172"/>
      <c r="ADF121" s="172"/>
      <c r="ADG121" s="172"/>
      <c r="ADH121" s="172"/>
      <c r="ADI121" s="172"/>
      <c r="ADJ121" s="172"/>
      <c r="ADK121" s="172"/>
      <c r="ADL121" s="172"/>
      <c r="ADM121" s="172"/>
      <c r="ADN121" s="172"/>
      <c r="ADO121" s="172"/>
      <c r="ADP121" s="172"/>
      <c r="ADQ121" s="172"/>
      <c r="ADR121" s="172"/>
      <c r="ADS121" s="172"/>
      <c r="ADT121" s="172"/>
      <c r="ADU121" s="172"/>
      <c r="ADV121" s="172"/>
      <c r="ADW121" s="172"/>
      <c r="ADX121" s="172"/>
      <c r="ADY121" s="172"/>
      <c r="ADZ121" s="172"/>
      <c r="AEA121" s="172"/>
      <c r="AEB121" s="172"/>
      <c r="AEC121" s="172"/>
      <c r="AED121" s="172"/>
      <c r="AEE121" s="172"/>
      <c r="AEF121" s="172"/>
      <c r="AEG121" s="172"/>
      <c r="AEH121" s="172"/>
      <c r="AEI121" s="172"/>
      <c r="AEJ121" s="172"/>
      <c r="AEK121" s="172"/>
      <c r="AEL121" s="172"/>
      <c r="AEM121" s="172"/>
      <c r="AEN121" s="172"/>
      <c r="AEO121" s="172"/>
      <c r="AEP121" s="172"/>
      <c r="AEQ121" s="172"/>
      <c r="AER121" s="172"/>
      <c r="AES121" s="172"/>
      <c r="AET121" s="172"/>
      <c r="AEU121" s="172"/>
      <c r="AEV121" s="172"/>
      <c r="AEW121" s="172"/>
      <c r="AEX121" s="172"/>
      <c r="AEY121" s="172"/>
      <c r="AEZ121" s="172"/>
      <c r="AFA121" s="172"/>
      <c r="AFB121" s="172"/>
      <c r="AFC121" s="172"/>
      <c r="AFD121" s="172"/>
      <c r="AFE121" s="172"/>
      <c r="AFF121" s="172"/>
      <c r="AFG121" s="172"/>
      <c r="AFH121" s="172"/>
      <c r="AFI121" s="172"/>
      <c r="AFJ121" s="172"/>
      <c r="AFK121" s="172"/>
      <c r="AFL121" s="172"/>
      <c r="AFM121" s="172"/>
      <c r="AFN121" s="172"/>
      <c r="AFO121" s="172"/>
      <c r="AFP121" s="172"/>
      <c r="AFQ121" s="172"/>
      <c r="AFR121" s="172"/>
      <c r="AFS121" s="172"/>
      <c r="AFT121" s="172"/>
      <c r="AFU121" s="172"/>
      <c r="AFV121" s="172"/>
      <c r="AFW121" s="172"/>
      <c r="AFX121" s="172"/>
      <c r="AFY121" s="172"/>
      <c r="AFZ121" s="172"/>
      <c r="AGA121" s="172"/>
      <c r="AGB121" s="172"/>
      <c r="AGC121" s="172"/>
      <c r="AGD121" s="172"/>
      <c r="AGE121" s="172"/>
      <c r="AGF121" s="172"/>
      <c r="AGG121" s="172"/>
      <c r="AGH121" s="172"/>
      <c r="AGI121" s="172"/>
      <c r="AGJ121" s="172"/>
      <c r="AGK121" s="172"/>
      <c r="AGL121" s="172"/>
      <c r="AGM121" s="172"/>
      <c r="AGN121" s="172"/>
      <c r="AGO121" s="172"/>
      <c r="AGP121" s="172"/>
      <c r="AGQ121" s="172"/>
      <c r="AGR121" s="172"/>
      <c r="AGS121" s="172"/>
      <c r="AGT121" s="172"/>
      <c r="AGU121" s="172"/>
      <c r="AGV121" s="172"/>
      <c r="AGW121" s="172"/>
      <c r="AGX121" s="172"/>
      <c r="AGY121" s="172"/>
      <c r="AGZ121" s="172"/>
      <c r="AHA121" s="172"/>
      <c r="AHB121" s="172"/>
      <c r="AHC121" s="172"/>
      <c r="AHD121" s="172"/>
      <c r="AHE121" s="172"/>
      <c r="AHF121" s="172"/>
      <c r="AHG121" s="172"/>
      <c r="AHH121" s="172"/>
      <c r="AHI121" s="172"/>
      <c r="AHJ121" s="172"/>
      <c r="AHK121" s="172"/>
      <c r="AHL121" s="172"/>
      <c r="AHM121" s="172"/>
      <c r="AHN121" s="172"/>
      <c r="AHO121" s="172"/>
      <c r="AHP121" s="172"/>
      <c r="AHQ121" s="172"/>
      <c r="AHR121" s="172"/>
      <c r="AHS121" s="172"/>
      <c r="AHT121" s="172"/>
      <c r="AHU121" s="172"/>
      <c r="AHV121" s="172"/>
      <c r="AHW121" s="172"/>
      <c r="AHX121" s="172"/>
      <c r="AHY121" s="172"/>
      <c r="AHZ121" s="172"/>
      <c r="AIA121" s="172"/>
      <c r="AIB121" s="172"/>
      <c r="AIC121" s="172"/>
      <c r="AID121" s="172"/>
      <c r="AIE121" s="172"/>
      <c r="AIF121" s="172"/>
      <c r="AIG121" s="172"/>
      <c r="AIH121" s="172"/>
      <c r="AII121" s="172"/>
      <c r="AIJ121" s="172"/>
      <c r="AIK121" s="172"/>
      <c r="AIL121" s="172"/>
      <c r="AIM121" s="172"/>
      <c r="AIN121" s="172"/>
      <c r="AIO121" s="172"/>
      <c r="AIP121" s="172"/>
      <c r="AIQ121" s="172"/>
      <c r="AIR121" s="172"/>
      <c r="AIS121" s="172"/>
      <c r="AIT121" s="172"/>
      <c r="AIU121" s="172"/>
      <c r="AIV121" s="172"/>
      <c r="AIW121" s="172"/>
      <c r="AIX121" s="172"/>
      <c r="AIY121" s="172"/>
      <c r="AIZ121" s="172"/>
      <c r="AJA121" s="172"/>
      <c r="AJB121" s="172"/>
      <c r="AJC121" s="172"/>
      <c r="AJD121" s="172"/>
      <c r="AJE121" s="172"/>
      <c r="AJF121" s="172"/>
      <c r="AJG121" s="172"/>
      <c r="AJH121" s="172"/>
      <c r="AJI121" s="172"/>
      <c r="AJJ121" s="172"/>
      <c r="AJK121" s="172"/>
      <c r="AJL121" s="172"/>
      <c r="AJM121" s="172"/>
      <c r="AJN121" s="172"/>
      <c r="AJO121" s="172"/>
      <c r="AJP121" s="172"/>
      <c r="AJQ121" s="172"/>
      <c r="AJR121" s="172"/>
      <c r="AJS121" s="172"/>
      <c r="AJT121" s="172"/>
      <c r="AJU121" s="172"/>
      <c r="AJV121" s="172"/>
      <c r="AJW121" s="172"/>
      <c r="AJX121" s="172"/>
      <c r="AJY121" s="172"/>
      <c r="AJZ121" s="172"/>
      <c r="AKA121" s="172"/>
      <c r="AKB121" s="172"/>
      <c r="AKC121" s="172"/>
      <c r="AKD121" s="172"/>
      <c r="AKE121" s="172"/>
      <c r="AKF121" s="172"/>
      <c r="AKG121" s="172"/>
      <c r="AKH121" s="172"/>
      <c r="AKI121" s="172"/>
      <c r="AKJ121" s="172"/>
      <c r="AKK121" s="172"/>
      <c r="AKL121" s="172"/>
      <c r="AKM121" s="172"/>
      <c r="AKN121" s="172"/>
      <c r="AKO121" s="172"/>
      <c r="AKP121" s="172"/>
      <c r="AKQ121" s="172"/>
      <c r="AKR121" s="172"/>
      <c r="AKS121" s="172"/>
      <c r="AKT121" s="172"/>
      <c r="AKU121" s="172"/>
      <c r="AKV121" s="172"/>
      <c r="AKW121" s="172"/>
      <c r="AKX121" s="172"/>
      <c r="AKY121" s="172"/>
      <c r="AKZ121" s="172"/>
      <c r="ALA121" s="172"/>
      <c r="ALB121" s="172"/>
      <c r="ALC121" s="172"/>
      <c r="ALD121" s="172"/>
      <c r="ALE121" s="172"/>
      <c r="ALF121" s="172"/>
      <c r="ALG121" s="172"/>
      <c r="ALH121" s="172"/>
      <c r="ALI121" s="172"/>
      <c r="ALJ121" s="172"/>
      <c r="ALK121" s="172"/>
      <c r="ALL121" s="172"/>
      <c r="ALM121" s="172"/>
      <c r="ALN121" s="172"/>
      <c r="ALO121" s="172"/>
      <c r="ALP121" s="172"/>
      <c r="ALQ121" s="172"/>
      <c r="ALR121" s="172"/>
      <c r="ALS121" s="172"/>
      <c r="ALT121" s="172"/>
      <c r="ALU121" s="172"/>
      <c r="ALV121" s="172"/>
      <c r="ALW121" s="172"/>
      <c r="ALX121" s="172"/>
      <c r="ALY121" s="172"/>
      <c r="ALZ121" s="172"/>
      <c r="AMA121" s="172"/>
      <c r="AMB121" s="172"/>
      <c r="AMC121" s="172"/>
      <c r="AMD121" s="172"/>
      <c r="AME121" s="172"/>
      <c r="AMF121" s="172"/>
      <c r="AMG121" s="172"/>
      <c r="AMH121" s="172"/>
      <c r="AMI121" s="172"/>
      <c r="AMJ121" s="172"/>
    </row>
    <row r="122" s="7" customFormat="true" ht="15.75" hidden="false" customHeight="true" outlineLevel="0" collapsed="false">
      <c r="A122" s="172"/>
      <c r="B122" s="8"/>
      <c r="C122" s="8"/>
      <c r="D122" s="8"/>
      <c r="E122" s="8"/>
      <c r="F122" s="8"/>
      <c r="G122" s="10"/>
      <c r="H122" s="8"/>
      <c r="I122" s="8"/>
      <c r="J122" s="8"/>
      <c r="K122" s="8"/>
      <c r="L122" s="8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  <c r="GH122" s="172"/>
      <c r="GI122" s="172"/>
      <c r="GJ122" s="172"/>
      <c r="GK122" s="172"/>
      <c r="GL122" s="172"/>
      <c r="GM122" s="172"/>
      <c r="GN122" s="172"/>
      <c r="GO122" s="172"/>
      <c r="GP122" s="172"/>
      <c r="GQ122" s="172"/>
      <c r="GR122" s="172"/>
      <c r="GS122" s="172"/>
      <c r="GT122" s="172"/>
      <c r="GU122" s="172"/>
      <c r="GV122" s="172"/>
      <c r="GW122" s="172"/>
      <c r="GX122" s="172"/>
      <c r="GY122" s="172"/>
      <c r="GZ122" s="172"/>
      <c r="HA122" s="172"/>
      <c r="HB122" s="172"/>
      <c r="HC122" s="172"/>
      <c r="HD122" s="172"/>
      <c r="HE122" s="172"/>
      <c r="HF122" s="172"/>
      <c r="HG122" s="172"/>
      <c r="HH122" s="172"/>
      <c r="HI122" s="172"/>
      <c r="HJ122" s="172"/>
      <c r="HK122" s="172"/>
      <c r="HL122" s="172"/>
      <c r="HM122" s="172"/>
      <c r="HN122" s="172"/>
      <c r="HO122" s="172"/>
      <c r="HP122" s="172"/>
      <c r="HQ122" s="172"/>
      <c r="HR122" s="172"/>
      <c r="HS122" s="172"/>
      <c r="HT122" s="172"/>
      <c r="HU122" s="172"/>
      <c r="HV122" s="172"/>
      <c r="HW122" s="172"/>
      <c r="HX122" s="172"/>
      <c r="HY122" s="172"/>
      <c r="HZ122" s="172"/>
      <c r="IA122" s="172"/>
      <c r="IB122" s="172"/>
      <c r="IC122" s="172"/>
      <c r="ID122" s="172"/>
      <c r="IE122" s="172"/>
      <c r="IF122" s="172"/>
      <c r="IG122" s="172"/>
      <c r="IH122" s="172"/>
      <c r="II122" s="172"/>
      <c r="IJ122" s="172"/>
      <c r="IK122" s="172"/>
      <c r="IL122" s="172"/>
      <c r="IM122" s="172"/>
      <c r="IN122" s="172"/>
      <c r="IO122" s="172"/>
      <c r="IP122" s="172"/>
      <c r="IQ122" s="172"/>
      <c r="IR122" s="172"/>
      <c r="IS122" s="172"/>
      <c r="IT122" s="172"/>
      <c r="IU122" s="172"/>
      <c r="IV122" s="172"/>
      <c r="IW122" s="172"/>
      <c r="IX122" s="172"/>
      <c r="IY122" s="172"/>
      <c r="IZ122" s="172"/>
      <c r="JA122" s="172"/>
      <c r="JB122" s="172"/>
      <c r="JC122" s="172"/>
      <c r="JD122" s="172"/>
      <c r="JE122" s="172"/>
      <c r="JF122" s="172"/>
      <c r="JG122" s="172"/>
      <c r="JH122" s="172"/>
      <c r="JI122" s="172"/>
      <c r="JJ122" s="172"/>
      <c r="JK122" s="172"/>
      <c r="JL122" s="172"/>
      <c r="JM122" s="172"/>
      <c r="JN122" s="172"/>
      <c r="JO122" s="172"/>
      <c r="JP122" s="172"/>
      <c r="JQ122" s="172"/>
      <c r="JR122" s="172"/>
      <c r="JS122" s="172"/>
      <c r="JT122" s="172"/>
      <c r="JU122" s="172"/>
      <c r="JV122" s="172"/>
      <c r="JW122" s="172"/>
      <c r="JX122" s="172"/>
      <c r="JY122" s="172"/>
      <c r="JZ122" s="172"/>
      <c r="KA122" s="172"/>
      <c r="KB122" s="172"/>
      <c r="KC122" s="172"/>
      <c r="KD122" s="172"/>
      <c r="KE122" s="172"/>
      <c r="KF122" s="172"/>
      <c r="KG122" s="172"/>
      <c r="KH122" s="172"/>
      <c r="KI122" s="172"/>
      <c r="KJ122" s="172"/>
      <c r="KK122" s="172"/>
      <c r="KL122" s="172"/>
      <c r="KM122" s="172"/>
      <c r="KN122" s="172"/>
      <c r="KO122" s="172"/>
      <c r="KP122" s="172"/>
      <c r="KQ122" s="172"/>
      <c r="KR122" s="172"/>
      <c r="KS122" s="172"/>
      <c r="KT122" s="172"/>
      <c r="KU122" s="172"/>
      <c r="KV122" s="172"/>
      <c r="KW122" s="172"/>
      <c r="KX122" s="172"/>
      <c r="KY122" s="172"/>
      <c r="KZ122" s="172"/>
      <c r="LA122" s="172"/>
      <c r="LB122" s="172"/>
      <c r="LC122" s="172"/>
      <c r="LD122" s="172"/>
      <c r="LE122" s="172"/>
      <c r="LF122" s="172"/>
      <c r="LG122" s="172"/>
      <c r="LH122" s="172"/>
      <c r="LI122" s="172"/>
      <c r="LJ122" s="172"/>
      <c r="LK122" s="172"/>
      <c r="LL122" s="172"/>
      <c r="LM122" s="172"/>
      <c r="LN122" s="172"/>
      <c r="LO122" s="172"/>
      <c r="LP122" s="172"/>
      <c r="LQ122" s="172"/>
      <c r="LR122" s="172"/>
      <c r="LS122" s="172"/>
      <c r="LT122" s="172"/>
      <c r="LU122" s="172"/>
      <c r="LV122" s="172"/>
      <c r="LW122" s="172"/>
      <c r="LX122" s="172"/>
      <c r="LY122" s="172"/>
      <c r="LZ122" s="172"/>
      <c r="MA122" s="172"/>
      <c r="MB122" s="172"/>
      <c r="MC122" s="172"/>
      <c r="MD122" s="172"/>
      <c r="ME122" s="172"/>
      <c r="MF122" s="172"/>
      <c r="MG122" s="172"/>
      <c r="MH122" s="172"/>
      <c r="MI122" s="172"/>
      <c r="MJ122" s="172"/>
      <c r="MK122" s="172"/>
      <c r="ML122" s="172"/>
      <c r="MM122" s="172"/>
      <c r="MN122" s="172"/>
      <c r="MO122" s="172"/>
      <c r="MP122" s="172"/>
      <c r="MQ122" s="172"/>
      <c r="MR122" s="172"/>
      <c r="MS122" s="172"/>
      <c r="MT122" s="172"/>
      <c r="MU122" s="172"/>
      <c r="MV122" s="172"/>
      <c r="MW122" s="172"/>
      <c r="MX122" s="172"/>
      <c r="MY122" s="172"/>
      <c r="MZ122" s="172"/>
      <c r="NA122" s="172"/>
      <c r="NB122" s="172"/>
      <c r="NC122" s="172"/>
      <c r="ND122" s="172"/>
      <c r="NE122" s="172"/>
      <c r="NF122" s="172"/>
      <c r="NG122" s="172"/>
      <c r="NH122" s="172"/>
      <c r="NI122" s="172"/>
      <c r="NJ122" s="172"/>
      <c r="NK122" s="172"/>
      <c r="NL122" s="172"/>
      <c r="NM122" s="172"/>
      <c r="NN122" s="172"/>
      <c r="NO122" s="172"/>
      <c r="NP122" s="172"/>
      <c r="NQ122" s="172"/>
      <c r="NR122" s="172"/>
      <c r="NS122" s="172"/>
      <c r="NT122" s="172"/>
      <c r="NU122" s="172"/>
      <c r="NV122" s="172"/>
      <c r="NW122" s="172"/>
      <c r="NX122" s="172"/>
      <c r="NY122" s="172"/>
      <c r="NZ122" s="172"/>
      <c r="OA122" s="172"/>
      <c r="OB122" s="172"/>
      <c r="OC122" s="172"/>
      <c r="OD122" s="172"/>
      <c r="OE122" s="172"/>
      <c r="OF122" s="172"/>
      <c r="OG122" s="172"/>
      <c r="OH122" s="172"/>
      <c r="OI122" s="172"/>
      <c r="OJ122" s="172"/>
      <c r="OK122" s="172"/>
      <c r="OL122" s="172"/>
      <c r="OM122" s="172"/>
      <c r="ON122" s="172"/>
      <c r="OO122" s="172"/>
      <c r="OP122" s="172"/>
      <c r="OQ122" s="172"/>
      <c r="OR122" s="172"/>
      <c r="OS122" s="172"/>
      <c r="OT122" s="172"/>
      <c r="OU122" s="172"/>
      <c r="OV122" s="172"/>
      <c r="OW122" s="172"/>
      <c r="OX122" s="172"/>
      <c r="OY122" s="172"/>
      <c r="OZ122" s="172"/>
      <c r="PA122" s="172"/>
      <c r="PB122" s="172"/>
      <c r="PC122" s="172"/>
      <c r="PD122" s="172"/>
      <c r="PE122" s="172"/>
      <c r="PF122" s="172"/>
      <c r="PG122" s="172"/>
      <c r="PH122" s="172"/>
      <c r="PI122" s="172"/>
      <c r="PJ122" s="172"/>
      <c r="PK122" s="172"/>
      <c r="PL122" s="172"/>
      <c r="PM122" s="172"/>
      <c r="PN122" s="172"/>
      <c r="PO122" s="172"/>
      <c r="PP122" s="172"/>
      <c r="PQ122" s="172"/>
      <c r="PR122" s="172"/>
      <c r="PS122" s="172"/>
      <c r="PT122" s="172"/>
      <c r="PU122" s="172"/>
      <c r="PV122" s="172"/>
      <c r="PW122" s="172"/>
      <c r="PX122" s="172"/>
      <c r="PY122" s="172"/>
      <c r="PZ122" s="172"/>
      <c r="QA122" s="172"/>
      <c r="QB122" s="172"/>
      <c r="QC122" s="172"/>
      <c r="QD122" s="172"/>
      <c r="QE122" s="172"/>
      <c r="QF122" s="172"/>
      <c r="QG122" s="172"/>
      <c r="QH122" s="172"/>
      <c r="QI122" s="172"/>
      <c r="QJ122" s="172"/>
      <c r="QK122" s="172"/>
      <c r="QL122" s="172"/>
      <c r="QM122" s="172"/>
      <c r="QN122" s="172"/>
      <c r="QO122" s="172"/>
      <c r="QP122" s="172"/>
      <c r="QQ122" s="172"/>
      <c r="QR122" s="172"/>
      <c r="QS122" s="172"/>
      <c r="QT122" s="172"/>
      <c r="QU122" s="172"/>
      <c r="QV122" s="172"/>
      <c r="QW122" s="172"/>
      <c r="QX122" s="172"/>
      <c r="QY122" s="172"/>
      <c r="QZ122" s="172"/>
      <c r="RA122" s="172"/>
      <c r="RB122" s="172"/>
      <c r="RC122" s="172"/>
      <c r="RD122" s="172"/>
      <c r="RE122" s="172"/>
      <c r="RF122" s="172"/>
      <c r="RG122" s="172"/>
      <c r="RH122" s="172"/>
      <c r="RI122" s="172"/>
      <c r="RJ122" s="172"/>
      <c r="RK122" s="172"/>
      <c r="RL122" s="172"/>
      <c r="RM122" s="172"/>
      <c r="RN122" s="172"/>
      <c r="RO122" s="172"/>
      <c r="RP122" s="172"/>
      <c r="RQ122" s="172"/>
      <c r="RR122" s="172"/>
      <c r="RS122" s="172"/>
      <c r="RT122" s="172"/>
      <c r="RU122" s="172"/>
      <c r="RV122" s="172"/>
      <c r="RW122" s="172"/>
      <c r="RX122" s="172"/>
      <c r="RY122" s="172"/>
      <c r="RZ122" s="172"/>
      <c r="SA122" s="172"/>
      <c r="SB122" s="172"/>
      <c r="SC122" s="172"/>
      <c r="SD122" s="172"/>
      <c r="SE122" s="172"/>
      <c r="SF122" s="172"/>
      <c r="SG122" s="172"/>
      <c r="SH122" s="172"/>
      <c r="SI122" s="172"/>
      <c r="SJ122" s="172"/>
      <c r="SK122" s="172"/>
      <c r="SL122" s="172"/>
      <c r="SM122" s="172"/>
      <c r="SN122" s="172"/>
      <c r="SO122" s="172"/>
      <c r="SP122" s="172"/>
      <c r="SQ122" s="172"/>
      <c r="SR122" s="172"/>
      <c r="SS122" s="172"/>
      <c r="ST122" s="172"/>
      <c r="SU122" s="172"/>
      <c r="SV122" s="172"/>
      <c r="SW122" s="172"/>
      <c r="SX122" s="172"/>
      <c r="SY122" s="172"/>
      <c r="SZ122" s="172"/>
      <c r="TA122" s="172"/>
      <c r="TB122" s="172"/>
      <c r="TC122" s="172"/>
      <c r="TD122" s="172"/>
      <c r="TE122" s="172"/>
      <c r="TF122" s="172"/>
      <c r="TG122" s="172"/>
      <c r="TH122" s="172"/>
      <c r="TI122" s="172"/>
      <c r="TJ122" s="172"/>
      <c r="TK122" s="172"/>
      <c r="TL122" s="172"/>
      <c r="TM122" s="172"/>
      <c r="TN122" s="172"/>
      <c r="TO122" s="172"/>
      <c r="TP122" s="172"/>
      <c r="TQ122" s="172"/>
      <c r="TR122" s="172"/>
      <c r="TS122" s="172"/>
      <c r="TT122" s="172"/>
      <c r="TU122" s="172"/>
      <c r="TV122" s="172"/>
      <c r="TW122" s="172"/>
      <c r="TX122" s="172"/>
      <c r="TY122" s="172"/>
      <c r="TZ122" s="172"/>
      <c r="UA122" s="172"/>
      <c r="UB122" s="172"/>
      <c r="UC122" s="172"/>
      <c r="UD122" s="172"/>
      <c r="UE122" s="172"/>
      <c r="UF122" s="172"/>
      <c r="UG122" s="172"/>
      <c r="UH122" s="172"/>
      <c r="UI122" s="172"/>
      <c r="UJ122" s="172"/>
      <c r="UK122" s="172"/>
      <c r="UL122" s="172"/>
      <c r="UM122" s="172"/>
      <c r="UN122" s="172"/>
      <c r="UO122" s="172"/>
      <c r="UP122" s="172"/>
      <c r="UQ122" s="172"/>
      <c r="UR122" s="172"/>
      <c r="US122" s="172"/>
      <c r="UT122" s="172"/>
      <c r="UU122" s="172"/>
      <c r="UV122" s="172"/>
      <c r="UW122" s="172"/>
      <c r="UX122" s="172"/>
      <c r="UY122" s="172"/>
      <c r="UZ122" s="172"/>
      <c r="VA122" s="172"/>
      <c r="VB122" s="172"/>
      <c r="VC122" s="172"/>
      <c r="VD122" s="172"/>
      <c r="VE122" s="172"/>
      <c r="VF122" s="172"/>
      <c r="VG122" s="172"/>
      <c r="VH122" s="172"/>
      <c r="VI122" s="172"/>
      <c r="VJ122" s="172"/>
      <c r="VK122" s="172"/>
      <c r="VL122" s="172"/>
      <c r="VM122" s="172"/>
      <c r="VN122" s="172"/>
      <c r="VO122" s="172"/>
      <c r="VP122" s="172"/>
      <c r="VQ122" s="172"/>
      <c r="VR122" s="172"/>
      <c r="VS122" s="172"/>
      <c r="VT122" s="172"/>
      <c r="VU122" s="172"/>
      <c r="VV122" s="172"/>
      <c r="VW122" s="172"/>
      <c r="VX122" s="172"/>
      <c r="VY122" s="172"/>
      <c r="VZ122" s="172"/>
      <c r="WA122" s="172"/>
      <c r="WB122" s="172"/>
      <c r="WC122" s="172"/>
      <c r="WD122" s="172"/>
      <c r="WE122" s="172"/>
      <c r="WF122" s="172"/>
      <c r="WG122" s="172"/>
      <c r="WH122" s="172"/>
      <c r="WI122" s="172"/>
      <c r="WJ122" s="172"/>
      <c r="WK122" s="172"/>
      <c r="WL122" s="172"/>
      <c r="WM122" s="172"/>
      <c r="WN122" s="172"/>
      <c r="WO122" s="172"/>
      <c r="WP122" s="172"/>
      <c r="WQ122" s="172"/>
      <c r="WR122" s="172"/>
      <c r="WS122" s="172"/>
      <c r="WT122" s="172"/>
      <c r="WU122" s="172"/>
      <c r="WV122" s="172"/>
      <c r="WW122" s="172"/>
      <c r="WX122" s="172"/>
      <c r="WY122" s="172"/>
      <c r="WZ122" s="172"/>
      <c r="XA122" s="172"/>
      <c r="XB122" s="172"/>
      <c r="XC122" s="172"/>
      <c r="XD122" s="172"/>
      <c r="XE122" s="172"/>
      <c r="XF122" s="172"/>
      <c r="XG122" s="172"/>
      <c r="XH122" s="172"/>
      <c r="XI122" s="172"/>
      <c r="XJ122" s="172"/>
      <c r="XK122" s="172"/>
      <c r="XL122" s="172"/>
      <c r="XM122" s="172"/>
      <c r="XN122" s="172"/>
      <c r="XO122" s="172"/>
      <c r="XP122" s="172"/>
      <c r="XQ122" s="172"/>
      <c r="XR122" s="172"/>
      <c r="XS122" s="172"/>
      <c r="XT122" s="172"/>
      <c r="XU122" s="172"/>
      <c r="XV122" s="172"/>
      <c r="XW122" s="172"/>
      <c r="XX122" s="172"/>
      <c r="XY122" s="172"/>
      <c r="XZ122" s="172"/>
      <c r="YA122" s="172"/>
      <c r="YB122" s="172"/>
      <c r="YC122" s="172"/>
      <c r="YD122" s="172"/>
      <c r="YE122" s="172"/>
      <c r="YF122" s="172"/>
      <c r="YG122" s="172"/>
      <c r="YH122" s="172"/>
      <c r="YI122" s="172"/>
      <c r="YJ122" s="172"/>
      <c r="YK122" s="172"/>
      <c r="YL122" s="172"/>
      <c r="YM122" s="172"/>
      <c r="YN122" s="172"/>
      <c r="YO122" s="172"/>
      <c r="YP122" s="172"/>
      <c r="YQ122" s="172"/>
      <c r="YR122" s="172"/>
      <c r="YS122" s="172"/>
      <c r="YT122" s="172"/>
      <c r="YU122" s="172"/>
      <c r="YV122" s="172"/>
      <c r="YW122" s="172"/>
      <c r="YX122" s="172"/>
      <c r="YY122" s="172"/>
      <c r="YZ122" s="172"/>
      <c r="ZA122" s="172"/>
      <c r="ZB122" s="172"/>
      <c r="ZC122" s="172"/>
      <c r="ZD122" s="172"/>
      <c r="ZE122" s="172"/>
      <c r="ZF122" s="172"/>
      <c r="ZG122" s="172"/>
      <c r="ZH122" s="172"/>
      <c r="ZI122" s="172"/>
      <c r="ZJ122" s="172"/>
      <c r="ZK122" s="172"/>
      <c r="ZL122" s="172"/>
      <c r="ZM122" s="172"/>
      <c r="ZN122" s="172"/>
      <c r="ZO122" s="172"/>
      <c r="ZP122" s="172"/>
      <c r="ZQ122" s="172"/>
      <c r="ZR122" s="172"/>
      <c r="ZS122" s="172"/>
      <c r="ZT122" s="172"/>
      <c r="ZU122" s="172"/>
      <c r="ZV122" s="172"/>
      <c r="ZW122" s="172"/>
      <c r="ZX122" s="172"/>
      <c r="ZY122" s="172"/>
      <c r="ZZ122" s="172"/>
      <c r="AAA122" s="172"/>
      <c r="AAB122" s="172"/>
      <c r="AAC122" s="172"/>
      <c r="AAD122" s="172"/>
      <c r="AAE122" s="172"/>
      <c r="AAF122" s="172"/>
      <c r="AAG122" s="172"/>
      <c r="AAH122" s="172"/>
      <c r="AAI122" s="172"/>
      <c r="AAJ122" s="172"/>
      <c r="AAK122" s="172"/>
      <c r="AAL122" s="172"/>
      <c r="AAM122" s="172"/>
      <c r="AAN122" s="172"/>
      <c r="AAO122" s="172"/>
      <c r="AAP122" s="172"/>
      <c r="AAQ122" s="172"/>
      <c r="AAR122" s="172"/>
      <c r="AAS122" s="172"/>
      <c r="AAT122" s="172"/>
      <c r="AAU122" s="172"/>
      <c r="AAV122" s="172"/>
      <c r="AAW122" s="172"/>
      <c r="AAX122" s="172"/>
      <c r="AAY122" s="172"/>
      <c r="AAZ122" s="172"/>
      <c r="ABA122" s="172"/>
      <c r="ABB122" s="172"/>
      <c r="ABC122" s="172"/>
      <c r="ABD122" s="172"/>
      <c r="ABE122" s="172"/>
      <c r="ABF122" s="172"/>
      <c r="ABG122" s="172"/>
      <c r="ABH122" s="172"/>
      <c r="ABI122" s="172"/>
      <c r="ABJ122" s="172"/>
      <c r="ABK122" s="172"/>
      <c r="ABL122" s="172"/>
      <c r="ABM122" s="172"/>
      <c r="ABN122" s="172"/>
      <c r="ABO122" s="172"/>
      <c r="ABP122" s="172"/>
      <c r="ABQ122" s="172"/>
      <c r="ABR122" s="172"/>
      <c r="ABS122" s="172"/>
      <c r="ABT122" s="172"/>
      <c r="ABU122" s="172"/>
      <c r="ABV122" s="172"/>
      <c r="ABW122" s="172"/>
      <c r="ABX122" s="172"/>
      <c r="ABY122" s="172"/>
      <c r="ABZ122" s="172"/>
      <c r="ACA122" s="172"/>
      <c r="ACB122" s="172"/>
      <c r="ACC122" s="172"/>
      <c r="ACD122" s="172"/>
      <c r="ACE122" s="172"/>
      <c r="ACF122" s="172"/>
      <c r="ACG122" s="172"/>
      <c r="ACH122" s="172"/>
      <c r="ACI122" s="172"/>
      <c r="ACJ122" s="172"/>
      <c r="ACK122" s="172"/>
      <c r="ACL122" s="172"/>
      <c r="ACM122" s="172"/>
      <c r="ACN122" s="172"/>
      <c r="ACO122" s="172"/>
      <c r="ACP122" s="172"/>
      <c r="ACQ122" s="172"/>
      <c r="ACR122" s="172"/>
      <c r="ACS122" s="172"/>
      <c r="ACT122" s="172"/>
      <c r="ACU122" s="172"/>
      <c r="ACV122" s="172"/>
      <c r="ACW122" s="172"/>
      <c r="ACX122" s="172"/>
      <c r="ACY122" s="172"/>
      <c r="ACZ122" s="172"/>
      <c r="ADA122" s="172"/>
      <c r="ADB122" s="172"/>
      <c r="ADC122" s="172"/>
      <c r="ADD122" s="172"/>
      <c r="ADE122" s="172"/>
      <c r="ADF122" s="172"/>
      <c r="ADG122" s="172"/>
      <c r="ADH122" s="172"/>
      <c r="ADI122" s="172"/>
      <c r="ADJ122" s="172"/>
      <c r="ADK122" s="172"/>
      <c r="ADL122" s="172"/>
      <c r="ADM122" s="172"/>
      <c r="ADN122" s="172"/>
      <c r="ADO122" s="172"/>
      <c r="ADP122" s="172"/>
      <c r="ADQ122" s="172"/>
      <c r="ADR122" s="172"/>
      <c r="ADS122" s="172"/>
      <c r="ADT122" s="172"/>
      <c r="ADU122" s="172"/>
      <c r="ADV122" s="172"/>
      <c r="ADW122" s="172"/>
      <c r="ADX122" s="172"/>
      <c r="ADY122" s="172"/>
      <c r="ADZ122" s="172"/>
      <c r="AEA122" s="172"/>
      <c r="AEB122" s="172"/>
      <c r="AEC122" s="172"/>
      <c r="AED122" s="172"/>
      <c r="AEE122" s="172"/>
      <c r="AEF122" s="172"/>
      <c r="AEG122" s="172"/>
      <c r="AEH122" s="172"/>
      <c r="AEI122" s="172"/>
      <c r="AEJ122" s="172"/>
      <c r="AEK122" s="172"/>
      <c r="AEL122" s="172"/>
      <c r="AEM122" s="172"/>
      <c r="AEN122" s="172"/>
      <c r="AEO122" s="172"/>
      <c r="AEP122" s="172"/>
      <c r="AEQ122" s="172"/>
      <c r="AER122" s="172"/>
      <c r="AES122" s="172"/>
      <c r="AET122" s="172"/>
      <c r="AEU122" s="172"/>
      <c r="AEV122" s="172"/>
      <c r="AEW122" s="172"/>
      <c r="AEX122" s="172"/>
      <c r="AEY122" s="172"/>
      <c r="AEZ122" s="172"/>
      <c r="AFA122" s="172"/>
      <c r="AFB122" s="172"/>
      <c r="AFC122" s="172"/>
      <c r="AFD122" s="172"/>
      <c r="AFE122" s="172"/>
      <c r="AFF122" s="172"/>
      <c r="AFG122" s="172"/>
      <c r="AFH122" s="172"/>
      <c r="AFI122" s="172"/>
      <c r="AFJ122" s="172"/>
      <c r="AFK122" s="172"/>
      <c r="AFL122" s="172"/>
      <c r="AFM122" s="172"/>
      <c r="AFN122" s="172"/>
      <c r="AFO122" s="172"/>
      <c r="AFP122" s="172"/>
      <c r="AFQ122" s="172"/>
      <c r="AFR122" s="172"/>
      <c r="AFS122" s="172"/>
      <c r="AFT122" s="172"/>
      <c r="AFU122" s="172"/>
      <c r="AFV122" s="172"/>
      <c r="AFW122" s="172"/>
      <c r="AFX122" s="172"/>
      <c r="AFY122" s="172"/>
      <c r="AFZ122" s="172"/>
      <c r="AGA122" s="172"/>
      <c r="AGB122" s="172"/>
      <c r="AGC122" s="172"/>
      <c r="AGD122" s="172"/>
      <c r="AGE122" s="172"/>
      <c r="AGF122" s="172"/>
      <c r="AGG122" s="172"/>
      <c r="AGH122" s="172"/>
      <c r="AGI122" s="172"/>
      <c r="AGJ122" s="172"/>
      <c r="AGK122" s="172"/>
      <c r="AGL122" s="172"/>
      <c r="AGM122" s="172"/>
      <c r="AGN122" s="172"/>
      <c r="AGO122" s="172"/>
      <c r="AGP122" s="172"/>
      <c r="AGQ122" s="172"/>
      <c r="AGR122" s="172"/>
      <c r="AGS122" s="172"/>
      <c r="AGT122" s="172"/>
      <c r="AGU122" s="172"/>
      <c r="AGV122" s="172"/>
      <c r="AGW122" s="172"/>
      <c r="AGX122" s="172"/>
      <c r="AGY122" s="172"/>
      <c r="AGZ122" s="172"/>
      <c r="AHA122" s="172"/>
      <c r="AHB122" s="172"/>
      <c r="AHC122" s="172"/>
      <c r="AHD122" s="172"/>
      <c r="AHE122" s="172"/>
      <c r="AHF122" s="172"/>
      <c r="AHG122" s="172"/>
      <c r="AHH122" s="172"/>
      <c r="AHI122" s="172"/>
      <c r="AHJ122" s="172"/>
      <c r="AHK122" s="172"/>
      <c r="AHL122" s="172"/>
      <c r="AHM122" s="172"/>
      <c r="AHN122" s="172"/>
      <c r="AHO122" s="172"/>
      <c r="AHP122" s="172"/>
      <c r="AHQ122" s="172"/>
      <c r="AHR122" s="172"/>
      <c r="AHS122" s="172"/>
      <c r="AHT122" s="172"/>
      <c r="AHU122" s="172"/>
      <c r="AHV122" s="172"/>
      <c r="AHW122" s="172"/>
      <c r="AHX122" s="172"/>
      <c r="AHY122" s="172"/>
      <c r="AHZ122" s="172"/>
      <c r="AIA122" s="172"/>
      <c r="AIB122" s="172"/>
      <c r="AIC122" s="172"/>
      <c r="AID122" s="172"/>
      <c r="AIE122" s="172"/>
      <c r="AIF122" s="172"/>
      <c r="AIG122" s="172"/>
      <c r="AIH122" s="172"/>
      <c r="AII122" s="172"/>
      <c r="AIJ122" s="172"/>
      <c r="AIK122" s="172"/>
      <c r="AIL122" s="172"/>
      <c r="AIM122" s="172"/>
      <c r="AIN122" s="172"/>
      <c r="AIO122" s="172"/>
      <c r="AIP122" s="172"/>
      <c r="AIQ122" s="172"/>
      <c r="AIR122" s="172"/>
      <c r="AIS122" s="172"/>
      <c r="AIT122" s="172"/>
      <c r="AIU122" s="172"/>
      <c r="AIV122" s="172"/>
      <c r="AIW122" s="172"/>
      <c r="AIX122" s="172"/>
      <c r="AIY122" s="172"/>
      <c r="AIZ122" s="172"/>
      <c r="AJA122" s="172"/>
      <c r="AJB122" s="172"/>
      <c r="AJC122" s="172"/>
      <c r="AJD122" s="172"/>
      <c r="AJE122" s="172"/>
      <c r="AJF122" s="172"/>
      <c r="AJG122" s="172"/>
      <c r="AJH122" s="172"/>
      <c r="AJI122" s="172"/>
      <c r="AJJ122" s="172"/>
      <c r="AJK122" s="172"/>
      <c r="AJL122" s="172"/>
      <c r="AJM122" s="172"/>
      <c r="AJN122" s="172"/>
      <c r="AJO122" s="172"/>
      <c r="AJP122" s="172"/>
      <c r="AJQ122" s="172"/>
      <c r="AJR122" s="172"/>
      <c r="AJS122" s="172"/>
      <c r="AJT122" s="172"/>
      <c r="AJU122" s="172"/>
      <c r="AJV122" s="172"/>
      <c r="AJW122" s="172"/>
      <c r="AJX122" s="172"/>
      <c r="AJY122" s="172"/>
      <c r="AJZ122" s="172"/>
      <c r="AKA122" s="172"/>
      <c r="AKB122" s="172"/>
      <c r="AKC122" s="172"/>
      <c r="AKD122" s="172"/>
      <c r="AKE122" s="172"/>
      <c r="AKF122" s="172"/>
      <c r="AKG122" s="172"/>
      <c r="AKH122" s="172"/>
      <c r="AKI122" s="172"/>
      <c r="AKJ122" s="172"/>
      <c r="AKK122" s="172"/>
      <c r="AKL122" s="172"/>
      <c r="AKM122" s="172"/>
      <c r="AKN122" s="172"/>
      <c r="AKO122" s="172"/>
      <c r="AKP122" s="172"/>
      <c r="AKQ122" s="172"/>
      <c r="AKR122" s="172"/>
      <c r="AKS122" s="172"/>
      <c r="AKT122" s="172"/>
      <c r="AKU122" s="172"/>
      <c r="AKV122" s="172"/>
      <c r="AKW122" s="172"/>
      <c r="AKX122" s="172"/>
      <c r="AKY122" s="172"/>
      <c r="AKZ122" s="172"/>
      <c r="ALA122" s="172"/>
      <c r="ALB122" s="172"/>
      <c r="ALC122" s="172"/>
      <c r="ALD122" s="172"/>
      <c r="ALE122" s="172"/>
      <c r="ALF122" s="172"/>
      <c r="ALG122" s="172"/>
      <c r="ALH122" s="172"/>
      <c r="ALI122" s="172"/>
      <c r="ALJ122" s="172"/>
      <c r="ALK122" s="172"/>
      <c r="ALL122" s="172"/>
      <c r="ALM122" s="172"/>
      <c r="ALN122" s="172"/>
      <c r="ALO122" s="172"/>
      <c r="ALP122" s="172"/>
      <c r="ALQ122" s="172"/>
      <c r="ALR122" s="172"/>
      <c r="ALS122" s="172"/>
      <c r="ALT122" s="172"/>
      <c r="ALU122" s="172"/>
      <c r="ALV122" s="172"/>
      <c r="ALW122" s="172"/>
      <c r="ALX122" s="172"/>
      <c r="ALY122" s="172"/>
      <c r="ALZ122" s="172"/>
      <c r="AMA122" s="172"/>
      <c r="AMB122" s="172"/>
      <c r="AMC122" s="172"/>
      <c r="AMD122" s="172"/>
      <c r="AME122" s="172"/>
      <c r="AMF122" s="172"/>
      <c r="AMG122" s="172"/>
      <c r="AMH122" s="172"/>
      <c r="AMI122" s="172"/>
      <c r="AMJ122" s="172"/>
    </row>
    <row r="123" s="7" customFormat="true" ht="15.75" hidden="false" customHeight="true" outlineLevel="0" collapsed="false">
      <c r="B123" s="11" t="s">
        <v>112</v>
      </c>
      <c r="C123" s="11"/>
      <c r="D123" s="12"/>
      <c r="E123" s="12"/>
      <c r="F123" s="12"/>
      <c r="G123" s="178"/>
      <c r="H123" s="11" t="s">
        <v>172</v>
      </c>
      <c r="I123" s="11"/>
      <c r="J123" s="12"/>
      <c r="K123" s="12"/>
      <c r="L123" s="12"/>
    </row>
    <row r="124" s="7" customFormat="true" ht="15.75" hidden="false" customHeight="true" outlineLevel="0" collapsed="false">
      <c r="B124" s="179" t="s">
        <v>1</v>
      </c>
      <c r="C124" s="179"/>
      <c r="D124" s="180" t="s">
        <v>2</v>
      </c>
      <c r="E124" s="180" t="s">
        <v>3</v>
      </c>
      <c r="F124" s="16" t="s">
        <v>4</v>
      </c>
      <c r="G124" s="178"/>
      <c r="H124" s="179" t="s">
        <v>1</v>
      </c>
      <c r="I124" s="179"/>
      <c r="J124" s="180" t="s">
        <v>2</v>
      </c>
      <c r="K124" s="180" t="s">
        <v>3</v>
      </c>
      <c r="L124" s="16" t="s">
        <v>4</v>
      </c>
    </row>
    <row r="125" s="7" customFormat="true" ht="15.75" hidden="false" customHeight="true" outlineLevel="0" collapsed="false">
      <c r="B125" s="246" t="s">
        <v>113</v>
      </c>
      <c r="C125" s="247" t="s">
        <v>12</v>
      </c>
      <c r="D125" s="247"/>
      <c r="E125" s="247"/>
      <c r="F125" s="182" t="n">
        <v>2</v>
      </c>
      <c r="G125" s="178"/>
      <c r="H125" s="246" t="s">
        <v>113</v>
      </c>
      <c r="I125" s="247" t="s">
        <v>12</v>
      </c>
      <c r="J125" s="247"/>
      <c r="K125" s="247"/>
      <c r="L125" s="182" t="n">
        <v>2</v>
      </c>
    </row>
    <row r="126" s="7" customFormat="true" ht="15.75" hidden="false" customHeight="true" outlineLevel="0" collapsed="false">
      <c r="B126" s="246"/>
      <c r="C126" s="144" t="s">
        <v>114</v>
      </c>
      <c r="D126" s="183" t="n">
        <v>12</v>
      </c>
      <c r="E126" s="183" t="n">
        <v>1</v>
      </c>
      <c r="F126" s="182"/>
      <c r="G126" s="178"/>
      <c r="H126" s="246"/>
      <c r="I126" s="144" t="s">
        <v>114</v>
      </c>
      <c r="J126" s="183" t="n">
        <v>12</v>
      </c>
      <c r="K126" s="183" t="n">
        <v>1</v>
      </c>
      <c r="L126" s="182"/>
    </row>
    <row r="127" s="7" customFormat="true" ht="15.75" hidden="false" customHeight="true" outlineLevel="0" collapsed="false">
      <c r="B127" s="246"/>
      <c r="C127" s="29" t="s">
        <v>115</v>
      </c>
      <c r="D127" s="183" t="n">
        <v>12</v>
      </c>
      <c r="E127" s="183" t="n">
        <v>1</v>
      </c>
      <c r="F127" s="182"/>
      <c r="G127" s="24"/>
      <c r="H127" s="246"/>
      <c r="I127" s="29" t="s">
        <v>115</v>
      </c>
      <c r="J127" s="183" t="n">
        <v>12</v>
      </c>
      <c r="K127" s="183" t="n">
        <v>1</v>
      </c>
      <c r="L127" s="182"/>
    </row>
    <row r="128" s="7" customFormat="true" ht="15.75" hidden="false" customHeight="true" outlineLevel="0" collapsed="false">
      <c r="B128" s="246"/>
      <c r="C128" s="64" t="s">
        <v>116</v>
      </c>
      <c r="D128" s="183" t="n">
        <v>14</v>
      </c>
      <c r="E128" s="183" t="n">
        <v>1</v>
      </c>
      <c r="F128" s="182"/>
      <c r="G128" s="24"/>
      <c r="H128" s="246"/>
      <c r="I128" s="64" t="s">
        <v>116</v>
      </c>
      <c r="J128" s="183" t="n">
        <v>14</v>
      </c>
      <c r="K128" s="183" t="n">
        <v>1</v>
      </c>
      <c r="L128" s="182"/>
    </row>
    <row r="129" s="7" customFormat="true" ht="15.75" hidden="false" customHeight="true" outlineLevel="0" collapsed="false">
      <c r="B129" s="184" t="s">
        <v>117</v>
      </c>
      <c r="C129" s="92" t="s">
        <v>91</v>
      </c>
      <c r="D129" s="92"/>
      <c r="E129" s="92"/>
      <c r="F129" s="185" t="n">
        <v>5</v>
      </c>
      <c r="G129" s="24"/>
      <c r="H129" s="41" t="s">
        <v>173</v>
      </c>
      <c r="I129" s="92" t="s">
        <v>174</v>
      </c>
      <c r="J129" s="92"/>
      <c r="K129" s="92"/>
      <c r="L129" s="248" t="n">
        <v>2</v>
      </c>
    </row>
    <row r="130" s="7" customFormat="true" ht="15.75" hidden="false" customHeight="true" outlineLevel="0" collapsed="false">
      <c r="B130" s="184"/>
      <c r="C130" s="186" t="s">
        <v>22</v>
      </c>
      <c r="D130" s="133" t="n">
        <v>20</v>
      </c>
      <c r="E130" s="187" t="n">
        <v>2</v>
      </c>
      <c r="F130" s="185"/>
      <c r="G130" s="24"/>
      <c r="H130" s="41"/>
      <c r="I130" s="186" t="s">
        <v>175</v>
      </c>
      <c r="J130" s="133" t="n">
        <v>18</v>
      </c>
      <c r="K130" s="187" t="n">
        <v>1</v>
      </c>
      <c r="L130" s="248"/>
    </row>
    <row r="131" s="7" customFormat="true" ht="15.75" hidden="false" customHeight="true" outlineLevel="0" collapsed="false">
      <c r="B131" s="184"/>
      <c r="C131" s="188" t="s">
        <v>119</v>
      </c>
      <c r="D131" s="249" t="n">
        <v>36</v>
      </c>
      <c r="E131" s="187" t="n">
        <v>3</v>
      </c>
      <c r="F131" s="185"/>
      <c r="G131" s="24"/>
      <c r="H131" s="41"/>
      <c r="I131" s="186" t="s">
        <v>176</v>
      </c>
      <c r="J131" s="133" t="n">
        <v>20</v>
      </c>
      <c r="K131" s="187" t="n">
        <v>1</v>
      </c>
      <c r="L131" s="248"/>
    </row>
    <row r="132" s="7" customFormat="true" ht="15.75" hidden="false" customHeight="true" outlineLevel="0" collapsed="false">
      <c r="B132" s="184"/>
      <c r="C132" s="186" t="s">
        <v>120</v>
      </c>
      <c r="D132" s="190" t="n">
        <v>45</v>
      </c>
      <c r="E132" s="187" t="n">
        <v>4</v>
      </c>
      <c r="F132" s="185"/>
      <c r="G132" s="24"/>
      <c r="H132" s="165" t="s">
        <v>177</v>
      </c>
      <c r="I132" s="92" t="s">
        <v>157</v>
      </c>
      <c r="J132" s="92"/>
      <c r="K132" s="92"/>
      <c r="L132" s="248" t="n">
        <v>2</v>
      </c>
    </row>
    <row r="133" s="7" customFormat="true" ht="15.75" hidden="false" customHeight="true" outlineLevel="0" collapsed="false">
      <c r="B133" s="41" t="s">
        <v>121</v>
      </c>
      <c r="C133" s="92" t="s">
        <v>74</v>
      </c>
      <c r="D133" s="92"/>
      <c r="E133" s="92"/>
      <c r="F133" s="185" t="n">
        <v>1</v>
      </c>
      <c r="G133" s="24"/>
      <c r="H133" s="165"/>
      <c r="I133" s="250" t="s">
        <v>178</v>
      </c>
      <c r="J133" s="251" t="n">
        <v>18</v>
      </c>
      <c r="K133" s="187" t="n">
        <v>2</v>
      </c>
      <c r="L133" s="248"/>
    </row>
    <row r="134" s="7" customFormat="true" ht="15.75" hidden="false" customHeight="true" outlineLevel="0" collapsed="false">
      <c r="B134" s="41"/>
      <c r="C134" s="186" t="s">
        <v>122</v>
      </c>
      <c r="D134" s="189" t="n">
        <v>20</v>
      </c>
      <c r="E134" s="187" t="n">
        <v>1</v>
      </c>
      <c r="F134" s="185"/>
      <c r="G134" s="24"/>
      <c r="H134" s="165"/>
      <c r="I134" s="234" t="s">
        <v>179</v>
      </c>
      <c r="J134" s="252" t="n">
        <v>34</v>
      </c>
      <c r="K134" s="187" t="n">
        <v>3</v>
      </c>
      <c r="L134" s="248"/>
    </row>
    <row r="135" s="7" customFormat="true" ht="15.75" hidden="false" customHeight="true" outlineLevel="0" collapsed="false">
      <c r="B135" s="41"/>
      <c r="C135" s="186" t="s">
        <v>123</v>
      </c>
      <c r="D135" s="133" t="n">
        <v>14</v>
      </c>
      <c r="E135" s="187" t="n">
        <v>1</v>
      </c>
      <c r="F135" s="185"/>
      <c r="G135" s="24"/>
      <c r="H135" s="41" t="s">
        <v>180</v>
      </c>
      <c r="I135" s="92" t="s">
        <v>160</v>
      </c>
      <c r="J135" s="92"/>
      <c r="K135" s="92"/>
      <c r="L135" s="43" t="n">
        <v>3</v>
      </c>
    </row>
    <row r="136" s="196" customFormat="true" ht="15.75" hidden="false" customHeight="true" outlineLevel="0" collapsed="false">
      <c r="A136" s="7"/>
      <c r="B136" s="41" t="s">
        <v>124</v>
      </c>
      <c r="C136" s="92" t="s">
        <v>74</v>
      </c>
      <c r="D136" s="92"/>
      <c r="E136" s="92"/>
      <c r="F136" s="43" t="n">
        <v>2</v>
      </c>
      <c r="G136" s="24"/>
      <c r="H136" s="41"/>
      <c r="I136" s="253" t="s">
        <v>181</v>
      </c>
      <c r="J136" s="133" t="n">
        <v>34</v>
      </c>
      <c r="K136" s="187" t="n">
        <v>1</v>
      </c>
      <c r="L136" s="43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  <c r="TU136" s="7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  <c r="YJ136" s="7"/>
      <c r="YK136" s="7"/>
      <c r="YL136" s="7"/>
      <c r="YM136" s="7"/>
      <c r="YN136" s="7"/>
      <c r="YO136" s="7"/>
      <c r="YP136" s="7"/>
      <c r="YQ136" s="7"/>
      <c r="YR136" s="7"/>
      <c r="YS136" s="7"/>
      <c r="YT136" s="7"/>
      <c r="YU136" s="7"/>
      <c r="YV136" s="7"/>
      <c r="YW136" s="7"/>
      <c r="YX136" s="7"/>
      <c r="YY136" s="7"/>
      <c r="YZ136" s="7"/>
      <c r="ZA136" s="7"/>
      <c r="ZB136" s="7"/>
      <c r="ZC136" s="7"/>
      <c r="ZD136" s="7"/>
      <c r="ZE136" s="7"/>
      <c r="ZF136" s="7"/>
      <c r="ZG136" s="7"/>
      <c r="ZH136" s="7"/>
      <c r="ZI136" s="7"/>
      <c r="ZJ136" s="7"/>
      <c r="ZK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ZX136" s="7"/>
      <c r="ZY136" s="7"/>
      <c r="ZZ136" s="7"/>
      <c r="AAA136" s="7"/>
      <c r="AAB136" s="7"/>
      <c r="AAC136" s="7"/>
      <c r="AAD136" s="7"/>
      <c r="AAE136" s="7"/>
      <c r="AAF136" s="7"/>
      <c r="AAG136" s="7"/>
      <c r="AAH136" s="7"/>
      <c r="AAI136" s="7"/>
      <c r="AAJ136" s="7"/>
      <c r="AAK136" s="7"/>
      <c r="AAL136" s="7"/>
      <c r="AAM136" s="7"/>
      <c r="AAN136" s="7"/>
      <c r="AAO136" s="7"/>
      <c r="AAP136" s="7"/>
      <c r="AAQ136" s="7"/>
      <c r="AAR136" s="7"/>
      <c r="AAS136" s="7"/>
      <c r="AAT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  <c r="ABL136" s="7"/>
      <c r="ABM136" s="7"/>
      <c r="ABN136" s="7"/>
      <c r="ABO136" s="7"/>
      <c r="ABP136" s="7"/>
      <c r="ABQ136" s="7"/>
      <c r="ABR136" s="7"/>
      <c r="ABS136" s="7"/>
      <c r="ABT136" s="7"/>
      <c r="ABU136" s="7"/>
      <c r="ABV136" s="7"/>
      <c r="ABW136" s="7"/>
      <c r="ABX136" s="7"/>
      <c r="ABY136" s="7"/>
      <c r="ABZ136" s="7"/>
      <c r="ACA136" s="7"/>
      <c r="ACB136" s="7"/>
      <c r="ACC136" s="7"/>
      <c r="ACD136" s="7"/>
      <c r="ACE136" s="7"/>
      <c r="ACF136" s="7"/>
      <c r="ACG136" s="7"/>
      <c r="ACH136" s="7"/>
      <c r="ACI136" s="7"/>
      <c r="ACJ136" s="7"/>
      <c r="ACK136" s="7"/>
      <c r="ACL136" s="7"/>
      <c r="ACM136" s="7"/>
      <c r="ACN136" s="7"/>
      <c r="ACO136" s="7"/>
      <c r="ACP136" s="7"/>
      <c r="ACQ136" s="7"/>
      <c r="ACR136" s="7"/>
      <c r="ACS136" s="7"/>
      <c r="ACT136" s="7"/>
      <c r="ACU136" s="7"/>
      <c r="ACV136" s="7"/>
      <c r="ACW136" s="7"/>
      <c r="ACX136" s="7"/>
      <c r="ACY136" s="7"/>
      <c r="ACZ136" s="7"/>
      <c r="ADA136" s="7"/>
      <c r="ADB136" s="7"/>
      <c r="ADC136" s="7"/>
      <c r="ADD136" s="7"/>
      <c r="ADE136" s="7"/>
      <c r="ADF136" s="7"/>
      <c r="ADG136" s="7"/>
      <c r="ADH136" s="7"/>
      <c r="ADI136" s="7"/>
      <c r="ADJ136" s="7"/>
      <c r="ADK136" s="7"/>
      <c r="ADL136" s="7"/>
      <c r="ADM136" s="7"/>
      <c r="ADN136" s="7"/>
      <c r="ADO136" s="7"/>
      <c r="ADP136" s="7"/>
      <c r="ADQ136" s="7"/>
      <c r="ADR136" s="7"/>
      <c r="ADS136" s="7"/>
      <c r="ADT136" s="7"/>
      <c r="ADU136" s="7"/>
      <c r="ADV136" s="7"/>
      <c r="ADW136" s="7"/>
      <c r="ADX136" s="7"/>
      <c r="ADY136" s="7"/>
      <c r="ADZ136" s="7"/>
      <c r="AEA136" s="7"/>
      <c r="AEB136" s="7"/>
      <c r="AEC136" s="7"/>
      <c r="AED136" s="7"/>
      <c r="AEE136" s="7"/>
      <c r="AEF136" s="7"/>
      <c r="AEG136" s="7"/>
      <c r="AEH136" s="7"/>
      <c r="AEI136" s="7"/>
      <c r="AEJ136" s="7"/>
      <c r="AEK136" s="7"/>
      <c r="AEL136" s="7"/>
      <c r="AEM136" s="7"/>
      <c r="AEN136" s="7"/>
      <c r="AEO136" s="7"/>
      <c r="AEP136" s="7"/>
      <c r="AEQ136" s="7"/>
      <c r="AER136" s="7"/>
      <c r="AES136" s="7"/>
      <c r="AET136" s="7"/>
      <c r="AEU136" s="7"/>
      <c r="AEV136" s="7"/>
      <c r="AEW136" s="7"/>
      <c r="AEX136" s="7"/>
      <c r="AEY136" s="7"/>
      <c r="AEZ136" s="7"/>
      <c r="AFA136" s="7"/>
      <c r="AFB136" s="7"/>
      <c r="AFC136" s="7"/>
      <c r="AFD136" s="7"/>
      <c r="AFE136" s="7"/>
      <c r="AFF136" s="7"/>
      <c r="AFG136" s="7"/>
      <c r="AFH136" s="7"/>
      <c r="AFI136" s="7"/>
      <c r="AFJ136" s="7"/>
      <c r="AFK136" s="7"/>
      <c r="AFL136" s="7"/>
      <c r="AFM136" s="7"/>
      <c r="AFN136" s="7"/>
      <c r="AFO136" s="7"/>
      <c r="AFP136" s="7"/>
      <c r="AFQ136" s="7"/>
      <c r="AFR136" s="7"/>
      <c r="AFS136" s="7"/>
      <c r="AFT136" s="7"/>
      <c r="AFU136" s="7"/>
      <c r="AFV136" s="7"/>
      <c r="AFW136" s="7"/>
      <c r="AFX136" s="7"/>
      <c r="AFY136" s="7"/>
      <c r="AFZ136" s="7"/>
      <c r="AGA136" s="7"/>
      <c r="AGB136" s="7"/>
      <c r="AGC136" s="7"/>
      <c r="AGD136" s="7"/>
      <c r="AGE136" s="7"/>
      <c r="AGF136" s="7"/>
      <c r="AGG136" s="7"/>
      <c r="AGH136" s="7"/>
      <c r="AGI136" s="7"/>
      <c r="AGJ136" s="7"/>
      <c r="AGK136" s="7"/>
      <c r="AGL136" s="7"/>
      <c r="AGM136" s="7"/>
      <c r="AGN136" s="7"/>
      <c r="AGO136" s="7"/>
      <c r="AGP136" s="7"/>
      <c r="AGQ136" s="7"/>
      <c r="AGR136" s="7"/>
      <c r="AGS136" s="7"/>
      <c r="AGT136" s="7"/>
      <c r="AGU136" s="7"/>
      <c r="AGV136" s="7"/>
      <c r="AGW136" s="7"/>
      <c r="AGX136" s="7"/>
      <c r="AGY136" s="7"/>
      <c r="AGZ136" s="7"/>
      <c r="AHA136" s="7"/>
      <c r="AHB136" s="7"/>
      <c r="AHC136" s="7"/>
      <c r="AHD136" s="7"/>
      <c r="AHE136" s="7"/>
      <c r="AHF136" s="7"/>
      <c r="AHG136" s="7"/>
      <c r="AHH136" s="7"/>
      <c r="AHI136" s="7"/>
      <c r="AHJ136" s="7"/>
      <c r="AHK136" s="7"/>
      <c r="AHL136" s="7"/>
      <c r="AHM136" s="7"/>
      <c r="AHN136" s="7"/>
      <c r="AHO136" s="7"/>
      <c r="AHP136" s="7"/>
      <c r="AHQ136" s="7"/>
      <c r="AHR136" s="7"/>
      <c r="AHS136" s="7"/>
      <c r="AHT136" s="7"/>
      <c r="AHU136" s="7"/>
      <c r="AHV136" s="7"/>
      <c r="AHW136" s="7"/>
      <c r="AHX136" s="7"/>
      <c r="AHY136" s="7"/>
      <c r="AHZ136" s="7"/>
      <c r="AIA136" s="7"/>
      <c r="AIB136" s="7"/>
      <c r="AIC136" s="7"/>
      <c r="AID136" s="7"/>
      <c r="AIE136" s="7"/>
      <c r="AIF136" s="7"/>
      <c r="AIG136" s="7"/>
      <c r="AIH136" s="7"/>
      <c r="AII136" s="7"/>
      <c r="AIJ136" s="7"/>
      <c r="AIK136" s="7"/>
      <c r="AIL136" s="7"/>
      <c r="AIM136" s="7"/>
      <c r="AIN136" s="7"/>
      <c r="AIO136" s="7"/>
      <c r="AIP136" s="7"/>
      <c r="AIQ136" s="7"/>
      <c r="AIR136" s="7"/>
      <c r="AIS136" s="7"/>
      <c r="AIT136" s="7"/>
      <c r="AIU136" s="7"/>
      <c r="AIV136" s="7"/>
      <c r="AIW136" s="7"/>
      <c r="AIX136" s="7"/>
      <c r="AIY136" s="7"/>
      <c r="AIZ136" s="7"/>
      <c r="AJA136" s="7"/>
      <c r="AJB136" s="7"/>
      <c r="AJC136" s="7"/>
      <c r="AJD136" s="7"/>
      <c r="AJE136" s="7"/>
      <c r="AJF136" s="7"/>
      <c r="AJG136" s="7"/>
      <c r="AJH136" s="7"/>
      <c r="AJI136" s="7"/>
      <c r="AJJ136" s="7"/>
      <c r="AJK136" s="7"/>
      <c r="AJL136" s="7"/>
      <c r="AJM136" s="7"/>
      <c r="AJN136" s="7"/>
      <c r="AJO136" s="7"/>
      <c r="AJP136" s="7"/>
      <c r="AJQ136" s="7"/>
      <c r="AJR136" s="7"/>
      <c r="AJS136" s="7"/>
      <c r="AJT136" s="7"/>
      <c r="AJU136" s="7"/>
      <c r="AJV136" s="7"/>
      <c r="AJW136" s="7"/>
      <c r="AJX136" s="7"/>
      <c r="AJY136" s="7"/>
      <c r="AJZ136" s="7"/>
      <c r="AKA136" s="7"/>
      <c r="AKB136" s="7"/>
      <c r="AKC136" s="7"/>
      <c r="AKD136" s="7"/>
      <c r="AKE136" s="7"/>
      <c r="AKF136" s="7"/>
      <c r="AKG136" s="7"/>
      <c r="AKH136" s="7"/>
      <c r="AKI136" s="7"/>
      <c r="AKJ136" s="7"/>
      <c r="AKK136" s="7"/>
      <c r="AKL136" s="7"/>
      <c r="AKM136" s="7"/>
      <c r="AKN136" s="7"/>
      <c r="AKO136" s="7"/>
      <c r="AKP136" s="7"/>
      <c r="AKQ136" s="7"/>
      <c r="AKR136" s="7"/>
      <c r="AKS136" s="7"/>
      <c r="AKT136" s="7"/>
      <c r="AKU136" s="7"/>
      <c r="AKV136" s="7"/>
      <c r="AKW136" s="7"/>
      <c r="AKX136" s="7"/>
      <c r="AKY136" s="7"/>
      <c r="AKZ136" s="7"/>
      <c r="ALA136" s="7"/>
      <c r="ALB136" s="7"/>
      <c r="ALC136" s="7"/>
      <c r="ALD136" s="7"/>
      <c r="ALE136" s="7"/>
      <c r="ALF136" s="7"/>
      <c r="ALG136" s="7"/>
      <c r="ALH136" s="7"/>
      <c r="ALI136" s="7"/>
      <c r="ALJ136" s="7"/>
      <c r="ALK136" s="7"/>
      <c r="ALL136" s="7"/>
      <c r="ALM136" s="7"/>
      <c r="ALN136" s="7"/>
      <c r="ALO136" s="7"/>
      <c r="ALP136" s="7"/>
      <c r="ALQ136" s="7"/>
      <c r="ALR136" s="7"/>
      <c r="ALS136" s="7"/>
      <c r="ALT136" s="7"/>
      <c r="ALU136" s="7"/>
      <c r="ALV136" s="7"/>
      <c r="ALW136" s="7"/>
      <c r="ALX136" s="7"/>
      <c r="ALY136" s="7"/>
      <c r="ALZ136" s="7"/>
      <c r="AMA136" s="7"/>
      <c r="AMB136" s="7"/>
      <c r="AMC136" s="7"/>
      <c r="AMD136" s="7"/>
      <c r="AME136" s="7"/>
      <c r="AMF136" s="7"/>
      <c r="AMG136" s="7"/>
      <c r="AMH136" s="7"/>
      <c r="AMI136" s="7"/>
      <c r="AMJ136" s="7"/>
    </row>
    <row r="137" s="198" customFormat="true" ht="15.75" hidden="false" customHeight="true" outlineLevel="0" collapsed="false">
      <c r="A137" s="7"/>
      <c r="B137" s="41"/>
      <c r="C137" s="188" t="s">
        <v>125</v>
      </c>
      <c r="D137" s="189" t="n">
        <v>28</v>
      </c>
      <c r="E137" s="187" t="n">
        <v>1</v>
      </c>
      <c r="F137" s="43"/>
      <c r="G137" s="24"/>
      <c r="H137" s="41"/>
      <c r="I137" s="254" t="s">
        <v>182</v>
      </c>
      <c r="J137" s="136" t="n">
        <v>35</v>
      </c>
      <c r="K137" s="193" t="n">
        <v>1</v>
      </c>
      <c r="L137" s="4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OV137" s="7"/>
      <c r="OW137" s="7"/>
      <c r="OX137" s="7"/>
      <c r="OY137" s="7"/>
      <c r="OZ137" s="7"/>
      <c r="PA137" s="7"/>
      <c r="PB137" s="7"/>
      <c r="PC137" s="7"/>
      <c r="PD137" s="7"/>
      <c r="PE137" s="7"/>
      <c r="PF137" s="7"/>
      <c r="PG137" s="7"/>
      <c r="PH137" s="7"/>
      <c r="PI137" s="7"/>
      <c r="PJ137" s="7"/>
      <c r="PK137" s="7"/>
      <c r="PL137" s="7"/>
      <c r="PM137" s="7"/>
      <c r="PN137" s="7"/>
      <c r="PO137" s="7"/>
      <c r="PP137" s="7"/>
      <c r="PQ137" s="7"/>
      <c r="PR137" s="7"/>
      <c r="PS137" s="7"/>
      <c r="PT137" s="7"/>
      <c r="PU137" s="7"/>
      <c r="PV137" s="7"/>
      <c r="PW137" s="7"/>
      <c r="PX137" s="7"/>
      <c r="PY137" s="7"/>
      <c r="PZ137" s="7"/>
      <c r="QA137" s="7"/>
      <c r="QB137" s="7"/>
      <c r="QC137" s="7"/>
      <c r="QD137" s="7"/>
      <c r="QE137" s="7"/>
      <c r="QF137" s="7"/>
      <c r="QG137" s="7"/>
      <c r="QH137" s="7"/>
      <c r="QI137" s="7"/>
      <c r="QJ137" s="7"/>
      <c r="QK137" s="7"/>
      <c r="QL137" s="7"/>
      <c r="QM137" s="7"/>
      <c r="QN137" s="7"/>
      <c r="QO137" s="7"/>
      <c r="QP137" s="7"/>
      <c r="QQ137" s="7"/>
      <c r="QR137" s="7"/>
      <c r="QS137" s="7"/>
      <c r="QT137" s="7"/>
      <c r="QU137" s="7"/>
      <c r="QV137" s="7"/>
      <c r="QW137" s="7"/>
      <c r="QX137" s="7"/>
      <c r="QY137" s="7"/>
      <c r="QZ137" s="7"/>
      <c r="RA137" s="7"/>
      <c r="RB137" s="7"/>
      <c r="RC137" s="7"/>
      <c r="RD137" s="7"/>
      <c r="RE137" s="7"/>
      <c r="RF137" s="7"/>
      <c r="RG137" s="7"/>
      <c r="RH137" s="7"/>
      <c r="RI137" s="7"/>
      <c r="RJ137" s="7"/>
      <c r="RK137" s="7"/>
      <c r="RL137" s="7"/>
      <c r="RM137" s="7"/>
      <c r="RN137" s="7"/>
      <c r="RO137" s="7"/>
      <c r="RP137" s="7"/>
      <c r="RQ137" s="7"/>
      <c r="RR137" s="7"/>
      <c r="RS137" s="7"/>
      <c r="RT137" s="7"/>
      <c r="RU137" s="7"/>
      <c r="RV137" s="7"/>
      <c r="RW137" s="7"/>
      <c r="RX137" s="7"/>
      <c r="RY137" s="7"/>
      <c r="RZ137" s="7"/>
      <c r="SA137" s="7"/>
      <c r="SB137" s="7"/>
      <c r="SC137" s="7"/>
      <c r="SD137" s="7"/>
      <c r="SE137" s="7"/>
      <c r="SF137" s="7"/>
      <c r="SG137" s="7"/>
      <c r="SH137" s="7"/>
      <c r="SI137" s="7"/>
      <c r="SJ137" s="7"/>
      <c r="SK137" s="7"/>
      <c r="SL137" s="7"/>
      <c r="SM137" s="7"/>
      <c r="SN137" s="7"/>
      <c r="SO137" s="7"/>
      <c r="SP137" s="7"/>
      <c r="SQ137" s="7"/>
      <c r="SR137" s="7"/>
      <c r="SS137" s="7"/>
      <c r="ST137" s="7"/>
      <c r="SU137" s="7"/>
      <c r="SV137" s="7"/>
      <c r="SW137" s="7"/>
      <c r="SX137" s="7"/>
      <c r="SY137" s="7"/>
      <c r="SZ137" s="7"/>
      <c r="TA137" s="7"/>
      <c r="TB137" s="7"/>
      <c r="TC137" s="7"/>
      <c r="TD137" s="7"/>
      <c r="TE137" s="7"/>
      <c r="TF137" s="7"/>
      <c r="TG137" s="7"/>
      <c r="TH137" s="7"/>
      <c r="TI137" s="7"/>
      <c r="TJ137" s="7"/>
      <c r="TK137" s="7"/>
      <c r="TL137" s="7"/>
      <c r="TM137" s="7"/>
      <c r="TN137" s="7"/>
      <c r="TO137" s="7"/>
      <c r="TP137" s="7"/>
      <c r="TQ137" s="7"/>
      <c r="TR137" s="7"/>
      <c r="TS137" s="7"/>
      <c r="TT137" s="7"/>
      <c r="TU137" s="7"/>
      <c r="TV137" s="7"/>
      <c r="TW137" s="7"/>
      <c r="TX137" s="7"/>
      <c r="TY137" s="7"/>
      <c r="TZ137" s="7"/>
      <c r="UA137" s="7"/>
      <c r="UB137" s="7"/>
      <c r="UC137" s="7"/>
      <c r="UD137" s="7"/>
      <c r="UE137" s="7"/>
      <c r="UF137" s="7"/>
      <c r="UG137" s="7"/>
      <c r="UH137" s="7"/>
      <c r="UI137" s="7"/>
      <c r="UJ137" s="7"/>
      <c r="UK137" s="7"/>
      <c r="UL137" s="7"/>
      <c r="UM137" s="7"/>
      <c r="UN137" s="7"/>
      <c r="UO137" s="7"/>
      <c r="UP137" s="7"/>
      <c r="UQ137" s="7"/>
      <c r="UR137" s="7"/>
      <c r="US137" s="7"/>
      <c r="UT137" s="7"/>
      <c r="UU137" s="7"/>
      <c r="UV137" s="7"/>
      <c r="UW137" s="7"/>
      <c r="UX137" s="7"/>
      <c r="UY137" s="7"/>
      <c r="UZ137" s="7"/>
      <c r="VA137" s="7"/>
      <c r="VB137" s="7"/>
      <c r="VC137" s="7"/>
      <c r="VD137" s="7"/>
      <c r="VE137" s="7"/>
      <c r="VF137" s="7"/>
      <c r="VG137" s="7"/>
      <c r="VH137" s="7"/>
      <c r="VI137" s="7"/>
      <c r="VJ137" s="7"/>
      <c r="VK137" s="7"/>
      <c r="VL137" s="7"/>
      <c r="VM137" s="7"/>
      <c r="VN137" s="7"/>
      <c r="VO137" s="7"/>
      <c r="VP137" s="7"/>
      <c r="VQ137" s="7"/>
      <c r="VR137" s="7"/>
      <c r="VS137" s="7"/>
      <c r="VT137" s="7"/>
      <c r="VU137" s="7"/>
      <c r="VV137" s="7"/>
      <c r="VW137" s="7"/>
      <c r="VX137" s="7"/>
      <c r="VY137" s="7"/>
      <c r="VZ137" s="7"/>
      <c r="WA137" s="7"/>
      <c r="WB137" s="7"/>
      <c r="WC137" s="7"/>
      <c r="WD137" s="7"/>
      <c r="WE137" s="7"/>
      <c r="WF137" s="7"/>
      <c r="WG137" s="7"/>
      <c r="WH137" s="7"/>
      <c r="WI137" s="7"/>
      <c r="WJ137" s="7"/>
      <c r="WK137" s="7"/>
      <c r="WL137" s="7"/>
      <c r="WM137" s="7"/>
      <c r="WN137" s="7"/>
      <c r="WO137" s="7"/>
      <c r="WP137" s="7"/>
      <c r="WQ137" s="7"/>
      <c r="WR137" s="7"/>
      <c r="WS137" s="7"/>
      <c r="WT137" s="7"/>
      <c r="WU137" s="7"/>
      <c r="WV137" s="7"/>
      <c r="WW137" s="7"/>
      <c r="WX137" s="7"/>
      <c r="WY137" s="7"/>
      <c r="WZ137" s="7"/>
      <c r="XA137" s="7"/>
      <c r="XB137" s="7"/>
      <c r="XC137" s="7"/>
      <c r="XD137" s="7"/>
      <c r="XE137" s="7"/>
      <c r="XF137" s="7"/>
      <c r="XG137" s="7"/>
      <c r="XH137" s="7"/>
      <c r="XI137" s="7"/>
      <c r="XJ137" s="7"/>
      <c r="XK137" s="7"/>
      <c r="XL137" s="7"/>
      <c r="XM137" s="7"/>
      <c r="XN137" s="7"/>
      <c r="XO137" s="7"/>
      <c r="XP137" s="7"/>
      <c r="XQ137" s="7"/>
      <c r="XR137" s="7"/>
      <c r="XS137" s="7"/>
      <c r="XT137" s="7"/>
      <c r="XU137" s="7"/>
      <c r="XV137" s="7"/>
      <c r="XW137" s="7"/>
      <c r="XX137" s="7"/>
      <c r="XY137" s="7"/>
      <c r="XZ137" s="7"/>
      <c r="YA137" s="7"/>
      <c r="YB137" s="7"/>
      <c r="YC137" s="7"/>
      <c r="YD137" s="7"/>
      <c r="YE137" s="7"/>
      <c r="YF137" s="7"/>
      <c r="YG137" s="7"/>
      <c r="YH137" s="7"/>
      <c r="YI137" s="7"/>
      <c r="YJ137" s="7"/>
      <c r="YK137" s="7"/>
      <c r="YL137" s="7"/>
      <c r="YM137" s="7"/>
      <c r="YN137" s="7"/>
      <c r="YO137" s="7"/>
      <c r="YP137" s="7"/>
      <c r="YQ137" s="7"/>
      <c r="YR137" s="7"/>
      <c r="YS137" s="7"/>
      <c r="YT137" s="7"/>
      <c r="YU137" s="7"/>
      <c r="YV137" s="7"/>
      <c r="YW137" s="7"/>
      <c r="YX137" s="7"/>
      <c r="YY137" s="7"/>
      <c r="YZ137" s="7"/>
      <c r="ZA137" s="7"/>
      <c r="ZB137" s="7"/>
      <c r="ZC137" s="7"/>
      <c r="ZD137" s="7"/>
      <c r="ZE137" s="7"/>
      <c r="ZF137" s="7"/>
      <c r="ZG137" s="7"/>
      <c r="ZH137" s="7"/>
      <c r="ZI137" s="7"/>
      <c r="ZJ137" s="7"/>
      <c r="ZK137" s="7"/>
      <c r="ZL137" s="7"/>
      <c r="ZM137" s="7"/>
      <c r="ZN137" s="7"/>
      <c r="ZO137" s="7"/>
      <c r="ZP137" s="7"/>
      <c r="ZQ137" s="7"/>
      <c r="ZR137" s="7"/>
      <c r="ZS137" s="7"/>
      <c r="ZT137" s="7"/>
      <c r="ZU137" s="7"/>
      <c r="ZV137" s="7"/>
      <c r="ZW137" s="7"/>
      <c r="ZX137" s="7"/>
      <c r="ZY137" s="7"/>
      <c r="ZZ137" s="7"/>
      <c r="AAA137" s="7"/>
      <c r="AAB137" s="7"/>
      <c r="AAC137" s="7"/>
      <c r="AAD137" s="7"/>
      <c r="AAE137" s="7"/>
      <c r="AAF137" s="7"/>
      <c r="AAG137" s="7"/>
      <c r="AAH137" s="7"/>
      <c r="AAI137" s="7"/>
      <c r="AAJ137" s="7"/>
      <c r="AAK137" s="7"/>
      <c r="AAL137" s="7"/>
      <c r="AAM137" s="7"/>
      <c r="AAN137" s="7"/>
      <c r="AAO137" s="7"/>
      <c r="AAP137" s="7"/>
      <c r="AAQ137" s="7"/>
      <c r="AAR137" s="7"/>
      <c r="AAS137" s="7"/>
      <c r="AAT137" s="7"/>
      <c r="AAU137" s="7"/>
      <c r="AAV137" s="7"/>
      <c r="AAW137" s="7"/>
      <c r="AAX137" s="7"/>
      <c r="AAY137" s="7"/>
      <c r="AAZ137" s="7"/>
      <c r="ABA137" s="7"/>
      <c r="ABB137" s="7"/>
      <c r="ABC137" s="7"/>
      <c r="ABD137" s="7"/>
      <c r="ABE137" s="7"/>
      <c r="ABF137" s="7"/>
      <c r="ABG137" s="7"/>
      <c r="ABH137" s="7"/>
      <c r="ABI137" s="7"/>
      <c r="ABJ137" s="7"/>
      <c r="ABK137" s="7"/>
      <c r="ABL137" s="7"/>
      <c r="ABM137" s="7"/>
      <c r="ABN137" s="7"/>
      <c r="ABO137" s="7"/>
      <c r="ABP137" s="7"/>
      <c r="ABQ137" s="7"/>
      <c r="ABR137" s="7"/>
      <c r="ABS137" s="7"/>
      <c r="ABT137" s="7"/>
      <c r="ABU137" s="7"/>
      <c r="ABV137" s="7"/>
      <c r="ABW137" s="7"/>
      <c r="ABX137" s="7"/>
      <c r="ABY137" s="7"/>
      <c r="ABZ137" s="7"/>
      <c r="ACA137" s="7"/>
      <c r="ACB137" s="7"/>
      <c r="ACC137" s="7"/>
      <c r="ACD137" s="7"/>
      <c r="ACE137" s="7"/>
      <c r="ACF137" s="7"/>
      <c r="ACG137" s="7"/>
      <c r="ACH137" s="7"/>
      <c r="ACI137" s="7"/>
      <c r="ACJ137" s="7"/>
      <c r="ACK137" s="7"/>
      <c r="ACL137" s="7"/>
      <c r="ACM137" s="7"/>
      <c r="ACN137" s="7"/>
      <c r="ACO137" s="7"/>
      <c r="ACP137" s="7"/>
      <c r="ACQ137" s="7"/>
      <c r="ACR137" s="7"/>
      <c r="ACS137" s="7"/>
      <c r="ACT137" s="7"/>
      <c r="ACU137" s="7"/>
      <c r="ACV137" s="7"/>
      <c r="ACW137" s="7"/>
      <c r="ACX137" s="7"/>
      <c r="ACY137" s="7"/>
      <c r="ACZ137" s="7"/>
      <c r="ADA137" s="7"/>
      <c r="ADB137" s="7"/>
      <c r="ADC137" s="7"/>
      <c r="ADD137" s="7"/>
      <c r="ADE137" s="7"/>
      <c r="ADF137" s="7"/>
      <c r="ADG137" s="7"/>
      <c r="ADH137" s="7"/>
      <c r="ADI137" s="7"/>
      <c r="ADJ137" s="7"/>
      <c r="ADK137" s="7"/>
      <c r="ADL137" s="7"/>
      <c r="ADM137" s="7"/>
      <c r="ADN137" s="7"/>
      <c r="ADO137" s="7"/>
      <c r="ADP137" s="7"/>
      <c r="ADQ137" s="7"/>
      <c r="ADR137" s="7"/>
      <c r="ADS137" s="7"/>
      <c r="ADT137" s="7"/>
      <c r="ADU137" s="7"/>
      <c r="ADV137" s="7"/>
      <c r="ADW137" s="7"/>
      <c r="ADX137" s="7"/>
      <c r="ADY137" s="7"/>
      <c r="ADZ137" s="7"/>
      <c r="AEA137" s="7"/>
      <c r="AEB137" s="7"/>
      <c r="AEC137" s="7"/>
      <c r="AED137" s="7"/>
      <c r="AEE137" s="7"/>
      <c r="AEF137" s="7"/>
      <c r="AEG137" s="7"/>
      <c r="AEH137" s="7"/>
      <c r="AEI137" s="7"/>
      <c r="AEJ137" s="7"/>
      <c r="AEK137" s="7"/>
      <c r="AEL137" s="7"/>
      <c r="AEM137" s="7"/>
      <c r="AEN137" s="7"/>
      <c r="AEO137" s="7"/>
      <c r="AEP137" s="7"/>
      <c r="AEQ137" s="7"/>
      <c r="AER137" s="7"/>
      <c r="AES137" s="7"/>
      <c r="AET137" s="7"/>
      <c r="AEU137" s="7"/>
      <c r="AEV137" s="7"/>
      <c r="AEW137" s="7"/>
      <c r="AEX137" s="7"/>
      <c r="AEY137" s="7"/>
      <c r="AEZ137" s="7"/>
      <c r="AFA137" s="7"/>
      <c r="AFB137" s="7"/>
      <c r="AFC137" s="7"/>
      <c r="AFD137" s="7"/>
      <c r="AFE137" s="7"/>
      <c r="AFF137" s="7"/>
      <c r="AFG137" s="7"/>
      <c r="AFH137" s="7"/>
      <c r="AFI137" s="7"/>
      <c r="AFJ137" s="7"/>
      <c r="AFK137" s="7"/>
      <c r="AFL137" s="7"/>
      <c r="AFM137" s="7"/>
      <c r="AFN137" s="7"/>
      <c r="AFO137" s="7"/>
      <c r="AFP137" s="7"/>
      <c r="AFQ137" s="7"/>
      <c r="AFR137" s="7"/>
      <c r="AFS137" s="7"/>
      <c r="AFT137" s="7"/>
      <c r="AFU137" s="7"/>
      <c r="AFV137" s="7"/>
      <c r="AFW137" s="7"/>
      <c r="AFX137" s="7"/>
      <c r="AFY137" s="7"/>
      <c r="AFZ137" s="7"/>
      <c r="AGA137" s="7"/>
      <c r="AGB137" s="7"/>
      <c r="AGC137" s="7"/>
      <c r="AGD137" s="7"/>
      <c r="AGE137" s="7"/>
      <c r="AGF137" s="7"/>
      <c r="AGG137" s="7"/>
      <c r="AGH137" s="7"/>
      <c r="AGI137" s="7"/>
      <c r="AGJ137" s="7"/>
      <c r="AGK137" s="7"/>
      <c r="AGL137" s="7"/>
      <c r="AGM137" s="7"/>
      <c r="AGN137" s="7"/>
      <c r="AGO137" s="7"/>
      <c r="AGP137" s="7"/>
      <c r="AGQ137" s="7"/>
      <c r="AGR137" s="7"/>
      <c r="AGS137" s="7"/>
      <c r="AGT137" s="7"/>
      <c r="AGU137" s="7"/>
      <c r="AGV137" s="7"/>
      <c r="AGW137" s="7"/>
      <c r="AGX137" s="7"/>
      <c r="AGY137" s="7"/>
      <c r="AGZ137" s="7"/>
      <c r="AHA137" s="7"/>
      <c r="AHB137" s="7"/>
      <c r="AHC137" s="7"/>
      <c r="AHD137" s="7"/>
      <c r="AHE137" s="7"/>
      <c r="AHF137" s="7"/>
      <c r="AHG137" s="7"/>
      <c r="AHH137" s="7"/>
      <c r="AHI137" s="7"/>
      <c r="AHJ137" s="7"/>
      <c r="AHK137" s="7"/>
      <c r="AHL137" s="7"/>
      <c r="AHM137" s="7"/>
      <c r="AHN137" s="7"/>
      <c r="AHO137" s="7"/>
      <c r="AHP137" s="7"/>
      <c r="AHQ137" s="7"/>
      <c r="AHR137" s="7"/>
      <c r="AHS137" s="7"/>
      <c r="AHT137" s="7"/>
      <c r="AHU137" s="7"/>
      <c r="AHV137" s="7"/>
      <c r="AHW137" s="7"/>
      <c r="AHX137" s="7"/>
      <c r="AHY137" s="7"/>
      <c r="AHZ137" s="7"/>
      <c r="AIA137" s="7"/>
      <c r="AIB137" s="7"/>
      <c r="AIC137" s="7"/>
      <c r="AID137" s="7"/>
      <c r="AIE137" s="7"/>
      <c r="AIF137" s="7"/>
      <c r="AIG137" s="7"/>
      <c r="AIH137" s="7"/>
      <c r="AII137" s="7"/>
      <c r="AIJ137" s="7"/>
      <c r="AIK137" s="7"/>
      <c r="AIL137" s="7"/>
      <c r="AIM137" s="7"/>
      <c r="AIN137" s="7"/>
      <c r="AIO137" s="7"/>
      <c r="AIP137" s="7"/>
      <c r="AIQ137" s="7"/>
      <c r="AIR137" s="7"/>
      <c r="AIS137" s="7"/>
      <c r="AIT137" s="7"/>
      <c r="AIU137" s="7"/>
      <c r="AIV137" s="7"/>
      <c r="AIW137" s="7"/>
      <c r="AIX137" s="7"/>
      <c r="AIY137" s="7"/>
      <c r="AIZ137" s="7"/>
      <c r="AJA137" s="7"/>
      <c r="AJB137" s="7"/>
      <c r="AJC137" s="7"/>
      <c r="AJD137" s="7"/>
      <c r="AJE137" s="7"/>
      <c r="AJF137" s="7"/>
      <c r="AJG137" s="7"/>
      <c r="AJH137" s="7"/>
      <c r="AJI137" s="7"/>
      <c r="AJJ137" s="7"/>
      <c r="AJK137" s="7"/>
      <c r="AJL137" s="7"/>
      <c r="AJM137" s="7"/>
      <c r="AJN137" s="7"/>
      <c r="AJO137" s="7"/>
      <c r="AJP137" s="7"/>
      <c r="AJQ137" s="7"/>
      <c r="AJR137" s="7"/>
      <c r="AJS137" s="7"/>
      <c r="AJT137" s="7"/>
      <c r="AJU137" s="7"/>
      <c r="AJV137" s="7"/>
      <c r="AJW137" s="7"/>
      <c r="AJX137" s="7"/>
      <c r="AJY137" s="7"/>
      <c r="AJZ137" s="7"/>
      <c r="AKA137" s="7"/>
      <c r="AKB137" s="7"/>
      <c r="AKC137" s="7"/>
      <c r="AKD137" s="7"/>
      <c r="AKE137" s="7"/>
      <c r="AKF137" s="7"/>
      <c r="AKG137" s="7"/>
      <c r="AKH137" s="7"/>
      <c r="AKI137" s="7"/>
      <c r="AKJ137" s="7"/>
      <c r="AKK137" s="7"/>
      <c r="AKL137" s="7"/>
      <c r="AKM137" s="7"/>
      <c r="AKN137" s="7"/>
      <c r="AKO137" s="7"/>
      <c r="AKP137" s="7"/>
      <c r="AKQ137" s="7"/>
      <c r="AKR137" s="7"/>
      <c r="AKS137" s="7"/>
      <c r="AKT137" s="7"/>
      <c r="AKU137" s="7"/>
      <c r="AKV137" s="7"/>
      <c r="AKW137" s="7"/>
      <c r="AKX137" s="7"/>
      <c r="AKY137" s="7"/>
      <c r="AKZ137" s="7"/>
      <c r="ALA137" s="7"/>
      <c r="ALB137" s="7"/>
      <c r="ALC137" s="7"/>
      <c r="ALD137" s="7"/>
      <c r="ALE137" s="7"/>
      <c r="ALF137" s="7"/>
      <c r="ALG137" s="7"/>
      <c r="ALH137" s="7"/>
      <c r="ALI137" s="7"/>
      <c r="ALJ137" s="7"/>
      <c r="ALK137" s="7"/>
      <c r="ALL137" s="7"/>
      <c r="ALM137" s="7"/>
      <c r="ALN137" s="7"/>
      <c r="ALO137" s="7"/>
      <c r="ALP137" s="7"/>
      <c r="ALQ137" s="7"/>
      <c r="ALR137" s="7"/>
      <c r="ALS137" s="7"/>
      <c r="ALT137" s="7"/>
      <c r="ALU137" s="7"/>
      <c r="ALV137" s="7"/>
      <c r="ALW137" s="7"/>
      <c r="ALX137" s="7"/>
      <c r="ALY137" s="7"/>
      <c r="ALZ137" s="7"/>
      <c r="AMA137" s="7"/>
      <c r="AMB137" s="7"/>
      <c r="AMC137" s="7"/>
      <c r="AMD137" s="7"/>
      <c r="AME137" s="7"/>
      <c r="AMF137" s="7"/>
      <c r="AMG137" s="7"/>
      <c r="AMH137" s="7"/>
      <c r="AMI137" s="7"/>
      <c r="AMJ137" s="7"/>
    </row>
    <row r="138" s="198" customFormat="true" ht="15.75" hidden="false" customHeight="true" outlineLevel="0" collapsed="false">
      <c r="A138" s="7"/>
      <c r="B138" s="41"/>
      <c r="C138" s="188" t="s">
        <v>126</v>
      </c>
      <c r="D138" s="134" t="n">
        <v>22</v>
      </c>
      <c r="E138" s="191" t="n">
        <v>1</v>
      </c>
      <c r="F138" s="43"/>
      <c r="G138" s="24"/>
      <c r="H138" s="41" t="s">
        <v>127</v>
      </c>
      <c r="I138" s="42" t="s">
        <v>128</v>
      </c>
      <c r="J138" s="42"/>
      <c r="K138" s="42"/>
      <c r="L138" s="97" t="n">
        <v>3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  <c r="QS138" s="7"/>
      <c r="QT138" s="7"/>
      <c r="Q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RH138" s="7"/>
      <c r="RI138" s="7"/>
      <c r="RJ138" s="7"/>
      <c r="RK138" s="7"/>
      <c r="RL138" s="7"/>
      <c r="RM138" s="7"/>
      <c r="RN138" s="7"/>
      <c r="RO138" s="7"/>
      <c r="RP138" s="7"/>
      <c r="RQ138" s="7"/>
      <c r="RR138" s="7"/>
      <c r="RS138" s="7"/>
      <c r="RT138" s="7"/>
      <c r="RU138" s="7"/>
      <c r="RV138" s="7"/>
      <c r="RW138" s="7"/>
      <c r="RX138" s="7"/>
      <c r="RY138" s="7"/>
      <c r="RZ138" s="7"/>
      <c r="SA138" s="7"/>
      <c r="SB138" s="7"/>
      <c r="SC138" s="7"/>
      <c r="SD138" s="7"/>
      <c r="SE138" s="7"/>
      <c r="SF138" s="7"/>
      <c r="SG138" s="7"/>
      <c r="SH138" s="7"/>
      <c r="SI138" s="7"/>
      <c r="SJ138" s="7"/>
      <c r="SK138" s="7"/>
      <c r="SL138" s="7"/>
      <c r="SM138" s="7"/>
      <c r="SN138" s="7"/>
      <c r="SO138" s="7"/>
      <c r="SP138" s="7"/>
      <c r="SQ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TD138" s="7"/>
      <c r="TE138" s="7"/>
      <c r="TF138" s="7"/>
      <c r="TG138" s="7"/>
      <c r="TH138" s="7"/>
      <c r="TI138" s="7"/>
      <c r="TJ138" s="7"/>
      <c r="TK138" s="7"/>
      <c r="TL138" s="7"/>
      <c r="TM138" s="7"/>
      <c r="TN138" s="7"/>
      <c r="TO138" s="7"/>
      <c r="TP138" s="7"/>
      <c r="TQ138" s="7"/>
      <c r="TR138" s="7"/>
      <c r="TS138" s="7"/>
      <c r="TT138" s="7"/>
      <c r="TU138" s="7"/>
      <c r="TV138" s="7"/>
      <c r="TW138" s="7"/>
      <c r="TX138" s="7"/>
      <c r="TY138" s="7"/>
      <c r="TZ138" s="7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  <c r="YI138" s="7"/>
      <c r="YJ138" s="7"/>
      <c r="YK138" s="7"/>
      <c r="YL138" s="7"/>
      <c r="YM138" s="7"/>
      <c r="YN138" s="7"/>
      <c r="YO138" s="7"/>
      <c r="YP138" s="7"/>
      <c r="YQ138" s="7"/>
      <c r="YR138" s="7"/>
      <c r="YS138" s="7"/>
      <c r="YT138" s="7"/>
      <c r="YU138" s="7"/>
      <c r="YV138" s="7"/>
      <c r="YW138" s="7"/>
      <c r="YX138" s="7"/>
      <c r="YY138" s="7"/>
      <c r="YZ138" s="7"/>
      <c r="ZA138" s="7"/>
      <c r="ZB138" s="7"/>
      <c r="ZC138" s="7"/>
      <c r="ZD138" s="7"/>
      <c r="ZE138" s="7"/>
      <c r="ZF138" s="7"/>
      <c r="ZG138" s="7"/>
      <c r="ZH138" s="7"/>
      <c r="ZI138" s="7"/>
      <c r="ZJ138" s="7"/>
      <c r="ZK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ZX138" s="7"/>
      <c r="ZY138" s="7"/>
      <c r="ZZ138" s="7"/>
      <c r="AAA138" s="7"/>
      <c r="AAB138" s="7"/>
      <c r="AAC138" s="7"/>
      <c r="AAD138" s="7"/>
      <c r="AAE138" s="7"/>
      <c r="AAF138" s="7"/>
      <c r="AAG138" s="7"/>
      <c r="AAH138" s="7"/>
      <c r="AAI138" s="7"/>
      <c r="AAJ138" s="7"/>
      <c r="AAK138" s="7"/>
      <c r="AAL138" s="7"/>
      <c r="AAM138" s="7"/>
      <c r="AAN138" s="7"/>
      <c r="AAO138" s="7"/>
      <c r="AAP138" s="7"/>
      <c r="AAQ138" s="7"/>
      <c r="AAR138" s="7"/>
      <c r="AAS138" s="7"/>
      <c r="AAT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/>
      <c r="ABG138" s="7"/>
      <c r="ABH138" s="7"/>
      <c r="ABI138" s="7"/>
      <c r="ABJ138" s="7"/>
      <c r="ABK138" s="7"/>
      <c r="ABL138" s="7"/>
      <c r="ABM138" s="7"/>
      <c r="ABN138" s="7"/>
      <c r="ABO138" s="7"/>
      <c r="ABP138" s="7"/>
      <c r="ABQ138" s="7"/>
      <c r="ABR138" s="7"/>
      <c r="ABS138" s="7"/>
      <c r="ABT138" s="7"/>
      <c r="ABU138" s="7"/>
      <c r="ABV138" s="7"/>
      <c r="ABW138" s="7"/>
      <c r="ABX138" s="7"/>
      <c r="ABY138" s="7"/>
      <c r="ABZ138" s="7"/>
      <c r="ACA138" s="7"/>
      <c r="ACB138" s="7"/>
      <c r="ACC138" s="7"/>
      <c r="ACD138" s="7"/>
      <c r="ACE138" s="7"/>
      <c r="ACF138" s="7"/>
      <c r="ACG138" s="7"/>
      <c r="ACH138" s="7"/>
      <c r="ACI138" s="7"/>
      <c r="ACJ138" s="7"/>
      <c r="ACK138" s="7"/>
      <c r="ACL138" s="7"/>
      <c r="ACM138" s="7"/>
      <c r="ACN138" s="7"/>
      <c r="ACO138" s="7"/>
      <c r="ACP138" s="7"/>
      <c r="ACQ138" s="7"/>
      <c r="ACR138" s="7"/>
      <c r="ACS138" s="7"/>
      <c r="ACT138" s="7"/>
      <c r="ACU138" s="7"/>
      <c r="ACV138" s="7"/>
      <c r="ACW138" s="7"/>
      <c r="ACX138" s="7"/>
      <c r="ACY138" s="7"/>
      <c r="ACZ138" s="7"/>
      <c r="ADA138" s="7"/>
      <c r="ADB138" s="7"/>
      <c r="ADC138" s="7"/>
      <c r="ADD138" s="7"/>
      <c r="ADE138" s="7"/>
      <c r="ADF138" s="7"/>
      <c r="ADG138" s="7"/>
      <c r="ADH138" s="7"/>
      <c r="ADI138" s="7"/>
      <c r="ADJ138" s="7"/>
      <c r="ADK138" s="7"/>
      <c r="ADL138" s="7"/>
      <c r="ADM138" s="7"/>
      <c r="ADN138" s="7"/>
      <c r="ADO138" s="7"/>
      <c r="ADP138" s="7"/>
      <c r="ADQ138" s="7"/>
      <c r="ADR138" s="7"/>
      <c r="ADS138" s="7"/>
      <c r="ADT138" s="7"/>
      <c r="ADU138" s="7"/>
      <c r="ADV138" s="7"/>
      <c r="ADW138" s="7"/>
      <c r="ADX138" s="7"/>
      <c r="ADY138" s="7"/>
      <c r="ADZ138" s="7"/>
      <c r="AEA138" s="7"/>
      <c r="AEB138" s="7"/>
      <c r="AEC138" s="7"/>
      <c r="AED138" s="7"/>
      <c r="AEE138" s="7"/>
      <c r="AEF138" s="7"/>
      <c r="AEG138" s="7"/>
      <c r="AEH138" s="7"/>
      <c r="AEI138" s="7"/>
      <c r="AEJ138" s="7"/>
      <c r="AEK138" s="7"/>
      <c r="AEL138" s="7"/>
      <c r="AEM138" s="7"/>
      <c r="AEN138" s="7"/>
      <c r="AEO138" s="7"/>
      <c r="AEP138" s="7"/>
      <c r="AEQ138" s="7"/>
      <c r="AER138" s="7"/>
      <c r="AES138" s="7"/>
      <c r="AET138" s="7"/>
      <c r="AEU138" s="7"/>
      <c r="AEV138" s="7"/>
      <c r="AEW138" s="7"/>
      <c r="AEX138" s="7"/>
      <c r="AEY138" s="7"/>
      <c r="AEZ138" s="7"/>
      <c r="AFA138" s="7"/>
      <c r="AFB138" s="7"/>
      <c r="AFC138" s="7"/>
      <c r="AFD138" s="7"/>
      <c r="AFE138" s="7"/>
      <c r="AFF138" s="7"/>
      <c r="AFG138" s="7"/>
      <c r="AFH138" s="7"/>
      <c r="AFI138" s="7"/>
      <c r="AFJ138" s="7"/>
      <c r="AFK138" s="7"/>
      <c r="AFL138" s="7"/>
      <c r="AFM138" s="7"/>
      <c r="AFN138" s="7"/>
      <c r="AFO138" s="7"/>
      <c r="AFP138" s="7"/>
      <c r="AFQ138" s="7"/>
      <c r="AFR138" s="7"/>
      <c r="AFS138" s="7"/>
      <c r="AFT138" s="7"/>
      <c r="AFU138" s="7"/>
      <c r="AFV138" s="7"/>
      <c r="AFW138" s="7"/>
      <c r="AFX138" s="7"/>
      <c r="AFY138" s="7"/>
      <c r="AFZ138" s="7"/>
      <c r="AGA138" s="7"/>
      <c r="AGB138" s="7"/>
      <c r="AGC138" s="7"/>
      <c r="AGD138" s="7"/>
      <c r="AGE138" s="7"/>
      <c r="AGF138" s="7"/>
      <c r="AGG138" s="7"/>
      <c r="AGH138" s="7"/>
      <c r="AGI138" s="7"/>
      <c r="AGJ138" s="7"/>
      <c r="AGK138" s="7"/>
      <c r="AGL138" s="7"/>
      <c r="AGM138" s="7"/>
      <c r="AGN138" s="7"/>
      <c r="AGO138" s="7"/>
      <c r="AGP138" s="7"/>
      <c r="AGQ138" s="7"/>
      <c r="AGR138" s="7"/>
      <c r="AGS138" s="7"/>
      <c r="AGT138" s="7"/>
      <c r="AGU138" s="7"/>
      <c r="AGV138" s="7"/>
      <c r="AGW138" s="7"/>
      <c r="AGX138" s="7"/>
      <c r="AGY138" s="7"/>
      <c r="AGZ138" s="7"/>
      <c r="AHA138" s="7"/>
      <c r="AHB138" s="7"/>
      <c r="AHC138" s="7"/>
      <c r="AHD138" s="7"/>
      <c r="AHE138" s="7"/>
      <c r="AHF138" s="7"/>
      <c r="AHG138" s="7"/>
      <c r="AHH138" s="7"/>
      <c r="AHI138" s="7"/>
      <c r="AHJ138" s="7"/>
      <c r="AHK138" s="7"/>
      <c r="AHL138" s="7"/>
      <c r="AHM138" s="7"/>
      <c r="AHN138" s="7"/>
      <c r="AHO138" s="7"/>
      <c r="AHP138" s="7"/>
      <c r="AHQ138" s="7"/>
      <c r="AHR138" s="7"/>
      <c r="AHS138" s="7"/>
      <c r="AHT138" s="7"/>
      <c r="AHU138" s="7"/>
      <c r="AHV138" s="7"/>
      <c r="AHW138" s="7"/>
      <c r="AHX138" s="7"/>
      <c r="AHY138" s="7"/>
      <c r="AHZ138" s="7"/>
      <c r="AIA138" s="7"/>
      <c r="AIB138" s="7"/>
      <c r="AIC138" s="7"/>
      <c r="AID138" s="7"/>
      <c r="AIE138" s="7"/>
      <c r="AIF138" s="7"/>
      <c r="AIG138" s="7"/>
      <c r="AIH138" s="7"/>
      <c r="AII138" s="7"/>
      <c r="AIJ138" s="7"/>
      <c r="AIK138" s="7"/>
      <c r="AIL138" s="7"/>
      <c r="AIM138" s="7"/>
      <c r="AIN138" s="7"/>
      <c r="AIO138" s="7"/>
      <c r="AIP138" s="7"/>
      <c r="AIQ138" s="7"/>
      <c r="AIR138" s="7"/>
      <c r="AIS138" s="7"/>
      <c r="AIT138" s="7"/>
      <c r="AIU138" s="7"/>
      <c r="AIV138" s="7"/>
      <c r="AIW138" s="7"/>
      <c r="AIX138" s="7"/>
      <c r="AIY138" s="7"/>
      <c r="AIZ138" s="7"/>
      <c r="AJA138" s="7"/>
      <c r="AJB138" s="7"/>
      <c r="AJC138" s="7"/>
      <c r="AJD138" s="7"/>
      <c r="AJE138" s="7"/>
      <c r="AJF138" s="7"/>
      <c r="AJG138" s="7"/>
      <c r="AJH138" s="7"/>
      <c r="AJI138" s="7"/>
      <c r="AJJ138" s="7"/>
      <c r="AJK138" s="7"/>
      <c r="AJL138" s="7"/>
      <c r="AJM138" s="7"/>
      <c r="AJN138" s="7"/>
      <c r="AJO138" s="7"/>
      <c r="AJP138" s="7"/>
      <c r="AJQ138" s="7"/>
      <c r="AJR138" s="7"/>
      <c r="AJS138" s="7"/>
      <c r="AJT138" s="7"/>
      <c r="AJU138" s="7"/>
      <c r="AJV138" s="7"/>
      <c r="AJW138" s="7"/>
      <c r="AJX138" s="7"/>
      <c r="AJY138" s="7"/>
      <c r="AJZ138" s="7"/>
      <c r="AKA138" s="7"/>
      <c r="AKB138" s="7"/>
      <c r="AKC138" s="7"/>
      <c r="AKD138" s="7"/>
      <c r="AKE138" s="7"/>
      <c r="AKF138" s="7"/>
      <c r="AKG138" s="7"/>
      <c r="AKH138" s="7"/>
      <c r="AKI138" s="7"/>
      <c r="AKJ138" s="7"/>
      <c r="AKK138" s="7"/>
      <c r="AKL138" s="7"/>
      <c r="AKM138" s="7"/>
      <c r="AKN138" s="7"/>
      <c r="AKO138" s="7"/>
      <c r="AKP138" s="7"/>
      <c r="AKQ138" s="7"/>
      <c r="AKR138" s="7"/>
      <c r="AKS138" s="7"/>
      <c r="AKT138" s="7"/>
      <c r="AKU138" s="7"/>
      <c r="AKV138" s="7"/>
      <c r="AKW138" s="7"/>
      <c r="AKX138" s="7"/>
      <c r="AKY138" s="7"/>
      <c r="AKZ138" s="7"/>
      <c r="ALA138" s="7"/>
      <c r="ALB138" s="7"/>
      <c r="ALC138" s="7"/>
      <c r="ALD138" s="7"/>
      <c r="ALE138" s="7"/>
      <c r="ALF138" s="7"/>
      <c r="ALG138" s="7"/>
      <c r="ALH138" s="7"/>
      <c r="ALI138" s="7"/>
      <c r="ALJ138" s="7"/>
      <c r="ALK138" s="7"/>
      <c r="ALL138" s="7"/>
      <c r="ALM138" s="7"/>
      <c r="ALN138" s="7"/>
      <c r="ALO138" s="7"/>
      <c r="ALP138" s="7"/>
      <c r="ALQ138" s="7"/>
      <c r="ALR138" s="7"/>
      <c r="ALS138" s="7"/>
      <c r="ALT138" s="7"/>
      <c r="ALU138" s="7"/>
      <c r="ALV138" s="7"/>
      <c r="ALW138" s="7"/>
      <c r="ALX138" s="7"/>
      <c r="ALY138" s="7"/>
      <c r="ALZ138" s="7"/>
      <c r="AMA138" s="7"/>
      <c r="AMB138" s="7"/>
      <c r="AMC138" s="7"/>
      <c r="AMD138" s="7"/>
      <c r="AME138" s="7"/>
      <c r="AMF138" s="7"/>
      <c r="AMG138" s="7"/>
      <c r="AMH138" s="7"/>
      <c r="AMI138" s="7"/>
      <c r="AMJ138" s="7"/>
    </row>
    <row r="139" s="198" customFormat="true" ht="15.75" hidden="false" customHeight="true" outlineLevel="0" collapsed="false">
      <c r="A139" s="7"/>
      <c r="B139" s="41" t="s">
        <v>127</v>
      </c>
      <c r="C139" s="92" t="s">
        <v>128</v>
      </c>
      <c r="D139" s="92"/>
      <c r="E139" s="92"/>
      <c r="F139" s="43" t="n">
        <v>2</v>
      </c>
      <c r="G139" s="24"/>
      <c r="H139" s="41"/>
      <c r="I139" s="194" t="s">
        <v>129</v>
      </c>
      <c r="J139" s="195" t="n">
        <v>20</v>
      </c>
      <c r="K139" s="195" t="n">
        <v>2</v>
      </c>
      <c r="L139" s="9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PP139" s="7"/>
      <c r="PQ139" s="7"/>
      <c r="PR139" s="7"/>
      <c r="PS139" s="7"/>
      <c r="PT139" s="7"/>
      <c r="PU139" s="7"/>
      <c r="PV139" s="7"/>
      <c r="PW139" s="7"/>
      <c r="PX139" s="7"/>
      <c r="PY139" s="7"/>
      <c r="PZ139" s="7"/>
      <c r="QA139" s="7"/>
      <c r="QB139" s="7"/>
      <c r="QC139" s="7"/>
      <c r="QD139" s="7"/>
      <c r="QE139" s="7"/>
      <c r="QF139" s="7"/>
      <c r="QG139" s="7"/>
      <c r="QH139" s="7"/>
      <c r="QI139" s="7"/>
      <c r="QJ139" s="7"/>
      <c r="QK139" s="7"/>
      <c r="QL139" s="7"/>
      <c r="QM139" s="7"/>
      <c r="QN139" s="7"/>
      <c r="QO139" s="7"/>
      <c r="QP139" s="7"/>
      <c r="QQ139" s="7"/>
      <c r="QR139" s="7"/>
      <c r="QS139" s="7"/>
      <c r="QT139" s="7"/>
      <c r="QU139" s="7"/>
      <c r="QV139" s="7"/>
      <c r="QW139" s="7"/>
      <c r="QX139" s="7"/>
      <c r="QY139" s="7"/>
      <c r="QZ139" s="7"/>
      <c r="RA139" s="7"/>
      <c r="RB139" s="7"/>
      <c r="RC139" s="7"/>
      <c r="RD139" s="7"/>
      <c r="RE139" s="7"/>
      <c r="RF139" s="7"/>
      <c r="RG139" s="7"/>
      <c r="RH139" s="7"/>
      <c r="RI139" s="7"/>
      <c r="RJ139" s="7"/>
      <c r="RK139" s="7"/>
      <c r="RL139" s="7"/>
      <c r="RM139" s="7"/>
      <c r="RN139" s="7"/>
      <c r="RO139" s="7"/>
      <c r="RP139" s="7"/>
      <c r="RQ139" s="7"/>
      <c r="RR139" s="7"/>
      <c r="RS139" s="7"/>
      <c r="RT139" s="7"/>
      <c r="RU139" s="7"/>
      <c r="RV139" s="7"/>
      <c r="RW139" s="7"/>
      <c r="RX139" s="7"/>
      <c r="RY139" s="7"/>
      <c r="RZ139" s="7"/>
      <c r="SA139" s="7"/>
      <c r="SB139" s="7"/>
      <c r="SC139" s="7"/>
      <c r="SD139" s="7"/>
      <c r="SE139" s="7"/>
      <c r="SF139" s="7"/>
      <c r="SG139" s="7"/>
      <c r="SH139" s="7"/>
      <c r="SI139" s="7"/>
      <c r="SJ139" s="7"/>
      <c r="SK139" s="7"/>
      <c r="SL139" s="7"/>
      <c r="SM139" s="7"/>
      <c r="SN139" s="7"/>
      <c r="SO139" s="7"/>
      <c r="SP139" s="7"/>
      <c r="SQ139" s="7"/>
      <c r="SR139" s="7"/>
      <c r="SS139" s="7"/>
      <c r="ST139" s="7"/>
      <c r="SU139" s="7"/>
      <c r="SV139" s="7"/>
      <c r="SW139" s="7"/>
      <c r="SX139" s="7"/>
      <c r="SY139" s="7"/>
      <c r="SZ139" s="7"/>
      <c r="TA139" s="7"/>
      <c r="TB139" s="7"/>
      <c r="TC139" s="7"/>
      <c r="TD139" s="7"/>
      <c r="TE139" s="7"/>
      <c r="TF139" s="7"/>
      <c r="TG139" s="7"/>
      <c r="TH139" s="7"/>
      <c r="TI139" s="7"/>
      <c r="TJ139" s="7"/>
      <c r="TK139" s="7"/>
      <c r="TL139" s="7"/>
      <c r="TM139" s="7"/>
      <c r="TN139" s="7"/>
      <c r="TO139" s="7"/>
      <c r="TP139" s="7"/>
      <c r="TQ139" s="7"/>
      <c r="TR139" s="7"/>
      <c r="TS139" s="7"/>
      <c r="TT139" s="7"/>
      <c r="TU139" s="7"/>
      <c r="TV139" s="7"/>
      <c r="TW139" s="7"/>
      <c r="TX139" s="7"/>
      <c r="TY139" s="7"/>
      <c r="TZ139" s="7"/>
      <c r="UA139" s="7"/>
      <c r="UB139" s="7"/>
      <c r="UC139" s="7"/>
      <c r="UD139" s="7"/>
      <c r="UE139" s="7"/>
      <c r="UF139" s="7"/>
      <c r="UG139" s="7"/>
      <c r="UH139" s="7"/>
      <c r="UI139" s="7"/>
      <c r="UJ139" s="7"/>
      <c r="UK139" s="7"/>
      <c r="UL139" s="7"/>
      <c r="UM139" s="7"/>
      <c r="UN139" s="7"/>
      <c r="UO139" s="7"/>
      <c r="UP139" s="7"/>
      <c r="UQ139" s="7"/>
      <c r="UR139" s="7"/>
      <c r="US139" s="7"/>
      <c r="UT139" s="7"/>
      <c r="UU139" s="7"/>
      <c r="UV139" s="7"/>
      <c r="UW139" s="7"/>
      <c r="UX139" s="7"/>
      <c r="UY139" s="7"/>
      <c r="UZ139" s="7"/>
      <c r="VA139" s="7"/>
      <c r="VB139" s="7"/>
      <c r="VC139" s="7"/>
      <c r="VD139" s="7"/>
      <c r="VE139" s="7"/>
      <c r="VF139" s="7"/>
      <c r="VG139" s="7"/>
      <c r="VH139" s="7"/>
      <c r="VI139" s="7"/>
      <c r="VJ139" s="7"/>
      <c r="VK139" s="7"/>
      <c r="VL139" s="7"/>
      <c r="VM139" s="7"/>
      <c r="VN139" s="7"/>
      <c r="VO139" s="7"/>
      <c r="VP139" s="7"/>
      <c r="VQ139" s="7"/>
      <c r="VR139" s="7"/>
      <c r="VS139" s="7"/>
      <c r="VT139" s="7"/>
      <c r="VU139" s="7"/>
      <c r="VV139" s="7"/>
      <c r="VW139" s="7"/>
      <c r="VX139" s="7"/>
      <c r="VY139" s="7"/>
      <c r="VZ139" s="7"/>
      <c r="WA139" s="7"/>
      <c r="WB139" s="7"/>
      <c r="WC139" s="7"/>
      <c r="WD139" s="7"/>
      <c r="WE139" s="7"/>
      <c r="WF139" s="7"/>
      <c r="WG139" s="7"/>
      <c r="WH139" s="7"/>
      <c r="WI139" s="7"/>
      <c r="WJ139" s="7"/>
      <c r="WK139" s="7"/>
      <c r="WL139" s="7"/>
      <c r="WM139" s="7"/>
      <c r="WN139" s="7"/>
      <c r="WO139" s="7"/>
      <c r="WP139" s="7"/>
      <c r="WQ139" s="7"/>
      <c r="WR139" s="7"/>
      <c r="WS139" s="7"/>
      <c r="WT139" s="7"/>
      <c r="WU139" s="7"/>
      <c r="WV139" s="7"/>
      <c r="WW139" s="7"/>
      <c r="WX139" s="7"/>
      <c r="WY139" s="7"/>
      <c r="WZ139" s="7"/>
      <c r="XA139" s="7"/>
      <c r="XB139" s="7"/>
      <c r="XC139" s="7"/>
      <c r="XD139" s="7"/>
      <c r="XE139" s="7"/>
      <c r="XF139" s="7"/>
      <c r="XG139" s="7"/>
      <c r="XH139" s="7"/>
      <c r="XI139" s="7"/>
      <c r="XJ139" s="7"/>
      <c r="XK139" s="7"/>
      <c r="XL139" s="7"/>
      <c r="XM139" s="7"/>
      <c r="XN139" s="7"/>
      <c r="XO139" s="7"/>
      <c r="XP139" s="7"/>
      <c r="XQ139" s="7"/>
      <c r="XR139" s="7"/>
      <c r="XS139" s="7"/>
      <c r="XT139" s="7"/>
      <c r="XU139" s="7"/>
      <c r="XV139" s="7"/>
      <c r="XW139" s="7"/>
      <c r="XX139" s="7"/>
      <c r="XY139" s="7"/>
      <c r="XZ139" s="7"/>
      <c r="YA139" s="7"/>
      <c r="YB139" s="7"/>
      <c r="YC139" s="7"/>
      <c r="YD139" s="7"/>
      <c r="YE139" s="7"/>
      <c r="YF139" s="7"/>
      <c r="YG139" s="7"/>
      <c r="YH139" s="7"/>
      <c r="YI139" s="7"/>
      <c r="YJ139" s="7"/>
      <c r="YK139" s="7"/>
      <c r="YL139" s="7"/>
      <c r="YM139" s="7"/>
      <c r="YN139" s="7"/>
      <c r="YO139" s="7"/>
      <c r="YP139" s="7"/>
      <c r="YQ139" s="7"/>
      <c r="YR139" s="7"/>
      <c r="YS139" s="7"/>
      <c r="YT139" s="7"/>
      <c r="YU139" s="7"/>
      <c r="YV139" s="7"/>
      <c r="YW139" s="7"/>
      <c r="YX139" s="7"/>
      <c r="YY139" s="7"/>
      <c r="YZ139" s="7"/>
      <c r="ZA139" s="7"/>
      <c r="ZB139" s="7"/>
      <c r="ZC139" s="7"/>
      <c r="ZD139" s="7"/>
      <c r="ZE139" s="7"/>
      <c r="ZF139" s="7"/>
      <c r="ZG139" s="7"/>
      <c r="ZH139" s="7"/>
      <c r="ZI139" s="7"/>
      <c r="ZJ139" s="7"/>
      <c r="ZK139" s="7"/>
      <c r="ZL139" s="7"/>
      <c r="ZM139" s="7"/>
      <c r="ZN139" s="7"/>
      <c r="ZO139" s="7"/>
      <c r="ZP139" s="7"/>
      <c r="ZQ139" s="7"/>
      <c r="ZR139" s="7"/>
      <c r="ZS139" s="7"/>
      <c r="ZT139" s="7"/>
      <c r="ZU139" s="7"/>
      <c r="ZV139" s="7"/>
      <c r="ZW139" s="7"/>
      <c r="ZX139" s="7"/>
      <c r="ZY139" s="7"/>
      <c r="ZZ139" s="7"/>
      <c r="AAA139" s="7"/>
      <c r="AAB139" s="7"/>
      <c r="AAC139" s="7"/>
      <c r="AAD139" s="7"/>
      <c r="AAE139" s="7"/>
      <c r="AAF139" s="7"/>
      <c r="AAG139" s="7"/>
      <c r="AAH139" s="7"/>
      <c r="AAI139" s="7"/>
      <c r="AAJ139" s="7"/>
      <c r="AAK139" s="7"/>
      <c r="AAL139" s="7"/>
      <c r="AAM139" s="7"/>
      <c r="AAN139" s="7"/>
      <c r="AAO139" s="7"/>
      <c r="AAP139" s="7"/>
      <c r="AAQ139" s="7"/>
      <c r="AAR139" s="7"/>
      <c r="AAS139" s="7"/>
      <c r="AAT139" s="7"/>
      <c r="AAU139" s="7"/>
      <c r="AAV139" s="7"/>
      <c r="AAW139" s="7"/>
      <c r="AAX139" s="7"/>
      <c r="AAY139" s="7"/>
      <c r="AAZ139" s="7"/>
      <c r="ABA139" s="7"/>
      <c r="ABB139" s="7"/>
      <c r="ABC139" s="7"/>
      <c r="ABD139" s="7"/>
      <c r="ABE139" s="7"/>
      <c r="ABF139" s="7"/>
      <c r="ABG139" s="7"/>
      <c r="ABH139" s="7"/>
      <c r="ABI139" s="7"/>
      <c r="ABJ139" s="7"/>
      <c r="ABK139" s="7"/>
      <c r="ABL139" s="7"/>
      <c r="ABM139" s="7"/>
      <c r="ABN139" s="7"/>
      <c r="ABO139" s="7"/>
      <c r="ABP139" s="7"/>
      <c r="ABQ139" s="7"/>
      <c r="ABR139" s="7"/>
      <c r="ABS139" s="7"/>
      <c r="ABT139" s="7"/>
      <c r="ABU139" s="7"/>
      <c r="ABV139" s="7"/>
      <c r="ABW139" s="7"/>
      <c r="ABX139" s="7"/>
      <c r="ABY139" s="7"/>
      <c r="ABZ139" s="7"/>
      <c r="ACA139" s="7"/>
      <c r="ACB139" s="7"/>
      <c r="ACC139" s="7"/>
      <c r="ACD139" s="7"/>
      <c r="ACE139" s="7"/>
      <c r="ACF139" s="7"/>
      <c r="ACG139" s="7"/>
      <c r="ACH139" s="7"/>
      <c r="ACI139" s="7"/>
      <c r="ACJ139" s="7"/>
      <c r="ACK139" s="7"/>
      <c r="ACL139" s="7"/>
      <c r="ACM139" s="7"/>
      <c r="ACN139" s="7"/>
      <c r="ACO139" s="7"/>
      <c r="ACP139" s="7"/>
      <c r="ACQ139" s="7"/>
      <c r="ACR139" s="7"/>
      <c r="ACS139" s="7"/>
      <c r="ACT139" s="7"/>
      <c r="ACU139" s="7"/>
      <c r="ACV139" s="7"/>
      <c r="ACW139" s="7"/>
      <c r="ACX139" s="7"/>
      <c r="ACY139" s="7"/>
      <c r="ACZ139" s="7"/>
      <c r="ADA139" s="7"/>
      <c r="ADB139" s="7"/>
      <c r="ADC139" s="7"/>
      <c r="ADD139" s="7"/>
      <c r="ADE139" s="7"/>
      <c r="ADF139" s="7"/>
      <c r="ADG139" s="7"/>
      <c r="ADH139" s="7"/>
      <c r="ADI139" s="7"/>
      <c r="ADJ139" s="7"/>
      <c r="ADK139" s="7"/>
      <c r="ADL139" s="7"/>
      <c r="ADM139" s="7"/>
      <c r="ADN139" s="7"/>
      <c r="ADO139" s="7"/>
      <c r="ADP139" s="7"/>
      <c r="ADQ139" s="7"/>
      <c r="ADR139" s="7"/>
      <c r="ADS139" s="7"/>
      <c r="ADT139" s="7"/>
      <c r="ADU139" s="7"/>
      <c r="ADV139" s="7"/>
      <c r="ADW139" s="7"/>
      <c r="ADX139" s="7"/>
      <c r="ADY139" s="7"/>
      <c r="ADZ139" s="7"/>
      <c r="AEA139" s="7"/>
      <c r="AEB139" s="7"/>
      <c r="AEC139" s="7"/>
      <c r="AED139" s="7"/>
      <c r="AEE139" s="7"/>
      <c r="AEF139" s="7"/>
      <c r="AEG139" s="7"/>
      <c r="AEH139" s="7"/>
      <c r="AEI139" s="7"/>
      <c r="AEJ139" s="7"/>
      <c r="AEK139" s="7"/>
      <c r="AEL139" s="7"/>
      <c r="AEM139" s="7"/>
      <c r="AEN139" s="7"/>
      <c r="AEO139" s="7"/>
      <c r="AEP139" s="7"/>
      <c r="AEQ139" s="7"/>
      <c r="AER139" s="7"/>
      <c r="AES139" s="7"/>
      <c r="AET139" s="7"/>
      <c r="AEU139" s="7"/>
      <c r="AEV139" s="7"/>
      <c r="AEW139" s="7"/>
      <c r="AEX139" s="7"/>
      <c r="AEY139" s="7"/>
      <c r="AEZ139" s="7"/>
      <c r="AFA139" s="7"/>
      <c r="AFB139" s="7"/>
      <c r="AFC139" s="7"/>
      <c r="AFD139" s="7"/>
      <c r="AFE139" s="7"/>
      <c r="AFF139" s="7"/>
      <c r="AFG139" s="7"/>
      <c r="AFH139" s="7"/>
      <c r="AFI139" s="7"/>
      <c r="AFJ139" s="7"/>
      <c r="AFK139" s="7"/>
      <c r="AFL139" s="7"/>
      <c r="AFM139" s="7"/>
      <c r="AFN139" s="7"/>
      <c r="AFO139" s="7"/>
      <c r="AFP139" s="7"/>
      <c r="AFQ139" s="7"/>
      <c r="AFR139" s="7"/>
      <c r="AFS139" s="7"/>
      <c r="AFT139" s="7"/>
      <c r="AFU139" s="7"/>
      <c r="AFV139" s="7"/>
      <c r="AFW139" s="7"/>
      <c r="AFX139" s="7"/>
      <c r="AFY139" s="7"/>
      <c r="AFZ139" s="7"/>
      <c r="AGA139" s="7"/>
      <c r="AGB139" s="7"/>
      <c r="AGC139" s="7"/>
      <c r="AGD139" s="7"/>
      <c r="AGE139" s="7"/>
      <c r="AGF139" s="7"/>
      <c r="AGG139" s="7"/>
      <c r="AGH139" s="7"/>
      <c r="AGI139" s="7"/>
      <c r="AGJ139" s="7"/>
      <c r="AGK139" s="7"/>
      <c r="AGL139" s="7"/>
      <c r="AGM139" s="7"/>
      <c r="AGN139" s="7"/>
      <c r="AGO139" s="7"/>
      <c r="AGP139" s="7"/>
      <c r="AGQ139" s="7"/>
      <c r="AGR139" s="7"/>
      <c r="AGS139" s="7"/>
      <c r="AGT139" s="7"/>
      <c r="AGU139" s="7"/>
      <c r="AGV139" s="7"/>
      <c r="AGW139" s="7"/>
      <c r="AGX139" s="7"/>
      <c r="AGY139" s="7"/>
      <c r="AGZ139" s="7"/>
      <c r="AHA139" s="7"/>
      <c r="AHB139" s="7"/>
      <c r="AHC139" s="7"/>
      <c r="AHD139" s="7"/>
      <c r="AHE139" s="7"/>
      <c r="AHF139" s="7"/>
      <c r="AHG139" s="7"/>
      <c r="AHH139" s="7"/>
      <c r="AHI139" s="7"/>
      <c r="AHJ139" s="7"/>
      <c r="AHK139" s="7"/>
      <c r="AHL139" s="7"/>
      <c r="AHM139" s="7"/>
      <c r="AHN139" s="7"/>
      <c r="AHO139" s="7"/>
      <c r="AHP139" s="7"/>
      <c r="AHQ139" s="7"/>
      <c r="AHR139" s="7"/>
      <c r="AHS139" s="7"/>
      <c r="AHT139" s="7"/>
      <c r="AHU139" s="7"/>
      <c r="AHV139" s="7"/>
      <c r="AHW139" s="7"/>
      <c r="AHX139" s="7"/>
      <c r="AHY139" s="7"/>
      <c r="AHZ139" s="7"/>
      <c r="AIA139" s="7"/>
      <c r="AIB139" s="7"/>
      <c r="AIC139" s="7"/>
      <c r="AID139" s="7"/>
      <c r="AIE139" s="7"/>
      <c r="AIF139" s="7"/>
      <c r="AIG139" s="7"/>
      <c r="AIH139" s="7"/>
      <c r="AII139" s="7"/>
      <c r="AIJ139" s="7"/>
      <c r="AIK139" s="7"/>
      <c r="AIL139" s="7"/>
      <c r="AIM139" s="7"/>
      <c r="AIN139" s="7"/>
      <c r="AIO139" s="7"/>
      <c r="AIP139" s="7"/>
      <c r="AIQ139" s="7"/>
      <c r="AIR139" s="7"/>
      <c r="AIS139" s="7"/>
      <c r="AIT139" s="7"/>
      <c r="AIU139" s="7"/>
      <c r="AIV139" s="7"/>
      <c r="AIW139" s="7"/>
      <c r="AIX139" s="7"/>
      <c r="AIY139" s="7"/>
      <c r="AIZ139" s="7"/>
      <c r="AJA139" s="7"/>
      <c r="AJB139" s="7"/>
      <c r="AJC139" s="7"/>
      <c r="AJD139" s="7"/>
      <c r="AJE139" s="7"/>
      <c r="AJF139" s="7"/>
      <c r="AJG139" s="7"/>
      <c r="AJH139" s="7"/>
      <c r="AJI139" s="7"/>
      <c r="AJJ139" s="7"/>
      <c r="AJK139" s="7"/>
      <c r="AJL139" s="7"/>
      <c r="AJM139" s="7"/>
      <c r="AJN139" s="7"/>
      <c r="AJO139" s="7"/>
      <c r="AJP139" s="7"/>
      <c r="AJQ139" s="7"/>
      <c r="AJR139" s="7"/>
      <c r="AJS139" s="7"/>
      <c r="AJT139" s="7"/>
      <c r="AJU139" s="7"/>
      <c r="AJV139" s="7"/>
      <c r="AJW139" s="7"/>
      <c r="AJX139" s="7"/>
      <c r="AJY139" s="7"/>
      <c r="AJZ139" s="7"/>
      <c r="AKA139" s="7"/>
      <c r="AKB139" s="7"/>
      <c r="AKC139" s="7"/>
      <c r="AKD139" s="7"/>
      <c r="AKE139" s="7"/>
      <c r="AKF139" s="7"/>
      <c r="AKG139" s="7"/>
      <c r="AKH139" s="7"/>
      <c r="AKI139" s="7"/>
      <c r="AKJ139" s="7"/>
      <c r="AKK139" s="7"/>
      <c r="AKL139" s="7"/>
      <c r="AKM139" s="7"/>
      <c r="AKN139" s="7"/>
      <c r="AKO139" s="7"/>
      <c r="AKP139" s="7"/>
      <c r="AKQ139" s="7"/>
      <c r="AKR139" s="7"/>
      <c r="AKS139" s="7"/>
      <c r="AKT139" s="7"/>
      <c r="AKU139" s="7"/>
      <c r="AKV139" s="7"/>
      <c r="AKW139" s="7"/>
      <c r="AKX139" s="7"/>
      <c r="AKY139" s="7"/>
      <c r="AKZ139" s="7"/>
      <c r="ALA139" s="7"/>
      <c r="ALB139" s="7"/>
      <c r="ALC139" s="7"/>
      <c r="ALD139" s="7"/>
      <c r="ALE139" s="7"/>
      <c r="ALF139" s="7"/>
      <c r="ALG139" s="7"/>
      <c r="ALH139" s="7"/>
      <c r="ALI139" s="7"/>
      <c r="ALJ139" s="7"/>
      <c r="ALK139" s="7"/>
      <c r="ALL139" s="7"/>
      <c r="ALM139" s="7"/>
      <c r="ALN139" s="7"/>
      <c r="ALO139" s="7"/>
      <c r="ALP139" s="7"/>
      <c r="ALQ139" s="7"/>
      <c r="ALR139" s="7"/>
      <c r="ALS139" s="7"/>
      <c r="ALT139" s="7"/>
      <c r="ALU139" s="7"/>
      <c r="ALV139" s="7"/>
      <c r="ALW139" s="7"/>
      <c r="ALX139" s="7"/>
      <c r="ALY139" s="7"/>
      <c r="ALZ139" s="7"/>
      <c r="AMA139" s="7"/>
      <c r="AMB139" s="7"/>
      <c r="AMC139" s="7"/>
      <c r="AMD139" s="7"/>
      <c r="AME139" s="7"/>
      <c r="AMF139" s="7"/>
      <c r="AMG139" s="7"/>
      <c r="AMH139" s="7"/>
      <c r="AMI139" s="7"/>
      <c r="AMJ139" s="7"/>
    </row>
    <row r="140" s="196" customFormat="true" ht="15.75" hidden="false" customHeight="true" outlineLevel="0" collapsed="false">
      <c r="A140" s="7"/>
      <c r="B140" s="41"/>
      <c r="C140" s="186" t="s">
        <v>129</v>
      </c>
      <c r="D140" s="133" t="n">
        <v>20</v>
      </c>
      <c r="E140" s="187" t="n">
        <v>1</v>
      </c>
      <c r="F140" s="43"/>
      <c r="G140" s="24"/>
      <c r="H140" s="41"/>
      <c r="I140" s="186" t="s">
        <v>183</v>
      </c>
      <c r="J140" s="133" t="n">
        <v>30</v>
      </c>
      <c r="K140" s="187" t="n">
        <v>3</v>
      </c>
      <c r="L140" s="9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  <c r="QS140" s="7"/>
      <c r="QT140" s="7"/>
      <c r="Q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RH140" s="7"/>
      <c r="RI140" s="7"/>
      <c r="RJ140" s="7"/>
      <c r="RK140" s="7"/>
      <c r="RL140" s="7"/>
      <c r="RM140" s="7"/>
      <c r="RN140" s="7"/>
      <c r="RO140" s="7"/>
      <c r="RP140" s="7"/>
      <c r="RQ140" s="7"/>
      <c r="RR140" s="7"/>
      <c r="RS140" s="7"/>
      <c r="RT140" s="7"/>
      <c r="RU140" s="7"/>
      <c r="RV140" s="7"/>
      <c r="RW140" s="7"/>
      <c r="RX140" s="7"/>
      <c r="RY140" s="7"/>
      <c r="RZ140" s="7"/>
      <c r="SA140" s="7"/>
      <c r="SB140" s="7"/>
      <c r="SC140" s="7"/>
      <c r="SD140" s="7"/>
      <c r="SE140" s="7"/>
      <c r="SF140" s="7"/>
      <c r="SG140" s="7"/>
      <c r="SH140" s="7"/>
      <c r="SI140" s="7"/>
      <c r="SJ140" s="7"/>
      <c r="SK140" s="7"/>
      <c r="SL140" s="7"/>
      <c r="SM140" s="7"/>
      <c r="SN140" s="7"/>
      <c r="SO140" s="7"/>
      <c r="SP140" s="7"/>
      <c r="SQ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TD140" s="7"/>
      <c r="TE140" s="7"/>
      <c r="TF140" s="7"/>
      <c r="TG140" s="7"/>
      <c r="TH140" s="7"/>
      <c r="TI140" s="7"/>
      <c r="TJ140" s="7"/>
      <c r="TK140" s="7"/>
      <c r="TL140" s="7"/>
      <c r="TM140" s="7"/>
      <c r="TN140" s="7"/>
      <c r="TO140" s="7"/>
      <c r="TP140" s="7"/>
      <c r="TQ140" s="7"/>
      <c r="TR140" s="7"/>
      <c r="TS140" s="7"/>
      <c r="TT140" s="7"/>
      <c r="TU140" s="7"/>
      <c r="TV140" s="7"/>
      <c r="TW140" s="7"/>
      <c r="TX140" s="7"/>
      <c r="TY140" s="7"/>
      <c r="TZ140" s="7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  <c r="YI140" s="7"/>
      <c r="YJ140" s="7"/>
      <c r="YK140" s="7"/>
      <c r="YL140" s="7"/>
      <c r="YM140" s="7"/>
      <c r="YN140" s="7"/>
      <c r="YO140" s="7"/>
      <c r="YP140" s="7"/>
      <c r="YQ140" s="7"/>
      <c r="YR140" s="7"/>
      <c r="YS140" s="7"/>
      <c r="YT140" s="7"/>
      <c r="YU140" s="7"/>
      <c r="YV140" s="7"/>
      <c r="YW140" s="7"/>
      <c r="YX140" s="7"/>
      <c r="YY140" s="7"/>
      <c r="YZ140" s="7"/>
      <c r="ZA140" s="7"/>
      <c r="ZB140" s="7"/>
      <c r="ZC140" s="7"/>
      <c r="ZD140" s="7"/>
      <c r="ZE140" s="7"/>
      <c r="ZF140" s="7"/>
      <c r="ZG140" s="7"/>
      <c r="ZH140" s="7"/>
      <c r="ZI140" s="7"/>
      <c r="ZJ140" s="7"/>
      <c r="ZK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ZX140" s="7"/>
      <c r="ZY140" s="7"/>
      <c r="ZZ140" s="7"/>
      <c r="AAA140" s="7"/>
      <c r="AAB140" s="7"/>
      <c r="AAC140" s="7"/>
      <c r="AAD140" s="7"/>
      <c r="AAE140" s="7"/>
      <c r="AAF140" s="7"/>
      <c r="AAG140" s="7"/>
      <c r="AAH140" s="7"/>
      <c r="AAI140" s="7"/>
      <c r="AAJ140" s="7"/>
      <c r="AAK140" s="7"/>
      <c r="AAL140" s="7"/>
      <c r="AAM140" s="7"/>
      <c r="AAN140" s="7"/>
      <c r="AAO140" s="7"/>
      <c r="AAP140" s="7"/>
      <c r="AAQ140" s="7"/>
      <c r="AAR140" s="7"/>
      <c r="AAS140" s="7"/>
      <c r="AAT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  <c r="ABL140" s="7"/>
      <c r="ABM140" s="7"/>
      <c r="ABN140" s="7"/>
      <c r="ABO140" s="7"/>
      <c r="ABP140" s="7"/>
      <c r="ABQ140" s="7"/>
      <c r="ABR140" s="7"/>
      <c r="ABS140" s="7"/>
      <c r="ABT140" s="7"/>
      <c r="ABU140" s="7"/>
      <c r="ABV140" s="7"/>
      <c r="ABW140" s="7"/>
      <c r="ABX140" s="7"/>
      <c r="ABY140" s="7"/>
      <c r="ABZ140" s="7"/>
      <c r="ACA140" s="7"/>
      <c r="ACB140" s="7"/>
      <c r="ACC140" s="7"/>
      <c r="ACD140" s="7"/>
      <c r="ACE140" s="7"/>
      <c r="ACF140" s="7"/>
      <c r="ACG140" s="7"/>
      <c r="ACH140" s="7"/>
      <c r="ACI140" s="7"/>
      <c r="ACJ140" s="7"/>
      <c r="ACK140" s="7"/>
      <c r="ACL140" s="7"/>
      <c r="ACM140" s="7"/>
      <c r="ACN140" s="7"/>
      <c r="ACO140" s="7"/>
      <c r="ACP140" s="7"/>
      <c r="ACQ140" s="7"/>
      <c r="ACR140" s="7"/>
      <c r="ACS140" s="7"/>
      <c r="ACT140" s="7"/>
      <c r="ACU140" s="7"/>
      <c r="ACV140" s="7"/>
      <c r="ACW140" s="7"/>
      <c r="ACX140" s="7"/>
      <c r="ACY140" s="7"/>
      <c r="ACZ140" s="7"/>
      <c r="ADA140" s="7"/>
      <c r="ADB140" s="7"/>
      <c r="ADC140" s="7"/>
      <c r="ADD140" s="7"/>
      <c r="ADE140" s="7"/>
      <c r="ADF140" s="7"/>
      <c r="ADG140" s="7"/>
      <c r="ADH140" s="7"/>
      <c r="ADI140" s="7"/>
      <c r="ADJ140" s="7"/>
      <c r="ADK140" s="7"/>
      <c r="ADL140" s="7"/>
      <c r="ADM140" s="7"/>
      <c r="ADN140" s="7"/>
      <c r="ADO140" s="7"/>
      <c r="ADP140" s="7"/>
      <c r="ADQ140" s="7"/>
      <c r="ADR140" s="7"/>
      <c r="ADS140" s="7"/>
      <c r="ADT140" s="7"/>
      <c r="ADU140" s="7"/>
      <c r="ADV140" s="7"/>
      <c r="ADW140" s="7"/>
      <c r="ADX140" s="7"/>
      <c r="ADY140" s="7"/>
      <c r="ADZ140" s="7"/>
      <c r="AEA140" s="7"/>
      <c r="AEB140" s="7"/>
      <c r="AEC140" s="7"/>
      <c r="AED140" s="7"/>
      <c r="AEE140" s="7"/>
      <c r="AEF140" s="7"/>
      <c r="AEG140" s="7"/>
      <c r="AEH140" s="7"/>
      <c r="AEI140" s="7"/>
      <c r="AEJ140" s="7"/>
      <c r="AEK140" s="7"/>
      <c r="AEL140" s="7"/>
      <c r="AEM140" s="7"/>
      <c r="AEN140" s="7"/>
      <c r="AEO140" s="7"/>
      <c r="AEP140" s="7"/>
      <c r="AEQ140" s="7"/>
      <c r="AER140" s="7"/>
      <c r="AES140" s="7"/>
      <c r="AET140" s="7"/>
      <c r="AEU140" s="7"/>
      <c r="AEV140" s="7"/>
      <c r="AEW140" s="7"/>
      <c r="AEX140" s="7"/>
      <c r="AEY140" s="7"/>
      <c r="AEZ140" s="7"/>
      <c r="AFA140" s="7"/>
      <c r="AFB140" s="7"/>
      <c r="AFC140" s="7"/>
      <c r="AFD140" s="7"/>
      <c r="AFE140" s="7"/>
      <c r="AFF140" s="7"/>
      <c r="AFG140" s="7"/>
      <c r="AFH140" s="7"/>
      <c r="AFI140" s="7"/>
      <c r="AFJ140" s="7"/>
      <c r="AFK140" s="7"/>
      <c r="AFL140" s="7"/>
      <c r="AFM140" s="7"/>
      <c r="AFN140" s="7"/>
      <c r="AFO140" s="7"/>
      <c r="AFP140" s="7"/>
      <c r="AFQ140" s="7"/>
      <c r="AFR140" s="7"/>
      <c r="AFS140" s="7"/>
      <c r="AFT140" s="7"/>
      <c r="AFU140" s="7"/>
      <c r="AFV140" s="7"/>
      <c r="AFW140" s="7"/>
      <c r="AFX140" s="7"/>
      <c r="AFY140" s="7"/>
      <c r="AFZ140" s="7"/>
      <c r="AGA140" s="7"/>
      <c r="AGB140" s="7"/>
      <c r="AGC140" s="7"/>
      <c r="AGD140" s="7"/>
      <c r="AGE140" s="7"/>
      <c r="AGF140" s="7"/>
      <c r="AGG140" s="7"/>
      <c r="AGH140" s="7"/>
      <c r="AGI140" s="7"/>
      <c r="AGJ140" s="7"/>
      <c r="AGK140" s="7"/>
      <c r="AGL140" s="7"/>
      <c r="AGM140" s="7"/>
      <c r="AGN140" s="7"/>
      <c r="AGO140" s="7"/>
      <c r="AGP140" s="7"/>
      <c r="AGQ140" s="7"/>
      <c r="AGR140" s="7"/>
      <c r="AGS140" s="7"/>
      <c r="AGT140" s="7"/>
      <c r="AGU140" s="7"/>
      <c r="AGV140" s="7"/>
      <c r="AGW140" s="7"/>
      <c r="AGX140" s="7"/>
      <c r="AGY140" s="7"/>
      <c r="AGZ140" s="7"/>
      <c r="AHA140" s="7"/>
      <c r="AHB140" s="7"/>
      <c r="AHC140" s="7"/>
      <c r="AHD140" s="7"/>
      <c r="AHE140" s="7"/>
      <c r="AHF140" s="7"/>
      <c r="AHG140" s="7"/>
      <c r="AHH140" s="7"/>
      <c r="AHI140" s="7"/>
      <c r="AHJ140" s="7"/>
      <c r="AHK140" s="7"/>
      <c r="AHL140" s="7"/>
      <c r="AHM140" s="7"/>
      <c r="AHN140" s="7"/>
      <c r="AHO140" s="7"/>
      <c r="AHP140" s="7"/>
      <c r="AHQ140" s="7"/>
      <c r="AHR140" s="7"/>
      <c r="AHS140" s="7"/>
      <c r="AHT140" s="7"/>
      <c r="AHU140" s="7"/>
      <c r="AHV140" s="7"/>
      <c r="AHW140" s="7"/>
      <c r="AHX140" s="7"/>
      <c r="AHY140" s="7"/>
      <c r="AHZ140" s="7"/>
      <c r="AIA140" s="7"/>
      <c r="AIB140" s="7"/>
      <c r="AIC140" s="7"/>
      <c r="AID140" s="7"/>
      <c r="AIE140" s="7"/>
      <c r="AIF140" s="7"/>
      <c r="AIG140" s="7"/>
      <c r="AIH140" s="7"/>
      <c r="AII140" s="7"/>
      <c r="AIJ140" s="7"/>
      <c r="AIK140" s="7"/>
      <c r="AIL140" s="7"/>
      <c r="AIM140" s="7"/>
      <c r="AIN140" s="7"/>
      <c r="AIO140" s="7"/>
      <c r="AIP140" s="7"/>
      <c r="AIQ140" s="7"/>
      <c r="AIR140" s="7"/>
      <c r="AIS140" s="7"/>
      <c r="AIT140" s="7"/>
      <c r="AIU140" s="7"/>
      <c r="AIV140" s="7"/>
      <c r="AIW140" s="7"/>
      <c r="AIX140" s="7"/>
      <c r="AIY140" s="7"/>
      <c r="AIZ140" s="7"/>
      <c r="AJA140" s="7"/>
      <c r="AJB140" s="7"/>
      <c r="AJC140" s="7"/>
      <c r="AJD140" s="7"/>
      <c r="AJE140" s="7"/>
      <c r="AJF140" s="7"/>
      <c r="AJG140" s="7"/>
      <c r="AJH140" s="7"/>
      <c r="AJI140" s="7"/>
      <c r="AJJ140" s="7"/>
      <c r="AJK140" s="7"/>
      <c r="AJL140" s="7"/>
      <c r="AJM140" s="7"/>
      <c r="AJN140" s="7"/>
      <c r="AJO140" s="7"/>
      <c r="AJP140" s="7"/>
      <c r="AJQ140" s="7"/>
      <c r="AJR140" s="7"/>
      <c r="AJS140" s="7"/>
      <c r="AJT140" s="7"/>
      <c r="AJU140" s="7"/>
      <c r="AJV140" s="7"/>
      <c r="AJW140" s="7"/>
      <c r="AJX140" s="7"/>
      <c r="AJY140" s="7"/>
      <c r="AJZ140" s="7"/>
      <c r="AKA140" s="7"/>
      <c r="AKB140" s="7"/>
      <c r="AKC140" s="7"/>
      <c r="AKD140" s="7"/>
      <c r="AKE140" s="7"/>
      <c r="AKF140" s="7"/>
      <c r="AKG140" s="7"/>
      <c r="AKH140" s="7"/>
      <c r="AKI140" s="7"/>
      <c r="AKJ140" s="7"/>
      <c r="AKK140" s="7"/>
      <c r="AKL140" s="7"/>
      <c r="AKM140" s="7"/>
      <c r="AKN140" s="7"/>
      <c r="AKO140" s="7"/>
      <c r="AKP140" s="7"/>
      <c r="AKQ140" s="7"/>
      <c r="AKR140" s="7"/>
      <c r="AKS140" s="7"/>
      <c r="AKT140" s="7"/>
      <c r="AKU140" s="7"/>
      <c r="AKV140" s="7"/>
      <c r="AKW140" s="7"/>
      <c r="AKX140" s="7"/>
      <c r="AKY140" s="7"/>
      <c r="AKZ140" s="7"/>
      <c r="ALA140" s="7"/>
      <c r="ALB140" s="7"/>
      <c r="ALC140" s="7"/>
      <c r="ALD140" s="7"/>
      <c r="ALE140" s="7"/>
      <c r="ALF140" s="7"/>
      <c r="ALG140" s="7"/>
      <c r="ALH140" s="7"/>
      <c r="ALI140" s="7"/>
      <c r="ALJ140" s="7"/>
      <c r="ALK140" s="7"/>
      <c r="ALL140" s="7"/>
      <c r="ALM140" s="7"/>
      <c r="ALN140" s="7"/>
      <c r="ALO140" s="7"/>
      <c r="ALP140" s="7"/>
      <c r="ALQ140" s="7"/>
      <c r="ALR140" s="7"/>
      <c r="ALS140" s="7"/>
      <c r="ALT140" s="7"/>
      <c r="ALU140" s="7"/>
      <c r="ALV140" s="7"/>
      <c r="ALW140" s="7"/>
      <c r="ALX140" s="7"/>
      <c r="ALY140" s="7"/>
      <c r="ALZ140" s="7"/>
      <c r="AMA140" s="7"/>
      <c r="AMB140" s="7"/>
      <c r="AMC140" s="7"/>
      <c r="AMD140" s="7"/>
      <c r="AME140" s="7"/>
      <c r="AMF140" s="7"/>
      <c r="AMG140" s="7"/>
      <c r="AMH140" s="7"/>
      <c r="AMI140" s="7"/>
      <c r="AMJ140" s="7"/>
    </row>
    <row r="141" s="196" customFormat="true" ht="15.75" hidden="false" customHeight="true" outlineLevel="0" collapsed="false">
      <c r="A141" s="7"/>
      <c r="B141" s="41"/>
      <c r="C141" s="192" t="s">
        <v>130</v>
      </c>
      <c r="D141" s="136" t="n">
        <v>20</v>
      </c>
      <c r="E141" s="193" t="n">
        <v>1</v>
      </c>
      <c r="F141" s="43"/>
      <c r="G141" s="24"/>
      <c r="H141" s="41"/>
      <c r="I141" s="168" t="s">
        <v>184</v>
      </c>
      <c r="J141" s="47" t="n">
        <v>16</v>
      </c>
      <c r="K141" s="197" t="n">
        <v>2</v>
      </c>
      <c r="L141" s="9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OV141" s="7"/>
      <c r="OW141" s="7"/>
      <c r="OX141" s="7"/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PP141" s="7"/>
      <c r="PQ141" s="7"/>
      <c r="PR141" s="7"/>
      <c r="PS141" s="7"/>
      <c r="PT141" s="7"/>
      <c r="PU141" s="7"/>
      <c r="PV141" s="7"/>
      <c r="PW141" s="7"/>
      <c r="PX141" s="7"/>
      <c r="PY141" s="7"/>
      <c r="PZ141" s="7"/>
      <c r="QA141" s="7"/>
      <c r="QB141" s="7"/>
      <c r="QC141" s="7"/>
      <c r="QD141" s="7"/>
      <c r="QE141" s="7"/>
      <c r="QF141" s="7"/>
      <c r="QG141" s="7"/>
      <c r="QH141" s="7"/>
      <c r="QI141" s="7"/>
      <c r="QJ141" s="7"/>
      <c r="QK141" s="7"/>
      <c r="QL141" s="7"/>
      <c r="QM141" s="7"/>
      <c r="QN141" s="7"/>
      <c r="QO141" s="7"/>
      <c r="QP141" s="7"/>
      <c r="QQ141" s="7"/>
      <c r="QR141" s="7"/>
      <c r="QS141" s="7"/>
      <c r="QT141" s="7"/>
      <c r="QU141" s="7"/>
      <c r="QV141" s="7"/>
      <c r="QW141" s="7"/>
      <c r="QX141" s="7"/>
      <c r="QY141" s="7"/>
      <c r="QZ141" s="7"/>
      <c r="RA141" s="7"/>
      <c r="RB141" s="7"/>
      <c r="RC141" s="7"/>
      <c r="RD141" s="7"/>
      <c r="RE141" s="7"/>
      <c r="RF141" s="7"/>
      <c r="RG141" s="7"/>
      <c r="RH141" s="7"/>
      <c r="RI141" s="7"/>
      <c r="RJ141" s="7"/>
      <c r="RK141" s="7"/>
      <c r="RL141" s="7"/>
      <c r="RM141" s="7"/>
      <c r="RN141" s="7"/>
      <c r="RO141" s="7"/>
      <c r="RP141" s="7"/>
      <c r="RQ141" s="7"/>
      <c r="RR141" s="7"/>
      <c r="RS141" s="7"/>
      <c r="RT141" s="7"/>
      <c r="RU141" s="7"/>
      <c r="RV141" s="7"/>
      <c r="RW141" s="7"/>
      <c r="RX141" s="7"/>
      <c r="RY141" s="7"/>
      <c r="RZ141" s="7"/>
      <c r="SA141" s="7"/>
      <c r="SB141" s="7"/>
      <c r="SC141" s="7"/>
      <c r="SD141" s="7"/>
      <c r="SE141" s="7"/>
      <c r="SF141" s="7"/>
      <c r="SG141" s="7"/>
      <c r="SH141" s="7"/>
      <c r="SI141" s="7"/>
      <c r="SJ141" s="7"/>
      <c r="SK141" s="7"/>
      <c r="SL141" s="7"/>
      <c r="SM141" s="7"/>
      <c r="SN141" s="7"/>
      <c r="SO141" s="7"/>
      <c r="SP141" s="7"/>
      <c r="SQ141" s="7"/>
      <c r="SR141" s="7"/>
      <c r="SS141" s="7"/>
      <c r="ST141" s="7"/>
      <c r="SU141" s="7"/>
      <c r="SV141" s="7"/>
      <c r="SW141" s="7"/>
      <c r="SX141" s="7"/>
      <c r="SY141" s="7"/>
      <c r="SZ141" s="7"/>
      <c r="TA141" s="7"/>
      <c r="TB141" s="7"/>
      <c r="TC141" s="7"/>
      <c r="TD141" s="7"/>
      <c r="TE141" s="7"/>
      <c r="TF141" s="7"/>
      <c r="TG141" s="7"/>
      <c r="TH141" s="7"/>
      <c r="TI141" s="7"/>
      <c r="TJ141" s="7"/>
      <c r="TK141" s="7"/>
      <c r="TL141" s="7"/>
      <c r="TM141" s="7"/>
      <c r="TN141" s="7"/>
      <c r="TO141" s="7"/>
      <c r="TP141" s="7"/>
      <c r="TQ141" s="7"/>
      <c r="TR141" s="7"/>
      <c r="TS141" s="7"/>
      <c r="TT141" s="7"/>
      <c r="TU141" s="7"/>
      <c r="TV141" s="7"/>
      <c r="TW141" s="7"/>
      <c r="TX141" s="7"/>
      <c r="TY141" s="7"/>
      <c r="TZ141" s="7"/>
      <c r="UA141" s="7"/>
      <c r="UB141" s="7"/>
      <c r="UC141" s="7"/>
      <c r="UD141" s="7"/>
      <c r="UE141" s="7"/>
      <c r="UF141" s="7"/>
      <c r="UG141" s="7"/>
      <c r="UH141" s="7"/>
      <c r="UI141" s="7"/>
      <c r="UJ141" s="7"/>
      <c r="UK141" s="7"/>
      <c r="UL141" s="7"/>
      <c r="UM141" s="7"/>
      <c r="UN141" s="7"/>
      <c r="UO141" s="7"/>
      <c r="UP141" s="7"/>
      <c r="UQ141" s="7"/>
      <c r="UR141" s="7"/>
      <c r="US141" s="7"/>
      <c r="UT141" s="7"/>
      <c r="UU141" s="7"/>
      <c r="UV141" s="7"/>
      <c r="UW141" s="7"/>
      <c r="UX141" s="7"/>
      <c r="UY141" s="7"/>
      <c r="UZ141" s="7"/>
      <c r="VA141" s="7"/>
      <c r="VB141" s="7"/>
      <c r="VC141" s="7"/>
      <c r="VD141" s="7"/>
      <c r="VE141" s="7"/>
      <c r="VF141" s="7"/>
      <c r="VG141" s="7"/>
      <c r="VH141" s="7"/>
      <c r="VI141" s="7"/>
      <c r="VJ141" s="7"/>
      <c r="VK141" s="7"/>
      <c r="VL141" s="7"/>
      <c r="VM141" s="7"/>
      <c r="VN141" s="7"/>
      <c r="VO141" s="7"/>
      <c r="VP141" s="7"/>
      <c r="VQ141" s="7"/>
      <c r="VR141" s="7"/>
      <c r="VS141" s="7"/>
      <c r="VT141" s="7"/>
      <c r="VU141" s="7"/>
      <c r="VV141" s="7"/>
      <c r="VW141" s="7"/>
      <c r="VX141" s="7"/>
      <c r="VY141" s="7"/>
      <c r="VZ141" s="7"/>
      <c r="WA141" s="7"/>
      <c r="WB141" s="7"/>
      <c r="WC141" s="7"/>
      <c r="WD141" s="7"/>
      <c r="WE141" s="7"/>
      <c r="WF141" s="7"/>
      <c r="WG141" s="7"/>
      <c r="WH141" s="7"/>
      <c r="WI141" s="7"/>
      <c r="WJ141" s="7"/>
      <c r="WK141" s="7"/>
      <c r="WL141" s="7"/>
      <c r="WM141" s="7"/>
      <c r="WN141" s="7"/>
      <c r="WO141" s="7"/>
      <c r="WP141" s="7"/>
      <c r="WQ141" s="7"/>
      <c r="WR141" s="7"/>
      <c r="WS141" s="7"/>
      <c r="WT141" s="7"/>
      <c r="WU141" s="7"/>
      <c r="WV141" s="7"/>
      <c r="WW141" s="7"/>
      <c r="WX141" s="7"/>
      <c r="WY141" s="7"/>
      <c r="WZ141" s="7"/>
      <c r="XA141" s="7"/>
      <c r="XB141" s="7"/>
      <c r="XC141" s="7"/>
      <c r="XD141" s="7"/>
      <c r="XE141" s="7"/>
      <c r="XF141" s="7"/>
      <c r="XG141" s="7"/>
      <c r="XH141" s="7"/>
      <c r="XI141" s="7"/>
      <c r="XJ141" s="7"/>
      <c r="XK141" s="7"/>
      <c r="XL141" s="7"/>
      <c r="XM141" s="7"/>
      <c r="XN141" s="7"/>
      <c r="XO141" s="7"/>
      <c r="XP141" s="7"/>
      <c r="XQ141" s="7"/>
      <c r="XR141" s="7"/>
      <c r="XS141" s="7"/>
      <c r="XT141" s="7"/>
      <c r="XU141" s="7"/>
      <c r="XV141" s="7"/>
      <c r="XW141" s="7"/>
      <c r="XX141" s="7"/>
      <c r="XY141" s="7"/>
      <c r="XZ141" s="7"/>
      <c r="YA141" s="7"/>
      <c r="YB141" s="7"/>
      <c r="YC141" s="7"/>
      <c r="YD141" s="7"/>
      <c r="YE141" s="7"/>
      <c r="YF141" s="7"/>
      <c r="YG141" s="7"/>
      <c r="YH141" s="7"/>
      <c r="YI141" s="7"/>
      <c r="YJ141" s="7"/>
      <c r="YK141" s="7"/>
      <c r="YL141" s="7"/>
      <c r="YM141" s="7"/>
      <c r="YN141" s="7"/>
      <c r="YO141" s="7"/>
      <c r="YP141" s="7"/>
      <c r="YQ141" s="7"/>
      <c r="YR141" s="7"/>
      <c r="YS141" s="7"/>
      <c r="YT141" s="7"/>
      <c r="YU141" s="7"/>
      <c r="YV141" s="7"/>
      <c r="YW141" s="7"/>
      <c r="YX141" s="7"/>
      <c r="YY141" s="7"/>
      <c r="YZ141" s="7"/>
      <c r="ZA141" s="7"/>
      <c r="ZB141" s="7"/>
      <c r="ZC141" s="7"/>
      <c r="ZD141" s="7"/>
      <c r="ZE141" s="7"/>
      <c r="ZF141" s="7"/>
      <c r="ZG141" s="7"/>
      <c r="ZH141" s="7"/>
      <c r="ZI141" s="7"/>
      <c r="ZJ141" s="7"/>
      <c r="ZK141" s="7"/>
      <c r="ZL141" s="7"/>
      <c r="ZM141" s="7"/>
      <c r="ZN141" s="7"/>
      <c r="ZO141" s="7"/>
      <c r="ZP141" s="7"/>
      <c r="ZQ141" s="7"/>
      <c r="ZR141" s="7"/>
      <c r="ZS141" s="7"/>
      <c r="ZT141" s="7"/>
      <c r="ZU141" s="7"/>
      <c r="ZV141" s="7"/>
      <c r="ZW141" s="7"/>
      <c r="ZX141" s="7"/>
      <c r="ZY141" s="7"/>
      <c r="ZZ141" s="7"/>
      <c r="AAA141" s="7"/>
      <c r="AAB141" s="7"/>
      <c r="AAC141" s="7"/>
      <c r="AAD141" s="7"/>
      <c r="AAE141" s="7"/>
      <c r="AAF141" s="7"/>
      <c r="AAG141" s="7"/>
      <c r="AAH141" s="7"/>
      <c r="AAI141" s="7"/>
      <c r="AAJ141" s="7"/>
      <c r="AAK141" s="7"/>
      <c r="AAL141" s="7"/>
      <c r="AAM141" s="7"/>
      <c r="AAN141" s="7"/>
      <c r="AAO141" s="7"/>
      <c r="AAP141" s="7"/>
      <c r="AAQ141" s="7"/>
      <c r="AAR141" s="7"/>
      <c r="AAS141" s="7"/>
      <c r="AAT141" s="7"/>
      <c r="AAU141" s="7"/>
      <c r="AAV141" s="7"/>
      <c r="AAW141" s="7"/>
      <c r="AAX141" s="7"/>
      <c r="AAY141" s="7"/>
      <c r="AAZ141" s="7"/>
      <c r="ABA141" s="7"/>
      <c r="ABB141" s="7"/>
      <c r="ABC141" s="7"/>
      <c r="ABD141" s="7"/>
      <c r="ABE141" s="7"/>
      <c r="ABF141" s="7"/>
      <c r="ABG141" s="7"/>
      <c r="ABH141" s="7"/>
      <c r="ABI141" s="7"/>
      <c r="ABJ141" s="7"/>
      <c r="ABK141" s="7"/>
      <c r="ABL141" s="7"/>
      <c r="ABM141" s="7"/>
      <c r="ABN141" s="7"/>
      <c r="ABO141" s="7"/>
      <c r="ABP141" s="7"/>
      <c r="ABQ141" s="7"/>
      <c r="ABR141" s="7"/>
      <c r="ABS141" s="7"/>
      <c r="ABT141" s="7"/>
      <c r="ABU141" s="7"/>
      <c r="ABV141" s="7"/>
      <c r="ABW141" s="7"/>
      <c r="ABX141" s="7"/>
      <c r="ABY141" s="7"/>
      <c r="ABZ141" s="7"/>
      <c r="ACA141" s="7"/>
      <c r="ACB141" s="7"/>
      <c r="ACC141" s="7"/>
      <c r="ACD141" s="7"/>
      <c r="ACE141" s="7"/>
      <c r="ACF141" s="7"/>
      <c r="ACG141" s="7"/>
      <c r="ACH141" s="7"/>
      <c r="ACI141" s="7"/>
      <c r="ACJ141" s="7"/>
      <c r="ACK141" s="7"/>
      <c r="ACL141" s="7"/>
      <c r="ACM141" s="7"/>
      <c r="ACN141" s="7"/>
      <c r="ACO141" s="7"/>
      <c r="ACP141" s="7"/>
      <c r="ACQ141" s="7"/>
      <c r="ACR141" s="7"/>
      <c r="ACS141" s="7"/>
      <c r="ACT141" s="7"/>
      <c r="ACU141" s="7"/>
      <c r="ACV141" s="7"/>
      <c r="ACW141" s="7"/>
      <c r="ACX141" s="7"/>
      <c r="ACY141" s="7"/>
      <c r="ACZ141" s="7"/>
      <c r="ADA141" s="7"/>
      <c r="ADB141" s="7"/>
      <c r="ADC141" s="7"/>
      <c r="ADD141" s="7"/>
      <c r="ADE141" s="7"/>
      <c r="ADF141" s="7"/>
      <c r="ADG141" s="7"/>
      <c r="ADH141" s="7"/>
      <c r="ADI141" s="7"/>
      <c r="ADJ141" s="7"/>
      <c r="ADK141" s="7"/>
      <c r="ADL141" s="7"/>
      <c r="ADM141" s="7"/>
      <c r="ADN141" s="7"/>
      <c r="ADO141" s="7"/>
      <c r="ADP141" s="7"/>
      <c r="ADQ141" s="7"/>
      <c r="ADR141" s="7"/>
      <c r="ADS141" s="7"/>
      <c r="ADT141" s="7"/>
      <c r="ADU141" s="7"/>
      <c r="ADV141" s="7"/>
      <c r="ADW141" s="7"/>
      <c r="ADX141" s="7"/>
      <c r="ADY141" s="7"/>
      <c r="ADZ141" s="7"/>
      <c r="AEA141" s="7"/>
      <c r="AEB141" s="7"/>
      <c r="AEC141" s="7"/>
      <c r="AED141" s="7"/>
      <c r="AEE141" s="7"/>
      <c r="AEF141" s="7"/>
      <c r="AEG141" s="7"/>
      <c r="AEH141" s="7"/>
      <c r="AEI141" s="7"/>
      <c r="AEJ141" s="7"/>
      <c r="AEK141" s="7"/>
      <c r="AEL141" s="7"/>
      <c r="AEM141" s="7"/>
      <c r="AEN141" s="7"/>
      <c r="AEO141" s="7"/>
      <c r="AEP141" s="7"/>
      <c r="AEQ141" s="7"/>
      <c r="AER141" s="7"/>
      <c r="AES141" s="7"/>
      <c r="AET141" s="7"/>
      <c r="AEU141" s="7"/>
      <c r="AEV141" s="7"/>
      <c r="AEW141" s="7"/>
      <c r="AEX141" s="7"/>
      <c r="AEY141" s="7"/>
      <c r="AEZ141" s="7"/>
      <c r="AFA141" s="7"/>
      <c r="AFB141" s="7"/>
      <c r="AFC141" s="7"/>
      <c r="AFD141" s="7"/>
      <c r="AFE141" s="7"/>
      <c r="AFF141" s="7"/>
      <c r="AFG141" s="7"/>
      <c r="AFH141" s="7"/>
      <c r="AFI141" s="7"/>
      <c r="AFJ141" s="7"/>
      <c r="AFK141" s="7"/>
      <c r="AFL141" s="7"/>
      <c r="AFM141" s="7"/>
      <c r="AFN141" s="7"/>
      <c r="AFO141" s="7"/>
      <c r="AFP141" s="7"/>
      <c r="AFQ141" s="7"/>
      <c r="AFR141" s="7"/>
      <c r="AFS141" s="7"/>
      <c r="AFT141" s="7"/>
      <c r="AFU141" s="7"/>
      <c r="AFV141" s="7"/>
      <c r="AFW141" s="7"/>
      <c r="AFX141" s="7"/>
      <c r="AFY141" s="7"/>
      <c r="AFZ141" s="7"/>
      <c r="AGA141" s="7"/>
      <c r="AGB141" s="7"/>
      <c r="AGC141" s="7"/>
      <c r="AGD141" s="7"/>
      <c r="AGE141" s="7"/>
      <c r="AGF141" s="7"/>
      <c r="AGG141" s="7"/>
      <c r="AGH141" s="7"/>
      <c r="AGI141" s="7"/>
      <c r="AGJ141" s="7"/>
      <c r="AGK141" s="7"/>
      <c r="AGL141" s="7"/>
      <c r="AGM141" s="7"/>
      <c r="AGN141" s="7"/>
      <c r="AGO141" s="7"/>
      <c r="AGP141" s="7"/>
      <c r="AGQ141" s="7"/>
      <c r="AGR141" s="7"/>
      <c r="AGS141" s="7"/>
      <c r="AGT141" s="7"/>
      <c r="AGU141" s="7"/>
      <c r="AGV141" s="7"/>
      <c r="AGW141" s="7"/>
      <c r="AGX141" s="7"/>
      <c r="AGY141" s="7"/>
      <c r="AGZ141" s="7"/>
      <c r="AHA141" s="7"/>
      <c r="AHB141" s="7"/>
      <c r="AHC141" s="7"/>
      <c r="AHD141" s="7"/>
      <c r="AHE141" s="7"/>
      <c r="AHF141" s="7"/>
      <c r="AHG141" s="7"/>
      <c r="AHH141" s="7"/>
      <c r="AHI141" s="7"/>
      <c r="AHJ141" s="7"/>
      <c r="AHK141" s="7"/>
      <c r="AHL141" s="7"/>
      <c r="AHM141" s="7"/>
      <c r="AHN141" s="7"/>
      <c r="AHO141" s="7"/>
      <c r="AHP141" s="7"/>
      <c r="AHQ141" s="7"/>
      <c r="AHR141" s="7"/>
      <c r="AHS141" s="7"/>
      <c r="AHT141" s="7"/>
      <c r="AHU141" s="7"/>
      <c r="AHV141" s="7"/>
      <c r="AHW141" s="7"/>
      <c r="AHX141" s="7"/>
      <c r="AHY141" s="7"/>
      <c r="AHZ141" s="7"/>
      <c r="AIA141" s="7"/>
      <c r="AIB141" s="7"/>
      <c r="AIC141" s="7"/>
      <c r="AID141" s="7"/>
      <c r="AIE141" s="7"/>
      <c r="AIF141" s="7"/>
      <c r="AIG141" s="7"/>
      <c r="AIH141" s="7"/>
      <c r="AII141" s="7"/>
      <c r="AIJ141" s="7"/>
      <c r="AIK141" s="7"/>
      <c r="AIL141" s="7"/>
      <c r="AIM141" s="7"/>
      <c r="AIN141" s="7"/>
      <c r="AIO141" s="7"/>
      <c r="AIP141" s="7"/>
      <c r="AIQ141" s="7"/>
      <c r="AIR141" s="7"/>
      <c r="AIS141" s="7"/>
      <c r="AIT141" s="7"/>
      <c r="AIU141" s="7"/>
      <c r="AIV141" s="7"/>
      <c r="AIW141" s="7"/>
      <c r="AIX141" s="7"/>
      <c r="AIY141" s="7"/>
      <c r="AIZ141" s="7"/>
      <c r="AJA141" s="7"/>
      <c r="AJB141" s="7"/>
      <c r="AJC141" s="7"/>
      <c r="AJD141" s="7"/>
      <c r="AJE141" s="7"/>
      <c r="AJF141" s="7"/>
      <c r="AJG141" s="7"/>
      <c r="AJH141" s="7"/>
      <c r="AJI141" s="7"/>
      <c r="AJJ141" s="7"/>
      <c r="AJK141" s="7"/>
      <c r="AJL141" s="7"/>
      <c r="AJM141" s="7"/>
      <c r="AJN141" s="7"/>
      <c r="AJO141" s="7"/>
      <c r="AJP141" s="7"/>
      <c r="AJQ141" s="7"/>
      <c r="AJR141" s="7"/>
      <c r="AJS141" s="7"/>
      <c r="AJT141" s="7"/>
      <c r="AJU141" s="7"/>
      <c r="AJV141" s="7"/>
      <c r="AJW141" s="7"/>
      <c r="AJX141" s="7"/>
      <c r="AJY141" s="7"/>
      <c r="AJZ141" s="7"/>
      <c r="AKA141" s="7"/>
      <c r="AKB141" s="7"/>
      <c r="AKC141" s="7"/>
      <c r="AKD141" s="7"/>
      <c r="AKE141" s="7"/>
      <c r="AKF141" s="7"/>
      <c r="AKG141" s="7"/>
      <c r="AKH141" s="7"/>
      <c r="AKI141" s="7"/>
      <c r="AKJ141" s="7"/>
      <c r="AKK141" s="7"/>
      <c r="AKL141" s="7"/>
      <c r="AKM141" s="7"/>
      <c r="AKN141" s="7"/>
      <c r="AKO141" s="7"/>
      <c r="AKP141" s="7"/>
      <c r="AKQ141" s="7"/>
      <c r="AKR141" s="7"/>
      <c r="AKS141" s="7"/>
      <c r="AKT141" s="7"/>
      <c r="AKU141" s="7"/>
      <c r="AKV141" s="7"/>
      <c r="AKW141" s="7"/>
      <c r="AKX141" s="7"/>
      <c r="AKY141" s="7"/>
      <c r="AKZ141" s="7"/>
      <c r="ALA141" s="7"/>
      <c r="ALB141" s="7"/>
      <c r="ALC141" s="7"/>
      <c r="ALD141" s="7"/>
      <c r="ALE141" s="7"/>
      <c r="ALF141" s="7"/>
      <c r="ALG141" s="7"/>
      <c r="ALH141" s="7"/>
      <c r="ALI141" s="7"/>
      <c r="ALJ141" s="7"/>
      <c r="ALK141" s="7"/>
      <c r="ALL141" s="7"/>
      <c r="ALM141" s="7"/>
      <c r="ALN141" s="7"/>
      <c r="ALO141" s="7"/>
      <c r="ALP141" s="7"/>
      <c r="ALQ141" s="7"/>
      <c r="ALR141" s="7"/>
      <c r="ALS141" s="7"/>
      <c r="ALT141" s="7"/>
      <c r="ALU141" s="7"/>
      <c r="ALV141" s="7"/>
      <c r="ALW141" s="7"/>
      <c r="ALX141" s="7"/>
      <c r="ALY141" s="7"/>
      <c r="ALZ141" s="7"/>
      <c r="AMA141" s="7"/>
      <c r="AMB141" s="7"/>
      <c r="AMC141" s="7"/>
      <c r="AMD141" s="7"/>
      <c r="AME141" s="7"/>
      <c r="AMF141" s="7"/>
      <c r="AMG141" s="7"/>
      <c r="AMH141" s="7"/>
      <c r="AMI141" s="7"/>
      <c r="AMJ141" s="7"/>
    </row>
    <row r="142" s="196" customFormat="true" ht="15.75" hidden="false" customHeight="true" outlineLevel="0" collapsed="false">
      <c r="A142" s="7"/>
      <c r="B142" s="41" t="s">
        <v>131</v>
      </c>
      <c r="C142" s="42" t="s">
        <v>101</v>
      </c>
      <c r="D142" s="42"/>
      <c r="E142" s="42"/>
      <c r="F142" s="97" t="n">
        <f aca="false">6+1</f>
        <v>7</v>
      </c>
      <c r="G142" s="24"/>
      <c r="H142" s="41" t="s">
        <v>131</v>
      </c>
      <c r="I142" s="42" t="s">
        <v>101</v>
      </c>
      <c r="J142" s="42"/>
      <c r="K142" s="42"/>
      <c r="L142" s="97" t="n">
        <f aca="false">6+1</f>
        <v>7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  <c r="QS142" s="7"/>
      <c r="QT142" s="7"/>
      <c r="Q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RH142" s="7"/>
      <c r="RI142" s="7"/>
      <c r="RJ142" s="7"/>
      <c r="RK142" s="7"/>
      <c r="RL142" s="7"/>
      <c r="RM142" s="7"/>
      <c r="RN142" s="7"/>
      <c r="RO142" s="7"/>
      <c r="RP142" s="7"/>
      <c r="RQ142" s="7"/>
      <c r="RR142" s="7"/>
      <c r="RS142" s="7"/>
      <c r="RT142" s="7"/>
      <c r="RU142" s="7"/>
      <c r="RV142" s="7"/>
      <c r="RW142" s="7"/>
      <c r="RX142" s="7"/>
      <c r="RY142" s="7"/>
      <c r="RZ142" s="7"/>
      <c r="SA142" s="7"/>
      <c r="SB142" s="7"/>
      <c r="SC142" s="7"/>
      <c r="SD142" s="7"/>
      <c r="SE142" s="7"/>
      <c r="SF142" s="7"/>
      <c r="SG142" s="7"/>
      <c r="SH142" s="7"/>
      <c r="SI142" s="7"/>
      <c r="SJ142" s="7"/>
      <c r="SK142" s="7"/>
      <c r="SL142" s="7"/>
      <c r="SM142" s="7"/>
      <c r="SN142" s="7"/>
      <c r="SO142" s="7"/>
      <c r="SP142" s="7"/>
      <c r="SQ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TD142" s="7"/>
      <c r="TE142" s="7"/>
      <c r="TF142" s="7"/>
      <c r="TG142" s="7"/>
      <c r="TH142" s="7"/>
      <c r="TI142" s="7"/>
      <c r="TJ142" s="7"/>
      <c r="TK142" s="7"/>
      <c r="TL142" s="7"/>
      <c r="TM142" s="7"/>
      <c r="TN142" s="7"/>
      <c r="TO142" s="7"/>
      <c r="TP142" s="7"/>
      <c r="TQ142" s="7"/>
      <c r="TR142" s="7"/>
      <c r="TS142" s="7"/>
      <c r="TT142" s="7"/>
      <c r="TU142" s="7"/>
      <c r="TV142" s="7"/>
      <c r="TW142" s="7"/>
      <c r="TX142" s="7"/>
      <c r="TY142" s="7"/>
      <c r="TZ142" s="7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  <c r="YI142" s="7"/>
      <c r="YJ142" s="7"/>
      <c r="YK142" s="7"/>
      <c r="YL142" s="7"/>
      <c r="YM142" s="7"/>
      <c r="YN142" s="7"/>
      <c r="YO142" s="7"/>
      <c r="YP142" s="7"/>
      <c r="YQ142" s="7"/>
      <c r="YR142" s="7"/>
      <c r="YS142" s="7"/>
      <c r="YT142" s="7"/>
      <c r="YU142" s="7"/>
      <c r="YV142" s="7"/>
      <c r="YW142" s="7"/>
      <c r="YX142" s="7"/>
      <c r="YY142" s="7"/>
      <c r="YZ142" s="7"/>
      <c r="ZA142" s="7"/>
      <c r="ZB142" s="7"/>
      <c r="ZC142" s="7"/>
      <c r="ZD142" s="7"/>
      <c r="ZE142" s="7"/>
      <c r="ZF142" s="7"/>
      <c r="ZG142" s="7"/>
      <c r="ZH142" s="7"/>
      <c r="ZI142" s="7"/>
      <c r="ZJ142" s="7"/>
      <c r="ZK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ZX142" s="7"/>
      <c r="ZY142" s="7"/>
      <c r="ZZ142" s="7"/>
      <c r="AAA142" s="7"/>
      <c r="AAB142" s="7"/>
      <c r="AAC142" s="7"/>
      <c r="AAD142" s="7"/>
      <c r="AAE142" s="7"/>
      <c r="AAF142" s="7"/>
      <c r="AAG142" s="7"/>
      <c r="AAH142" s="7"/>
      <c r="AAI142" s="7"/>
      <c r="AAJ142" s="7"/>
      <c r="AAK142" s="7"/>
      <c r="AAL142" s="7"/>
      <c r="AAM142" s="7"/>
      <c r="AAN142" s="7"/>
      <c r="AAO142" s="7"/>
      <c r="AAP142" s="7"/>
      <c r="AAQ142" s="7"/>
      <c r="AAR142" s="7"/>
      <c r="AAS142" s="7"/>
      <c r="AAT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  <c r="ABL142" s="7"/>
      <c r="ABM142" s="7"/>
      <c r="ABN142" s="7"/>
      <c r="ABO142" s="7"/>
      <c r="ABP142" s="7"/>
      <c r="ABQ142" s="7"/>
      <c r="ABR142" s="7"/>
      <c r="ABS142" s="7"/>
      <c r="ABT142" s="7"/>
      <c r="ABU142" s="7"/>
      <c r="ABV142" s="7"/>
      <c r="ABW142" s="7"/>
      <c r="ABX142" s="7"/>
      <c r="ABY142" s="7"/>
      <c r="ABZ142" s="7"/>
      <c r="ACA142" s="7"/>
      <c r="ACB142" s="7"/>
      <c r="ACC142" s="7"/>
      <c r="ACD142" s="7"/>
      <c r="ACE142" s="7"/>
      <c r="ACF142" s="7"/>
      <c r="ACG142" s="7"/>
      <c r="ACH142" s="7"/>
      <c r="ACI142" s="7"/>
      <c r="ACJ142" s="7"/>
      <c r="ACK142" s="7"/>
      <c r="ACL142" s="7"/>
      <c r="ACM142" s="7"/>
      <c r="ACN142" s="7"/>
      <c r="ACO142" s="7"/>
      <c r="ACP142" s="7"/>
      <c r="ACQ142" s="7"/>
      <c r="ACR142" s="7"/>
      <c r="ACS142" s="7"/>
      <c r="ACT142" s="7"/>
      <c r="ACU142" s="7"/>
      <c r="ACV142" s="7"/>
      <c r="ACW142" s="7"/>
      <c r="ACX142" s="7"/>
      <c r="ACY142" s="7"/>
      <c r="ACZ142" s="7"/>
      <c r="ADA142" s="7"/>
      <c r="ADB142" s="7"/>
      <c r="ADC142" s="7"/>
      <c r="ADD142" s="7"/>
      <c r="ADE142" s="7"/>
      <c r="ADF142" s="7"/>
      <c r="ADG142" s="7"/>
      <c r="ADH142" s="7"/>
      <c r="ADI142" s="7"/>
      <c r="ADJ142" s="7"/>
      <c r="ADK142" s="7"/>
      <c r="ADL142" s="7"/>
      <c r="ADM142" s="7"/>
      <c r="ADN142" s="7"/>
      <c r="ADO142" s="7"/>
      <c r="ADP142" s="7"/>
      <c r="ADQ142" s="7"/>
      <c r="ADR142" s="7"/>
      <c r="ADS142" s="7"/>
      <c r="ADT142" s="7"/>
      <c r="ADU142" s="7"/>
      <c r="ADV142" s="7"/>
      <c r="ADW142" s="7"/>
      <c r="ADX142" s="7"/>
      <c r="ADY142" s="7"/>
      <c r="ADZ142" s="7"/>
      <c r="AEA142" s="7"/>
      <c r="AEB142" s="7"/>
      <c r="AEC142" s="7"/>
      <c r="AED142" s="7"/>
      <c r="AEE142" s="7"/>
      <c r="AEF142" s="7"/>
      <c r="AEG142" s="7"/>
      <c r="AEH142" s="7"/>
      <c r="AEI142" s="7"/>
      <c r="AEJ142" s="7"/>
      <c r="AEK142" s="7"/>
      <c r="AEL142" s="7"/>
      <c r="AEM142" s="7"/>
      <c r="AEN142" s="7"/>
      <c r="AEO142" s="7"/>
      <c r="AEP142" s="7"/>
      <c r="AEQ142" s="7"/>
      <c r="AER142" s="7"/>
      <c r="AES142" s="7"/>
      <c r="AET142" s="7"/>
      <c r="AEU142" s="7"/>
      <c r="AEV142" s="7"/>
      <c r="AEW142" s="7"/>
      <c r="AEX142" s="7"/>
      <c r="AEY142" s="7"/>
      <c r="AEZ142" s="7"/>
      <c r="AFA142" s="7"/>
      <c r="AFB142" s="7"/>
      <c r="AFC142" s="7"/>
      <c r="AFD142" s="7"/>
      <c r="AFE142" s="7"/>
      <c r="AFF142" s="7"/>
      <c r="AFG142" s="7"/>
      <c r="AFH142" s="7"/>
      <c r="AFI142" s="7"/>
      <c r="AFJ142" s="7"/>
      <c r="AFK142" s="7"/>
      <c r="AFL142" s="7"/>
      <c r="AFM142" s="7"/>
      <c r="AFN142" s="7"/>
      <c r="AFO142" s="7"/>
      <c r="AFP142" s="7"/>
      <c r="AFQ142" s="7"/>
      <c r="AFR142" s="7"/>
      <c r="AFS142" s="7"/>
      <c r="AFT142" s="7"/>
      <c r="AFU142" s="7"/>
      <c r="AFV142" s="7"/>
      <c r="AFW142" s="7"/>
      <c r="AFX142" s="7"/>
      <c r="AFY142" s="7"/>
      <c r="AFZ142" s="7"/>
      <c r="AGA142" s="7"/>
      <c r="AGB142" s="7"/>
      <c r="AGC142" s="7"/>
      <c r="AGD142" s="7"/>
      <c r="AGE142" s="7"/>
      <c r="AGF142" s="7"/>
      <c r="AGG142" s="7"/>
      <c r="AGH142" s="7"/>
      <c r="AGI142" s="7"/>
      <c r="AGJ142" s="7"/>
      <c r="AGK142" s="7"/>
      <c r="AGL142" s="7"/>
      <c r="AGM142" s="7"/>
      <c r="AGN142" s="7"/>
      <c r="AGO142" s="7"/>
      <c r="AGP142" s="7"/>
      <c r="AGQ142" s="7"/>
      <c r="AGR142" s="7"/>
      <c r="AGS142" s="7"/>
      <c r="AGT142" s="7"/>
      <c r="AGU142" s="7"/>
      <c r="AGV142" s="7"/>
      <c r="AGW142" s="7"/>
      <c r="AGX142" s="7"/>
      <c r="AGY142" s="7"/>
      <c r="AGZ142" s="7"/>
      <c r="AHA142" s="7"/>
      <c r="AHB142" s="7"/>
      <c r="AHC142" s="7"/>
      <c r="AHD142" s="7"/>
      <c r="AHE142" s="7"/>
      <c r="AHF142" s="7"/>
      <c r="AHG142" s="7"/>
      <c r="AHH142" s="7"/>
      <c r="AHI142" s="7"/>
      <c r="AHJ142" s="7"/>
      <c r="AHK142" s="7"/>
      <c r="AHL142" s="7"/>
      <c r="AHM142" s="7"/>
      <c r="AHN142" s="7"/>
      <c r="AHO142" s="7"/>
      <c r="AHP142" s="7"/>
      <c r="AHQ142" s="7"/>
      <c r="AHR142" s="7"/>
      <c r="AHS142" s="7"/>
      <c r="AHT142" s="7"/>
      <c r="AHU142" s="7"/>
      <c r="AHV142" s="7"/>
      <c r="AHW142" s="7"/>
      <c r="AHX142" s="7"/>
      <c r="AHY142" s="7"/>
      <c r="AHZ142" s="7"/>
      <c r="AIA142" s="7"/>
      <c r="AIB142" s="7"/>
      <c r="AIC142" s="7"/>
      <c r="AID142" s="7"/>
      <c r="AIE142" s="7"/>
      <c r="AIF142" s="7"/>
      <c r="AIG142" s="7"/>
      <c r="AIH142" s="7"/>
      <c r="AII142" s="7"/>
      <c r="AIJ142" s="7"/>
      <c r="AIK142" s="7"/>
      <c r="AIL142" s="7"/>
      <c r="AIM142" s="7"/>
      <c r="AIN142" s="7"/>
      <c r="AIO142" s="7"/>
      <c r="AIP142" s="7"/>
      <c r="AIQ142" s="7"/>
      <c r="AIR142" s="7"/>
      <c r="AIS142" s="7"/>
      <c r="AIT142" s="7"/>
      <c r="AIU142" s="7"/>
      <c r="AIV142" s="7"/>
      <c r="AIW142" s="7"/>
      <c r="AIX142" s="7"/>
      <c r="AIY142" s="7"/>
      <c r="AIZ142" s="7"/>
      <c r="AJA142" s="7"/>
      <c r="AJB142" s="7"/>
      <c r="AJC142" s="7"/>
      <c r="AJD142" s="7"/>
      <c r="AJE142" s="7"/>
      <c r="AJF142" s="7"/>
      <c r="AJG142" s="7"/>
      <c r="AJH142" s="7"/>
      <c r="AJI142" s="7"/>
      <c r="AJJ142" s="7"/>
      <c r="AJK142" s="7"/>
      <c r="AJL142" s="7"/>
      <c r="AJM142" s="7"/>
      <c r="AJN142" s="7"/>
      <c r="AJO142" s="7"/>
      <c r="AJP142" s="7"/>
      <c r="AJQ142" s="7"/>
      <c r="AJR142" s="7"/>
      <c r="AJS142" s="7"/>
      <c r="AJT142" s="7"/>
      <c r="AJU142" s="7"/>
      <c r="AJV142" s="7"/>
      <c r="AJW142" s="7"/>
      <c r="AJX142" s="7"/>
      <c r="AJY142" s="7"/>
      <c r="AJZ142" s="7"/>
      <c r="AKA142" s="7"/>
      <c r="AKB142" s="7"/>
      <c r="AKC142" s="7"/>
      <c r="AKD142" s="7"/>
      <c r="AKE142" s="7"/>
      <c r="AKF142" s="7"/>
      <c r="AKG142" s="7"/>
      <c r="AKH142" s="7"/>
      <c r="AKI142" s="7"/>
      <c r="AKJ142" s="7"/>
      <c r="AKK142" s="7"/>
      <c r="AKL142" s="7"/>
      <c r="AKM142" s="7"/>
      <c r="AKN142" s="7"/>
      <c r="AKO142" s="7"/>
      <c r="AKP142" s="7"/>
      <c r="AKQ142" s="7"/>
      <c r="AKR142" s="7"/>
      <c r="AKS142" s="7"/>
      <c r="AKT142" s="7"/>
      <c r="AKU142" s="7"/>
      <c r="AKV142" s="7"/>
      <c r="AKW142" s="7"/>
      <c r="AKX142" s="7"/>
      <c r="AKY142" s="7"/>
      <c r="AKZ142" s="7"/>
      <c r="ALA142" s="7"/>
      <c r="ALB142" s="7"/>
      <c r="ALC142" s="7"/>
      <c r="ALD142" s="7"/>
      <c r="ALE142" s="7"/>
      <c r="ALF142" s="7"/>
      <c r="ALG142" s="7"/>
      <c r="ALH142" s="7"/>
      <c r="ALI142" s="7"/>
      <c r="ALJ142" s="7"/>
      <c r="ALK142" s="7"/>
      <c r="ALL142" s="7"/>
      <c r="ALM142" s="7"/>
      <c r="ALN142" s="7"/>
      <c r="ALO142" s="7"/>
      <c r="ALP142" s="7"/>
      <c r="ALQ142" s="7"/>
      <c r="ALR142" s="7"/>
      <c r="ALS142" s="7"/>
      <c r="ALT142" s="7"/>
      <c r="ALU142" s="7"/>
      <c r="ALV142" s="7"/>
      <c r="ALW142" s="7"/>
      <c r="ALX142" s="7"/>
      <c r="ALY142" s="7"/>
      <c r="ALZ142" s="7"/>
      <c r="AMA142" s="7"/>
      <c r="AMB142" s="7"/>
      <c r="AMC142" s="7"/>
      <c r="AMD142" s="7"/>
      <c r="AME142" s="7"/>
      <c r="AMF142" s="7"/>
      <c r="AMG142" s="7"/>
      <c r="AMH142" s="7"/>
      <c r="AMI142" s="7"/>
      <c r="AMJ142" s="7"/>
    </row>
    <row r="143" s="196" customFormat="true" ht="15.75" hidden="false" customHeight="true" outlineLevel="0" collapsed="false">
      <c r="A143" s="7"/>
      <c r="B143" s="41"/>
      <c r="C143" s="194" t="s">
        <v>132</v>
      </c>
      <c r="D143" s="195" t="n">
        <v>20</v>
      </c>
      <c r="E143" s="195" t="n">
        <v>2</v>
      </c>
      <c r="F143" s="97"/>
      <c r="G143" s="24"/>
      <c r="H143" s="41"/>
      <c r="I143" s="194" t="s">
        <v>132</v>
      </c>
      <c r="J143" s="195" t="n">
        <v>20</v>
      </c>
      <c r="K143" s="195" t="n">
        <v>2</v>
      </c>
      <c r="L143" s="9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PP143" s="7"/>
      <c r="PQ143" s="7"/>
      <c r="PR143" s="7"/>
      <c r="PS143" s="7"/>
      <c r="PT143" s="7"/>
      <c r="PU143" s="7"/>
      <c r="PV143" s="7"/>
      <c r="PW143" s="7"/>
      <c r="PX143" s="7"/>
      <c r="PY143" s="7"/>
      <c r="PZ143" s="7"/>
      <c r="QA143" s="7"/>
      <c r="QB143" s="7"/>
      <c r="QC143" s="7"/>
      <c r="QD143" s="7"/>
      <c r="QE143" s="7"/>
      <c r="QF143" s="7"/>
      <c r="QG143" s="7"/>
      <c r="QH143" s="7"/>
      <c r="QI143" s="7"/>
      <c r="QJ143" s="7"/>
      <c r="QK143" s="7"/>
      <c r="QL143" s="7"/>
      <c r="QM143" s="7"/>
      <c r="QN143" s="7"/>
      <c r="QO143" s="7"/>
      <c r="QP143" s="7"/>
      <c r="QQ143" s="7"/>
      <c r="QR143" s="7"/>
      <c r="QS143" s="7"/>
      <c r="QT143" s="7"/>
      <c r="QU143" s="7"/>
      <c r="QV143" s="7"/>
      <c r="QW143" s="7"/>
      <c r="QX143" s="7"/>
      <c r="QY143" s="7"/>
      <c r="QZ143" s="7"/>
      <c r="RA143" s="7"/>
      <c r="RB143" s="7"/>
      <c r="RC143" s="7"/>
      <c r="RD143" s="7"/>
      <c r="RE143" s="7"/>
      <c r="RF143" s="7"/>
      <c r="RG143" s="7"/>
      <c r="RH143" s="7"/>
      <c r="RI143" s="7"/>
      <c r="RJ143" s="7"/>
      <c r="RK143" s="7"/>
      <c r="RL143" s="7"/>
      <c r="RM143" s="7"/>
      <c r="RN143" s="7"/>
      <c r="RO143" s="7"/>
      <c r="RP143" s="7"/>
      <c r="RQ143" s="7"/>
      <c r="RR143" s="7"/>
      <c r="RS143" s="7"/>
      <c r="RT143" s="7"/>
      <c r="RU143" s="7"/>
      <c r="RV143" s="7"/>
      <c r="RW143" s="7"/>
      <c r="RX143" s="7"/>
      <c r="RY143" s="7"/>
      <c r="RZ143" s="7"/>
      <c r="SA143" s="7"/>
      <c r="SB143" s="7"/>
      <c r="SC143" s="7"/>
      <c r="SD143" s="7"/>
      <c r="SE143" s="7"/>
      <c r="SF143" s="7"/>
      <c r="SG143" s="7"/>
      <c r="SH143" s="7"/>
      <c r="SI143" s="7"/>
      <c r="SJ143" s="7"/>
      <c r="SK143" s="7"/>
      <c r="SL143" s="7"/>
      <c r="SM143" s="7"/>
      <c r="SN143" s="7"/>
      <c r="SO143" s="7"/>
      <c r="SP143" s="7"/>
      <c r="SQ143" s="7"/>
      <c r="SR143" s="7"/>
      <c r="SS143" s="7"/>
      <c r="ST143" s="7"/>
      <c r="SU143" s="7"/>
      <c r="SV143" s="7"/>
      <c r="SW143" s="7"/>
      <c r="SX143" s="7"/>
      <c r="SY143" s="7"/>
      <c r="SZ143" s="7"/>
      <c r="TA143" s="7"/>
      <c r="TB143" s="7"/>
      <c r="TC143" s="7"/>
      <c r="TD143" s="7"/>
      <c r="TE143" s="7"/>
      <c r="TF143" s="7"/>
      <c r="TG143" s="7"/>
      <c r="TH143" s="7"/>
      <c r="TI143" s="7"/>
      <c r="TJ143" s="7"/>
      <c r="TK143" s="7"/>
      <c r="TL143" s="7"/>
      <c r="TM143" s="7"/>
      <c r="TN143" s="7"/>
      <c r="TO143" s="7"/>
      <c r="TP143" s="7"/>
      <c r="TQ143" s="7"/>
      <c r="TR143" s="7"/>
      <c r="TS143" s="7"/>
      <c r="TT143" s="7"/>
      <c r="TU143" s="7"/>
      <c r="TV143" s="7"/>
      <c r="TW143" s="7"/>
      <c r="TX143" s="7"/>
      <c r="TY143" s="7"/>
      <c r="TZ143" s="7"/>
      <c r="UA143" s="7"/>
      <c r="UB143" s="7"/>
      <c r="UC143" s="7"/>
      <c r="UD143" s="7"/>
      <c r="UE143" s="7"/>
      <c r="UF143" s="7"/>
      <c r="UG143" s="7"/>
      <c r="UH143" s="7"/>
      <c r="UI143" s="7"/>
      <c r="UJ143" s="7"/>
      <c r="UK143" s="7"/>
      <c r="UL143" s="7"/>
      <c r="UM143" s="7"/>
      <c r="UN143" s="7"/>
      <c r="UO143" s="7"/>
      <c r="UP143" s="7"/>
      <c r="UQ143" s="7"/>
      <c r="UR143" s="7"/>
      <c r="US143" s="7"/>
      <c r="UT143" s="7"/>
      <c r="UU143" s="7"/>
      <c r="UV143" s="7"/>
      <c r="UW143" s="7"/>
      <c r="UX143" s="7"/>
      <c r="UY143" s="7"/>
      <c r="UZ143" s="7"/>
      <c r="VA143" s="7"/>
      <c r="VB143" s="7"/>
      <c r="VC143" s="7"/>
      <c r="VD143" s="7"/>
      <c r="VE143" s="7"/>
      <c r="VF143" s="7"/>
      <c r="VG143" s="7"/>
      <c r="VH143" s="7"/>
      <c r="VI143" s="7"/>
      <c r="VJ143" s="7"/>
      <c r="VK143" s="7"/>
      <c r="VL143" s="7"/>
      <c r="VM143" s="7"/>
      <c r="VN143" s="7"/>
      <c r="VO143" s="7"/>
      <c r="VP143" s="7"/>
      <c r="VQ143" s="7"/>
      <c r="VR143" s="7"/>
      <c r="VS143" s="7"/>
      <c r="VT143" s="7"/>
      <c r="VU143" s="7"/>
      <c r="VV143" s="7"/>
      <c r="VW143" s="7"/>
      <c r="VX143" s="7"/>
      <c r="VY143" s="7"/>
      <c r="VZ143" s="7"/>
      <c r="WA143" s="7"/>
      <c r="WB143" s="7"/>
      <c r="WC143" s="7"/>
      <c r="WD143" s="7"/>
      <c r="WE143" s="7"/>
      <c r="WF143" s="7"/>
      <c r="WG143" s="7"/>
      <c r="WH143" s="7"/>
      <c r="WI143" s="7"/>
      <c r="WJ143" s="7"/>
      <c r="WK143" s="7"/>
      <c r="WL143" s="7"/>
      <c r="WM143" s="7"/>
      <c r="WN143" s="7"/>
      <c r="WO143" s="7"/>
      <c r="WP143" s="7"/>
      <c r="WQ143" s="7"/>
      <c r="WR143" s="7"/>
      <c r="WS143" s="7"/>
      <c r="WT143" s="7"/>
      <c r="WU143" s="7"/>
      <c r="WV143" s="7"/>
      <c r="WW143" s="7"/>
      <c r="WX143" s="7"/>
      <c r="WY143" s="7"/>
      <c r="WZ143" s="7"/>
      <c r="XA143" s="7"/>
      <c r="XB143" s="7"/>
      <c r="XC143" s="7"/>
      <c r="XD143" s="7"/>
      <c r="XE143" s="7"/>
      <c r="XF143" s="7"/>
      <c r="XG143" s="7"/>
      <c r="XH143" s="7"/>
      <c r="XI143" s="7"/>
      <c r="XJ143" s="7"/>
      <c r="XK143" s="7"/>
      <c r="XL143" s="7"/>
      <c r="XM143" s="7"/>
      <c r="XN143" s="7"/>
      <c r="XO143" s="7"/>
      <c r="XP143" s="7"/>
      <c r="XQ143" s="7"/>
      <c r="XR143" s="7"/>
      <c r="XS143" s="7"/>
      <c r="XT143" s="7"/>
      <c r="XU143" s="7"/>
      <c r="XV143" s="7"/>
      <c r="XW143" s="7"/>
      <c r="XX143" s="7"/>
      <c r="XY143" s="7"/>
      <c r="XZ143" s="7"/>
      <c r="YA143" s="7"/>
      <c r="YB143" s="7"/>
      <c r="YC143" s="7"/>
      <c r="YD143" s="7"/>
      <c r="YE143" s="7"/>
      <c r="YF143" s="7"/>
      <c r="YG143" s="7"/>
      <c r="YH143" s="7"/>
      <c r="YI143" s="7"/>
      <c r="YJ143" s="7"/>
      <c r="YK143" s="7"/>
      <c r="YL143" s="7"/>
      <c r="YM143" s="7"/>
      <c r="YN143" s="7"/>
      <c r="YO143" s="7"/>
      <c r="YP143" s="7"/>
      <c r="YQ143" s="7"/>
      <c r="YR143" s="7"/>
      <c r="YS143" s="7"/>
      <c r="YT143" s="7"/>
      <c r="YU143" s="7"/>
      <c r="YV143" s="7"/>
      <c r="YW143" s="7"/>
      <c r="YX143" s="7"/>
      <c r="YY143" s="7"/>
      <c r="YZ143" s="7"/>
      <c r="ZA143" s="7"/>
      <c r="ZB143" s="7"/>
      <c r="ZC143" s="7"/>
      <c r="ZD143" s="7"/>
      <c r="ZE143" s="7"/>
      <c r="ZF143" s="7"/>
      <c r="ZG143" s="7"/>
      <c r="ZH143" s="7"/>
      <c r="ZI143" s="7"/>
      <c r="ZJ143" s="7"/>
      <c r="ZK143" s="7"/>
      <c r="ZL143" s="7"/>
      <c r="ZM143" s="7"/>
      <c r="ZN143" s="7"/>
      <c r="ZO143" s="7"/>
      <c r="ZP143" s="7"/>
      <c r="ZQ143" s="7"/>
      <c r="ZR143" s="7"/>
      <c r="ZS143" s="7"/>
      <c r="ZT143" s="7"/>
      <c r="ZU143" s="7"/>
      <c r="ZV143" s="7"/>
      <c r="ZW143" s="7"/>
      <c r="ZX143" s="7"/>
      <c r="ZY143" s="7"/>
      <c r="ZZ143" s="7"/>
      <c r="AAA143" s="7"/>
      <c r="AAB143" s="7"/>
      <c r="AAC143" s="7"/>
      <c r="AAD143" s="7"/>
      <c r="AAE143" s="7"/>
      <c r="AAF143" s="7"/>
      <c r="AAG143" s="7"/>
      <c r="AAH143" s="7"/>
      <c r="AAI143" s="7"/>
      <c r="AAJ143" s="7"/>
      <c r="AAK143" s="7"/>
      <c r="AAL143" s="7"/>
      <c r="AAM143" s="7"/>
      <c r="AAN143" s="7"/>
      <c r="AAO143" s="7"/>
      <c r="AAP143" s="7"/>
      <c r="AAQ143" s="7"/>
      <c r="AAR143" s="7"/>
      <c r="AAS143" s="7"/>
      <c r="AAT143" s="7"/>
      <c r="AAU143" s="7"/>
      <c r="AAV143" s="7"/>
      <c r="AAW143" s="7"/>
      <c r="AAX143" s="7"/>
      <c r="AAY143" s="7"/>
      <c r="AAZ143" s="7"/>
      <c r="ABA143" s="7"/>
      <c r="ABB143" s="7"/>
      <c r="ABC143" s="7"/>
      <c r="ABD143" s="7"/>
      <c r="ABE143" s="7"/>
      <c r="ABF143" s="7"/>
      <c r="ABG143" s="7"/>
      <c r="ABH143" s="7"/>
      <c r="ABI143" s="7"/>
      <c r="ABJ143" s="7"/>
      <c r="ABK143" s="7"/>
      <c r="ABL143" s="7"/>
      <c r="ABM143" s="7"/>
      <c r="ABN143" s="7"/>
      <c r="ABO143" s="7"/>
      <c r="ABP143" s="7"/>
      <c r="ABQ143" s="7"/>
      <c r="ABR143" s="7"/>
      <c r="ABS143" s="7"/>
      <c r="ABT143" s="7"/>
      <c r="ABU143" s="7"/>
      <c r="ABV143" s="7"/>
      <c r="ABW143" s="7"/>
      <c r="ABX143" s="7"/>
      <c r="ABY143" s="7"/>
      <c r="ABZ143" s="7"/>
      <c r="ACA143" s="7"/>
      <c r="ACB143" s="7"/>
      <c r="ACC143" s="7"/>
      <c r="ACD143" s="7"/>
      <c r="ACE143" s="7"/>
      <c r="ACF143" s="7"/>
      <c r="ACG143" s="7"/>
      <c r="ACH143" s="7"/>
      <c r="ACI143" s="7"/>
      <c r="ACJ143" s="7"/>
      <c r="ACK143" s="7"/>
      <c r="ACL143" s="7"/>
      <c r="ACM143" s="7"/>
      <c r="ACN143" s="7"/>
      <c r="ACO143" s="7"/>
      <c r="ACP143" s="7"/>
      <c r="ACQ143" s="7"/>
      <c r="ACR143" s="7"/>
      <c r="ACS143" s="7"/>
      <c r="ACT143" s="7"/>
      <c r="ACU143" s="7"/>
      <c r="ACV143" s="7"/>
      <c r="ACW143" s="7"/>
      <c r="ACX143" s="7"/>
      <c r="ACY143" s="7"/>
      <c r="ACZ143" s="7"/>
      <c r="ADA143" s="7"/>
      <c r="ADB143" s="7"/>
      <c r="ADC143" s="7"/>
      <c r="ADD143" s="7"/>
      <c r="ADE143" s="7"/>
      <c r="ADF143" s="7"/>
      <c r="ADG143" s="7"/>
      <c r="ADH143" s="7"/>
      <c r="ADI143" s="7"/>
      <c r="ADJ143" s="7"/>
      <c r="ADK143" s="7"/>
      <c r="ADL143" s="7"/>
      <c r="ADM143" s="7"/>
      <c r="ADN143" s="7"/>
      <c r="ADO143" s="7"/>
      <c r="ADP143" s="7"/>
      <c r="ADQ143" s="7"/>
      <c r="ADR143" s="7"/>
      <c r="ADS143" s="7"/>
      <c r="ADT143" s="7"/>
      <c r="ADU143" s="7"/>
      <c r="ADV143" s="7"/>
      <c r="ADW143" s="7"/>
      <c r="ADX143" s="7"/>
      <c r="ADY143" s="7"/>
      <c r="ADZ143" s="7"/>
      <c r="AEA143" s="7"/>
      <c r="AEB143" s="7"/>
      <c r="AEC143" s="7"/>
      <c r="AED143" s="7"/>
      <c r="AEE143" s="7"/>
      <c r="AEF143" s="7"/>
      <c r="AEG143" s="7"/>
      <c r="AEH143" s="7"/>
      <c r="AEI143" s="7"/>
      <c r="AEJ143" s="7"/>
      <c r="AEK143" s="7"/>
      <c r="AEL143" s="7"/>
      <c r="AEM143" s="7"/>
      <c r="AEN143" s="7"/>
      <c r="AEO143" s="7"/>
      <c r="AEP143" s="7"/>
      <c r="AEQ143" s="7"/>
      <c r="AER143" s="7"/>
      <c r="AES143" s="7"/>
      <c r="AET143" s="7"/>
      <c r="AEU143" s="7"/>
      <c r="AEV143" s="7"/>
      <c r="AEW143" s="7"/>
      <c r="AEX143" s="7"/>
      <c r="AEY143" s="7"/>
      <c r="AEZ143" s="7"/>
      <c r="AFA143" s="7"/>
      <c r="AFB143" s="7"/>
      <c r="AFC143" s="7"/>
      <c r="AFD143" s="7"/>
      <c r="AFE143" s="7"/>
      <c r="AFF143" s="7"/>
      <c r="AFG143" s="7"/>
      <c r="AFH143" s="7"/>
      <c r="AFI143" s="7"/>
      <c r="AFJ143" s="7"/>
      <c r="AFK143" s="7"/>
      <c r="AFL143" s="7"/>
      <c r="AFM143" s="7"/>
      <c r="AFN143" s="7"/>
      <c r="AFO143" s="7"/>
      <c r="AFP143" s="7"/>
      <c r="AFQ143" s="7"/>
      <c r="AFR143" s="7"/>
      <c r="AFS143" s="7"/>
      <c r="AFT143" s="7"/>
      <c r="AFU143" s="7"/>
      <c r="AFV143" s="7"/>
      <c r="AFW143" s="7"/>
      <c r="AFX143" s="7"/>
      <c r="AFY143" s="7"/>
      <c r="AFZ143" s="7"/>
      <c r="AGA143" s="7"/>
      <c r="AGB143" s="7"/>
      <c r="AGC143" s="7"/>
      <c r="AGD143" s="7"/>
      <c r="AGE143" s="7"/>
      <c r="AGF143" s="7"/>
      <c r="AGG143" s="7"/>
      <c r="AGH143" s="7"/>
      <c r="AGI143" s="7"/>
      <c r="AGJ143" s="7"/>
      <c r="AGK143" s="7"/>
      <c r="AGL143" s="7"/>
      <c r="AGM143" s="7"/>
      <c r="AGN143" s="7"/>
      <c r="AGO143" s="7"/>
      <c r="AGP143" s="7"/>
      <c r="AGQ143" s="7"/>
      <c r="AGR143" s="7"/>
      <c r="AGS143" s="7"/>
      <c r="AGT143" s="7"/>
      <c r="AGU143" s="7"/>
      <c r="AGV143" s="7"/>
      <c r="AGW143" s="7"/>
      <c r="AGX143" s="7"/>
      <c r="AGY143" s="7"/>
      <c r="AGZ143" s="7"/>
      <c r="AHA143" s="7"/>
      <c r="AHB143" s="7"/>
      <c r="AHC143" s="7"/>
      <c r="AHD143" s="7"/>
      <c r="AHE143" s="7"/>
      <c r="AHF143" s="7"/>
      <c r="AHG143" s="7"/>
      <c r="AHH143" s="7"/>
      <c r="AHI143" s="7"/>
      <c r="AHJ143" s="7"/>
      <c r="AHK143" s="7"/>
      <c r="AHL143" s="7"/>
      <c r="AHM143" s="7"/>
      <c r="AHN143" s="7"/>
      <c r="AHO143" s="7"/>
      <c r="AHP143" s="7"/>
      <c r="AHQ143" s="7"/>
      <c r="AHR143" s="7"/>
      <c r="AHS143" s="7"/>
      <c r="AHT143" s="7"/>
      <c r="AHU143" s="7"/>
      <c r="AHV143" s="7"/>
      <c r="AHW143" s="7"/>
      <c r="AHX143" s="7"/>
      <c r="AHY143" s="7"/>
      <c r="AHZ143" s="7"/>
      <c r="AIA143" s="7"/>
      <c r="AIB143" s="7"/>
      <c r="AIC143" s="7"/>
      <c r="AID143" s="7"/>
      <c r="AIE143" s="7"/>
      <c r="AIF143" s="7"/>
      <c r="AIG143" s="7"/>
      <c r="AIH143" s="7"/>
      <c r="AII143" s="7"/>
      <c r="AIJ143" s="7"/>
      <c r="AIK143" s="7"/>
      <c r="AIL143" s="7"/>
      <c r="AIM143" s="7"/>
      <c r="AIN143" s="7"/>
      <c r="AIO143" s="7"/>
      <c r="AIP143" s="7"/>
      <c r="AIQ143" s="7"/>
      <c r="AIR143" s="7"/>
      <c r="AIS143" s="7"/>
      <c r="AIT143" s="7"/>
      <c r="AIU143" s="7"/>
      <c r="AIV143" s="7"/>
      <c r="AIW143" s="7"/>
      <c r="AIX143" s="7"/>
      <c r="AIY143" s="7"/>
      <c r="AIZ143" s="7"/>
      <c r="AJA143" s="7"/>
      <c r="AJB143" s="7"/>
      <c r="AJC143" s="7"/>
      <c r="AJD143" s="7"/>
      <c r="AJE143" s="7"/>
      <c r="AJF143" s="7"/>
      <c r="AJG143" s="7"/>
      <c r="AJH143" s="7"/>
      <c r="AJI143" s="7"/>
      <c r="AJJ143" s="7"/>
      <c r="AJK143" s="7"/>
      <c r="AJL143" s="7"/>
      <c r="AJM143" s="7"/>
      <c r="AJN143" s="7"/>
      <c r="AJO143" s="7"/>
      <c r="AJP143" s="7"/>
      <c r="AJQ143" s="7"/>
      <c r="AJR143" s="7"/>
      <c r="AJS143" s="7"/>
      <c r="AJT143" s="7"/>
      <c r="AJU143" s="7"/>
      <c r="AJV143" s="7"/>
      <c r="AJW143" s="7"/>
      <c r="AJX143" s="7"/>
      <c r="AJY143" s="7"/>
      <c r="AJZ143" s="7"/>
      <c r="AKA143" s="7"/>
      <c r="AKB143" s="7"/>
      <c r="AKC143" s="7"/>
      <c r="AKD143" s="7"/>
      <c r="AKE143" s="7"/>
      <c r="AKF143" s="7"/>
      <c r="AKG143" s="7"/>
      <c r="AKH143" s="7"/>
      <c r="AKI143" s="7"/>
      <c r="AKJ143" s="7"/>
      <c r="AKK143" s="7"/>
      <c r="AKL143" s="7"/>
      <c r="AKM143" s="7"/>
      <c r="AKN143" s="7"/>
      <c r="AKO143" s="7"/>
      <c r="AKP143" s="7"/>
      <c r="AKQ143" s="7"/>
      <c r="AKR143" s="7"/>
      <c r="AKS143" s="7"/>
      <c r="AKT143" s="7"/>
      <c r="AKU143" s="7"/>
      <c r="AKV143" s="7"/>
      <c r="AKW143" s="7"/>
      <c r="AKX143" s="7"/>
      <c r="AKY143" s="7"/>
      <c r="AKZ143" s="7"/>
      <c r="ALA143" s="7"/>
      <c r="ALB143" s="7"/>
      <c r="ALC143" s="7"/>
      <c r="ALD143" s="7"/>
      <c r="ALE143" s="7"/>
      <c r="ALF143" s="7"/>
      <c r="ALG143" s="7"/>
      <c r="ALH143" s="7"/>
      <c r="ALI143" s="7"/>
      <c r="ALJ143" s="7"/>
      <c r="ALK143" s="7"/>
      <c r="ALL143" s="7"/>
      <c r="ALM143" s="7"/>
      <c r="ALN143" s="7"/>
      <c r="ALO143" s="7"/>
      <c r="ALP143" s="7"/>
      <c r="ALQ143" s="7"/>
      <c r="ALR143" s="7"/>
      <c r="ALS143" s="7"/>
      <c r="ALT143" s="7"/>
      <c r="ALU143" s="7"/>
      <c r="ALV143" s="7"/>
      <c r="ALW143" s="7"/>
      <c r="ALX143" s="7"/>
      <c r="ALY143" s="7"/>
      <c r="ALZ143" s="7"/>
      <c r="AMA143" s="7"/>
      <c r="AMB143" s="7"/>
      <c r="AMC143" s="7"/>
      <c r="AMD143" s="7"/>
      <c r="AME143" s="7"/>
      <c r="AMF143" s="7"/>
      <c r="AMG143" s="7"/>
      <c r="AMH143" s="7"/>
      <c r="AMI143" s="7"/>
      <c r="AMJ143" s="7"/>
    </row>
    <row r="144" s="196" customFormat="true" ht="15.75" hidden="false" customHeight="true" outlineLevel="0" collapsed="false">
      <c r="A144" s="7"/>
      <c r="B144" s="41"/>
      <c r="C144" s="186" t="s">
        <v>133</v>
      </c>
      <c r="D144" s="133" t="n">
        <v>18</v>
      </c>
      <c r="E144" s="187" t="n">
        <v>2</v>
      </c>
      <c r="F144" s="97"/>
      <c r="G144" s="24"/>
      <c r="H144" s="41"/>
      <c r="I144" s="186" t="s">
        <v>133</v>
      </c>
      <c r="J144" s="133" t="n">
        <v>18</v>
      </c>
      <c r="K144" s="187" t="n">
        <v>2</v>
      </c>
      <c r="L144" s="9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  <c r="TU144" s="7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  <c r="YJ144" s="7"/>
      <c r="YK144" s="7"/>
      <c r="YL144" s="7"/>
      <c r="YM144" s="7"/>
      <c r="YN144" s="7"/>
      <c r="YO144" s="7"/>
      <c r="YP144" s="7"/>
      <c r="YQ144" s="7"/>
      <c r="YR144" s="7"/>
      <c r="YS144" s="7"/>
      <c r="YT144" s="7"/>
      <c r="YU144" s="7"/>
      <c r="YV144" s="7"/>
      <c r="YW144" s="7"/>
      <c r="YX144" s="7"/>
      <c r="YY144" s="7"/>
      <c r="YZ144" s="7"/>
      <c r="ZA144" s="7"/>
      <c r="ZB144" s="7"/>
      <c r="ZC144" s="7"/>
      <c r="ZD144" s="7"/>
      <c r="ZE144" s="7"/>
      <c r="ZF144" s="7"/>
      <c r="ZG144" s="7"/>
      <c r="ZH144" s="7"/>
      <c r="ZI144" s="7"/>
      <c r="ZJ144" s="7"/>
      <c r="ZK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ZX144" s="7"/>
      <c r="ZY144" s="7"/>
      <c r="ZZ144" s="7"/>
      <c r="AAA144" s="7"/>
      <c r="AAB144" s="7"/>
      <c r="AAC144" s="7"/>
      <c r="AAD144" s="7"/>
      <c r="AAE144" s="7"/>
      <c r="AAF144" s="7"/>
      <c r="AAG144" s="7"/>
      <c r="AAH144" s="7"/>
      <c r="AAI144" s="7"/>
      <c r="AAJ144" s="7"/>
      <c r="AAK144" s="7"/>
      <c r="AAL144" s="7"/>
      <c r="AAM144" s="7"/>
      <c r="AAN144" s="7"/>
      <c r="AAO144" s="7"/>
      <c r="AAP144" s="7"/>
      <c r="AAQ144" s="7"/>
      <c r="AAR144" s="7"/>
      <c r="AAS144" s="7"/>
      <c r="AAT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  <c r="ABL144" s="7"/>
      <c r="ABM144" s="7"/>
      <c r="ABN144" s="7"/>
      <c r="ABO144" s="7"/>
      <c r="ABP144" s="7"/>
      <c r="ABQ144" s="7"/>
      <c r="ABR144" s="7"/>
      <c r="ABS144" s="7"/>
      <c r="ABT144" s="7"/>
      <c r="ABU144" s="7"/>
      <c r="ABV144" s="7"/>
      <c r="ABW144" s="7"/>
      <c r="ABX144" s="7"/>
      <c r="ABY144" s="7"/>
      <c r="ABZ144" s="7"/>
      <c r="ACA144" s="7"/>
      <c r="ACB144" s="7"/>
      <c r="ACC144" s="7"/>
      <c r="ACD144" s="7"/>
      <c r="ACE144" s="7"/>
      <c r="ACF144" s="7"/>
      <c r="ACG144" s="7"/>
      <c r="ACH144" s="7"/>
      <c r="ACI144" s="7"/>
      <c r="ACJ144" s="7"/>
      <c r="ACK144" s="7"/>
      <c r="ACL144" s="7"/>
      <c r="ACM144" s="7"/>
      <c r="ACN144" s="7"/>
      <c r="ACO144" s="7"/>
      <c r="ACP144" s="7"/>
      <c r="ACQ144" s="7"/>
      <c r="ACR144" s="7"/>
      <c r="ACS144" s="7"/>
      <c r="ACT144" s="7"/>
      <c r="ACU144" s="7"/>
      <c r="ACV144" s="7"/>
      <c r="ACW144" s="7"/>
      <c r="ACX144" s="7"/>
      <c r="ACY144" s="7"/>
      <c r="ACZ144" s="7"/>
      <c r="ADA144" s="7"/>
      <c r="ADB144" s="7"/>
      <c r="ADC144" s="7"/>
      <c r="ADD144" s="7"/>
      <c r="ADE144" s="7"/>
      <c r="ADF144" s="7"/>
      <c r="ADG144" s="7"/>
      <c r="ADH144" s="7"/>
      <c r="ADI144" s="7"/>
      <c r="ADJ144" s="7"/>
      <c r="ADK144" s="7"/>
      <c r="ADL144" s="7"/>
      <c r="ADM144" s="7"/>
      <c r="ADN144" s="7"/>
      <c r="ADO144" s="7"/>
      <c r="ADP144" s="7"/>
      <c r="ADQ144" s="7"/>
      <c r="ADR144" s="7"/>
      <c r="ADS144" s="7"/>
      <c r="ADT144" s="7"/>
      <c r="ADU144" s="7"/>
      <c r="ADV144" s="7"/>
      <c r="ADW144" s="7"/>
      <c r="ADX144" s="7"/>
      <c r="ADY144" s="7"/>
      <c r="ADZ144" s="7"/>
      <c r="AEA144" s="7"/>
      <c r="AEB144" s="7"/>
      <c r="AEC144" s="7"/>
      <c r="AED144" s="7"/>
      <c r="AEE144" s="7"/>
      <c r="AEF144" s="7"/>
      <c r="AEG144" s="7"/>
      <c r="AEH144" s="7"/>
      <c r="AEI144" s="7"/>
      <c r="AEJ144" s="7"/>
      <c r="AEK144" s="7"/>
      <c r="AEL144" s="7"/>
      <c r="AEM144" s="7"/>
      <c r="AEN144" s="7"/>
      <c r="AEO144" s="7"/>
      <c r="AEP144" s="7"/>
      <c r="AEQ144" s="7"/>
      <c r="AER144" s="7"/>
      <c r="AES144" s="7"/>
      <c r="AET144" s="7"/>
      <c r="AEU144" s="7"/>
      <c r="AEV144" s="7"/>
      <c r="AEW144" s="7"/>
      <c r="AEX144" s="7"/>
      <c r="AEY144" s="7"/>
      <c r="AEZ144" s="7"/>
      <c r="AFA144" s="7"/>
      <c r="AFB144" s="7"/>
      <c r="AFC144" s="7"/>
      <c r="AFD144" s="7"/>
      <c r="AFE144" s="7"/>
      <c r="AFF144" s="7"/>
      <c r="AFG144" s="7"/>
      <c r="AFH144" s="7"/>
      <c r="AFI144" s="7"/>
      <c r="AFJ144" s="7"/>
      <c r="AFK144" s="7"/>
      <c r="AFL144" s="7"/>
      <c r="AFM144" s="7"/>
      <c r="AFN144" s="7"/>
      <c r="AFO144" s="7"/>
      <c r="AFP144" s="7"/>
      <c r="AFQ144" s="7"/>
      <c r="AFR144" s="7"/>
      <c r="AFS144" s="7"/>
      <c r="AFT144" s="7"/>
      <c r="AFU144" s="7"/>
      <c r="AFV144" s="7"/>
      <c r="AFW144" s="7"/>
      <c r="AFX144" s="7"/>
      <c r="AFY144" s="7"/>
      <c r="AFZ144" s="7"/>
      <c r="AGA144" s="7"/>
      <c r="AGB144" s="7"/>
      <c r="AGC144" s="7"/>
      <c r="AGD144" s="7"/>
      <c r="AGE144" s="7"/>
      <c r="AGF144" s="7"/>
      <c r="AGG144" s="7"/>
      <c r="AGH144" s="7"/>
      <c r="AGI144" s="7"/>
      <c r="AGJ144" s="7"/>
      <c r="AGK144" s="7"/>
      <c r="AGL144" s="7"/>
      <c r="AGM144" s="7"/>
      <c r="AGN144" s="7"/>
      <c r="AGO144" s="7"/>
      <c r="AGP144" s="7"/>
      <c r="AGQ144" s="7"/>
      <c r="AGR144" s="7"/>
      <c r="AGS144" s="7"/>
      <c r="AGT144" s="7"/>
      <c r="AGU144" s="7"/>
      <c r="AGV144" s="7"/>
      <c r="AGW144" s="7"/>
      <c r="AGX144" s="7"/>
      <c r="AGY144" s="7"/>
      <c r="AGZ144" s="7"/>
      <c r="AHA144" s="7"/>
      <c r="AHB144" s="7"/>
      <c r="AHC144" s="7"/>
      <c r="AHD144" s="7"/>
      <c r="AHE144" s="7"/>
      <c r="AHF144" s="7"/>
      <c r="AHG144" s="7"/>
      <c r="AHH144" s="7"/>
      <c r="AHI144" s="7"/>
      <c r="AHJ144" s="7"/>
      <c r="AHK144" s="7"/>
      <c r="AHL144" s="7"/>
      <c r="AHM144" s="7"/>
      <c r="AHN144" s="7"/>
      <c r="AHO144" s="7"/>
      <c r="AHP144" s="7"/>
      <c r="AHQ144" s="7"/>
      <c r="AHR144" s="7"/>
      <c r="AHS144" s="7"/>
      <c r="AHT144" s="7"/>
      <c r="AHU144" s="7"/>
      <c r="AHV144" s="7"/>
      <c r="AHW144" s="7"/>
      <c r="AHX144" s="7"/>
      <c r="AHY144" s="7"/>
      <c r="AHZ144" s="7"/>
      <c r="AIA144" s="7"/>
      <c r="AIB144" s="7"/>
      <c r="AIC144" s="7"/>
      <c r="AID144" s="7"/>
      <c r="AIE144" s="7"/>
      <c r="AIF144" s="7"/>
      <c r="AIG144" s="7"/>
      <c r="AIH144" s="7"/>
      <c r="AII144" s="7"/>
      <c r="AIJ144" s="7"/>
      <c r="AIK144" s="7"/>
      <c r="AIL144" s="7"/>
      <c r="AIM144" s="7"/>
      <c r="AIN144" s="7"/>
      <c r="AIO144" s="7"/>
      <c r="AIP144" s="7"/>
      <c r="AIQ144" s="7"/>
      <c r="AIR144" s="7"/>
      <c r="AIS144" s="7"/>
      <c r="AIT144" s="7"/>
      <c r="AIU144" s="7"/>
      <c r="AIV144" s="7"/>
      <c r="AIW144" s="7"/>
      <c r="AIX144" s="7"/>
      <c r="AIY144" s="7"/>
      <c r="AIZ144" s="7"/>
      <c r="AJA144" s="7"/>
      <c r="AJB144" s="7"/>
      <c r="AJC144" s="7"/>
      <c r="AJD144" s="7"/>
      <c r="AJE144" s="7"/>
      <c r="AJF144" s="7"/>
      <c r="AJG144" s="7"/>
      <c r="AJH144" s="7"/>
      <c r="AJI144" s="7"/>
      <c r="AJJ144" s="7"/>
      <c r="AJK144" s="7"/>
      <c r="AJL144" s="7"/>
      <c r="AJM144" s="7"/>
      <c r="AJN144" s="7"/>
      <c r="AJO144" s="7"/>
      <c r="AJP144" s="7"/>
      <c r="AJQ144" s="7"/>
      <c r="AJR144" s="7"/>
      <c r="AJS144" s="7"/>
      <c r="AJT144" s="7"/>
      <c r="AJU144" s="7"/>
      <c r="AJV144" s="7"/>
      <c r="AJW144" s="7"/>
      <c r="AJX144" s="7"/>
      <c r="AJY144" s="7"/>
      <c r="AJZ144" s="7"/>
      <c r="AKA144" s="7"/>
      <c r="AKB144" s="7"/>
      <c r="AKC144" s="7"/>
      <c r="AKD144" s="7"/>
      <c r="AKE144" s="7"/>
      <c r="AKF144" s="7"/>
      <c r="AKG144" s="7"/>
      <c r="AKH144" s="7"/>
      <c r="AKI144" s="7"/>
      <c r="AKJ144" s="7"/>
      <c r="AKK144" s="7"/>
      <c r="AKL144" s="7"/>
      <c r="AKM144" s="7"/>
      <c r="AKN144" s="7"/>
      <c r="AKO144" s="7"/>
      <c r="AKP144" s="7"/>
      <c r="AKQ144" s="7"/>
      <c r="AKR144" s="7"/>
      <c r="AKS144" s="7"/>
      <c r="AKT144" s="7"/>
      <c r="AKU144" s="7"/>
      <c r="AKV144" s="7"/>
      <c r="AKW144" s="7"/>
      <c r="AKX144" s="7"/>
      <c r="AKY144" s="7"/>
      <c r="AKZ144" s="7"/>
      <c r="ALA144" s="7"/>
      <c r="ALB144" s="7"/>
      <c r="ALC144" s="7"/>
      <c r="ALD144" s="7"/>
      <c r="ALE144" s="7"/>
      <c r="ALF144" s="7"/>
      <c r="ALG144" s="7"/>
      <c r="ALH144" s="7"/>
      <c r="ALI144" s="7"/>
      <c r="ALJ144" s="7"/>
      <c r="ALK144" s="7"/>
      <c r="ALL144" s="7"/>
      <c r="ALM144" s="7"/>
      <c r="ALN144" s="7"/>
      <c r="ALO144" s="7"/>
      <c r="ALP144" s="7"/>
      <c r="ALQ144" s="7"/>
      <c r="ALR144" s="7"/>
      <c r="ALS144" s="7"/>
      <c r="ALT144" s="7"/>
      <c r="ALU144" s="7"/>
      <c r="ALV144" s="7"/>
      <c r="ALW144" s="7"/>
      <c r="ALX144" s="7"/>
      <c r="ALY144" s="7"/>
      <c r="ALZ144" s="7"/>
      <c r="AMA144" s="7"/>
      <c r="AMB144" s="7"/>
      <c r="AMC144" s="7"/>
      <c r="AMD144" s="7"/>
      <c r="AME144" s="7"/>
      <c r="AMF144" s="7"/>
      <c r="AMG144" s="7"/>
      <c r="AMH144" s="7"/>
      <c r="AMI144" s="7"/>
      <c r="AMJ144" s="7"/>
    </row>
    <row r="145" s="196" customFormat="true" ht="15.75" hidden="false" customHeight="true" outlineLevel="0" collapsed="false">
      <c r="B145" s="41"/>
      <c r="C145" s="168" t="s">
        <v>104</v>
      </c>
      <c r="D145" s="47" t="n">
        <f aca="false">105+24</f>
        <v>129</v>
      </c>
      <c r="E145" s="197" t="n">
        <v>8</v>
      </c>
      <c r="F145" s="97"/>
      <c r="G145" s="24"/>
      <c r="H145" s="41"/>
      <c r="I145" s="168" t="s">
        <v>104</v>
      </c>
      <c r="J145" s="47" t="n">
        <f aca="false">105+24</f>
        <v>129</v>
      </c>
      <c r="K145" s="197" t="n">
        <v>8</v>
      </c>
      <c r="L145" s="97"/>
    </row>
    <row r="146" s="196" customFormat="true" ht="15.75" hidden="false" customHeight="true" outlineLevel="0" collapsed="false">
      <c r="A146" s="198"/>
      <c r="B146" s="18" t="s">
        <v>134</v>
      </c>
      <c r="C146" s="61" t="s">
        <v>36</v>
      </c>
      <c r="D146" s="61"/>
      <c r="E146" s="61"/>
      <c r="F146" s="20" t="n">
        <v>1</v>
      </c>
      <c r="G146" s="125"/>
      <c r="H146" s="18" t="s">
        <v>185</v>
      </c>
      <c r="I146" s="61" t="s">
        <v>36</v>
      </c>
      <c r="J146" s="61"/>
      <c r="K146" s="61"/>
      <c r="L146" s="20" t="n">
        <v>1</v>
      </c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98"/>
      <c r="BF146" s="198"/>
      <c r="BG146" s="198"/>
      <c r="BH146" s="198"/>
      <c r="BI146" s="198"/>
      <c r="BJ146" s="198"/>
      <c r="BK146" s="198"/>
      <c r="BL146" s="198"/>
      <c r="BM146" s="198"/>
      <c r="BN146" s="198"/>
      <c r="BO146" s="198"/>
      <c r="BP146" s="198"/>
      <c r="BQ146" s="198"/>
      <c r="BR146" s="198"/>
      <c r="BS146" s="198"/>
      <c r="BT146" s="198"/>
      <c r="BU146" s="198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198"/>
      <c r="CF146" s="198"/>
      <c r="CG146" s="198"/>
      <c r="CH146" s="198"/>
      <c r="CI146" s="198"/>
      <c r="CJ146" s="198"/>
      <c r="CK146" s="198"/>
      <c r="CL146" s="198"/>
      <c r="CM146" s="198"/>
      <c r="CN146" s="198"/>
      <c r="CO146" s="198"/>
      <c r="CP146" s="198"/>
      <c r="CQ146" s="198"/>
      <c r="CR146" s="198"/>
      <c r="CS146" s="198"/>
      <c r="CT146" s="198"/>
      <c r="CU146" s="198"/>
      <c r="CV146" s="198"/>
      <c r="CW146" s="198"/>
      <c r="CX146" s="198"/>
      <c r="CY146" s="198"/>
      <c r="CZ146" s="198"/>
      <c r="DA146" s="198"/>
      <c r="DB146" s="198"/>
      <c r="DC146" s="198"/>
      <c r="DD146" s="198"/>
      <c r="DE146" s="198"/>
      <c r="DF146" s="198"/>
      <c r="DG146" s="198"/>
      <c r="DH146" s="198"/>
      <c r="DI146" s="198"/>
      <c r="DJ146" s="198"/>
      <c r="DK146" s="198"/>
      <c r="DL146" s="198"/>
      <c r="DM146" s="198"/>
      <c r="DN146" s="198"/>
      <c r="DO146" s="198"/>
      <c r="DP146" s="198"/>
      <c r="DQ146" s="198"/>
      <c r="DR146" s="198"/>
      <c r="DS146" s="198"/>
      <c r="DT146" s="198"/>
      <c r="DU146" s="198"/>
      <c r="DV146" s="198"/>
      <c r="DW146" s="198"/>
      <c r="DX146" s="198"/>
      <c r="DY146" s="198"/>
      <c r="DZ146" s="198"/>
      <c r="EA146" s="198"/>
      <c r="EB146" s="198"/>
      <c r="EC146" s="198"/>
      <c r="ED146" s="198"/>
      <c r="EE146" s="198"/>
      <c r="EF146" s="198"/>
      <c r="EG146" s="198"/>
      <c r="EH146" s="198"/>
      <c r="EI146" s="198"/>
      <c r="EJ146" s="198"/>
      <c r="EK146" s="198"/>
      <c r="EL146" s="198"/>
      <c r="EM146" s="198"/>
      <c r="EN146" s="198"/>
      <c r="EO146" s="198"/>
      <c r="EP146" s="198"/>
      <c r="EQ146" s="198"/>
      <c r="ER146" s="198"/>
      <c r="ES146" s="198"/>
      <c r="ET146" s="198"/>
      <c r="EU146" s="198"/>
      <c r="EV146" s="198"/>
      <c r="EW146" s="198"/>
      <c r="EX146" s="198"/>
      <c r="EY146" s="198"/>
      <c r="EZ146" s="198"/>
      <c r="FA146" s="198"/>
      <c r="FB146" s="198"/>
      <c r="FC146" s="198"/>
      <c r="FD146" s="198"/>
      <c r="FE146" s="198"/>
      <c r="FF146" s="198"/>
      <c r="FG146" s="198"/>
      <c r="FH146" s="198"/>
      <c r="FI146" s="198"/>
      <c r="FJ146" s="198"/>
      <c r="FK146" s="198"/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198"/>
      <c r="GU146" s="198"/>
      <c r="GV146" s="198"/>
      <c r="GW146" s="198"/>
      <c r="GX146" s="198"/>
      <c r="GY146" s="198"/>
      <c r="GZ146" s="198"/>
      <c r="HA146" s="198"/>
      <c r="HB146" s="198"/>
      <c r="HC146" s="198"/>
      <c r="HD146" s="198"/>
      <c r="HE146" s="198"/>
      <c r="HF146" s="198"/>
      <c r="HG146" s="198"/>
      <c r="HH146" s="198"/>
      <c r="HI146" s="198"/>
      <c r="HJ146" s="198"/>
      <c r="HK146" s="198"/>
      <c r="HL146" s="198"/>
      <c r="HM146" s="198"/>
      <c r="HN146" s="198"/>
      <c r="HO146" s="198"/>
      <c r="HP146" s="198"/>
      <c r="HQ146" s="198"/>
      <c r="HR146" s="198"/>
      <c r="HS146" s="198"/>
      <c r="HT146" s="198"/>
      <c r="HU146" s="198"/>
      <c r="HV146" s="198"/>
      <c r="HW146" s="198"/>
      <c r="HX146" s="198"/>
      <c r="HY146" s="198"/>
      <c r="HZ146" s="198"/>
      <c r="IA146" s="198"/>
      <c r="IB146" s="198"/>
      <c r="IC146" s="198"/>
      <c r="ID146" s="198"/>
      <c r="IE146" s="198"/>
      <c r="IF146" s="198"/>
      <c r="IG146" s="198"/>
      <c r="IH146" s="198"/>
      <c r="II146" s="198"/>
      <c r="IJ146" s="198"/>
      <c r="IK146" s="198"/>
      <c r="IL146" s="198"/>
      <c r="IM146" s="198"/>
      <c r="IN146" s="198"/>
      <c r="IO146" s="198"/>
      <c r="IP146" s="198"/>
      <c r="IQ146" s="198"/>
      <c r="IR146" s="198"/>
      <c r="IS146" s="198"/>
      <c r="IT146" s="198"/>
      <c r="IU146" s="198"/>
      <c r="IV146" s="198"/>
      <c r="IW146" s="198"/>
      <c r="IX146" s="198"/>
      <c r="IY146" s="198"/>
      <c r="IZ146" s="198"/>
      <c r="JA146" s="198"/>
      <c r="JB146" s="198"/>
      <c r="JC146" s="198"/>
      <c r="JD146" s="198"/>
      <c r="JE146" s="198"/>
      <c r="JF146" s="198"/>
      <c r="JG146" s="198"/>
      <c r="JH146" s="198"/>
      <c r="JI146" s="198"/>
      <c r="JJ146" s="198"/>
      <c r="JK146" s="198"/>
      <c r="JL146" s="198"/>
      <c r="JM146" s="198"/>
      <c r="JN146" s="198"/>
      <c r="JO146" s="198"/>
      <c r="JP146" s="198"/>
      <c r="JQ146" s="198"/>
      <c r="JR146" s="198"/>
      <c r="JS146" s="198"/>
      <c r="JT146" s="198"/>
      <c r="JU146" s="198"/>
      <c r="JV146" s="198"/>
      <c r="JW146" s="198"/>
      <c r="JX146" s="198"/>
      <c r="JY146" s="198"/>
      <c r="JZ146" s="198"/>
      <c r="KA146" s="198"/>
      <c r="KB146" s="198"/>
      <c r="KC146" s="198"/>
      <c r="KD146" s="198"/>
      <c r="KE146" s="198"/>
      <c r="KF146" s="198"/>
      <c r="KG146" s="198"/>
      <c r="KH146" s="198"/>
      <c r="KI146" s="198"/>
      <c r="KJ146" s="198"/>
      <c r="KK146" s="198"/>
      <c r="KL146" s="198"/>
      <c r="KM146" s="198"/>
      <c r="KN146" s="198"/>
      <c r="KO146" s="198"/>
      <c r="KP146" s="198"/>
      <c r="KQ146" s="198"/>
      <c r="KR146" s="198"/>
      <c r="KS146" s="198"/>
      <c r="KT146" s="198"/>
      <c r="KU146" s="198"/>
      <c r="KV146" s="198"/>
      <c r="KW146" s="198"/>
      <c r="KX146" s="198"/>
      <c r="KY146" s="198"/>
      <c r="KZ146" s="198"/>
      <c r="LA146" s="198"/>
      <c r="LB146" s="198"/>
      <c r="LC146" s="198"/>
      <c r="LD146" s="198"/>
      <c r="LE146" s="198"/>
      <c r="LF146" s="198"/>
      <c r="LG146" s="198"/>
      <c r="LH146" s="198"/>
      <c r="LI146" s="198"/>
      <c r="LJ146" s="198"/>
      <c r="LK146" s="198"/>
      <c r="LL146" s="198"/>
      <c r="LM146" s="198"/>
      <c r="LN146" s="198"/>
      <c r="LO146" s="198"/>
      <c r="LP146" s="198"/>
      <c r="LQ146" s="198"/>
      <c r="LR146" s="198"/>
      <c r="LS146" s="198"/>
      <c r="LT146" s="198"/>
      <c r="LU146" s="198"/>
      <c r="LV146" s="198"/>
      <c r="LW146" s="198"/>
      <c r="LX146" s="198"/>
      <c r="LY146" s="198"/>
      <c r="LZ146" s="198"/>
      <c r="MA146" s="198"/>
      <c r="MB146" s="198"/>
      <c r="MC146" s="198"/>
      <c r="MD146" s="198"/>
      <c r="ME146" s="198"/>
      <c r="MF146" s="198"/>
      <c r="MG146" s="198"/>
      <c r="MH146" s="198"/>
      <c r="MI146" s="198"/>
      <c r="MJ146" s="198"/>
      <c r="MK146" s="198"/>
      <c r="ML146" s="198"/>
      <c r="MM146" s="198"/>
      <c r="MN146" s="198"/>
      <c r="MO146" s="198"/>
      <c r="MP146" s="198"/>
      <c r="MQ146" s="198"/>
      <c r="MR146" s="198"/>
      <c r="MS146" s="198"/>
      <c r="MT146" s="198"/>
      <c r="MU146" s="198"/>
      <c r="MV146" s="198"/>
      <c r="MW146" s="198"/>
      <c r="MX146" s="198"/>
      <c r="MY146" s="198"/>
      <c r="MZ146" s="198"/>
      <c r="NA146" s="198"/>
      <c r="NB146" s="198"/>
      <c r="NC146" s="198"/>
      <c r="ND146" s="198"/>
      <c r="NE146" s="198"/>
      <c r="NF146" s="198"/>
      <c r="NG146" s="198"/>
      <c r="NH146" s="198"/>
      <c r="NI146" s="198"/>
      <c r="NJ146" s="198"/>
      <c r="NK146" s="198"/>
      <c r="NL146" s="198"/>
      <c r="NM146" s="198"/>
      <c r="NN146" s="198"/>
      <c r="NO146" s="198"/>
      <c r="NP146" s="198"/>
      <c r="NQ146" s="198"/>
      <c r="NR146" s="198"/>
      <c r="NS146" s="198"/>
      <c r="NT146" s="198"/>
      <c r="NU146" s="198"/>
      <c r="NV146" s="198"/>
      <c r="NW146" s="198"/>
      <c r="NX146" s="198"/>
      <c r="NY146" s="198"/>
      <c r="NZ146" s="198"/>
      <c r="OA146" s="198"/>
      <c r="OB146" s="198"/>
      <c r="OC146" s="198"/>
      <c r="OD146" s="198"/>
      <c r="OE146" s="198"/>
      <c r="OF146" s="198"/>
      <c r="OG146" s="198"/>
      <c r="OH146" s="198"/>
      <c r="OI146" s="198"/>
      <c r="OJ146" s="198"/>
      <c r="OK146" s="198"/>
      <c r="OL146" s="198"/>
      <c r="OM146" s="198"/>
      <c r="ON146" s="198"/>
      <c r="OO146" s="198"/>
      <c r="OP146" s="198"/>
      <c r="OQ146" s="198"/>
      <c r="OR146" s="198"/>
      <c r="OS146" s="198"/>
      <c r="OT146" s="198"/>
      <c r="OU146" s="198"/>
      <c r="OV146" s="198"/>
      <c r="OW146" s="198"/>
      <c r="OX146" s="198"/>
      <c r="OY146" s="198"/>
      <c r="OZ146" s="198"/>
      <c r="PA146" s="198"/>
      <c r="PB146" s="198"/>
      <c r="PC146" s="198"/>
      <c r="PD146" s="198"/>
      <c r="PE146" s="198"/>
      <c r="PF146" s="198"/>
      <c r="PG146" s="198"/>
      <c r="PH146" s="198"/>
      <c r="PI146" s="198"/>
      <c r="PJ146" s="198"/>
      <c r="PK146" s="198"/>
      <c r="PL146" s="198"/>
      <c r="PM146" s="198"/>
      <c r="PN146" s="198"/>
      <c r="PO146" s="198"/>
      <c r="PP146" s="198"/>
      <c r="PQ146" s="198"/>
      <c r="PR146" s="198"/>
      <c r="PS146" s="198"/>
      <c r="PT146" s="198"/>
      <c r="PU146" s="198"/>
      <c r="PV146" s="198"/>
      <c r="PW146" s="198"/>
      <c r="PX146" s="198"/>
      <c r="PY146" s="198"/>
      <c r="PZ146" s="198"/>
      <c r="QA146" s="198"/>
      <c r="QB146" s="198"/>
      <c r="QC146" s="198"/>
      <c r="QD146" s="198"/>
      <c r="QE146" s="198"/>
      <c r="QF146" s="198"/>
      <c r="QG146" s="198"/>
      <c r="QH146" s="198"/>
      <c r="QI146" s="198"/>
      <c r="QJ146" s="198"/>
      <c r="QK146" s="198"/>
      <c r="QL146" s="198"/>
      <c r="QM146" s="198"/>
      <c r="QN146" s="198"/>
      <c r="QO146" s="198"/>
      <c r="QP146" s="198"/>
      <c r="QQ146" s="198"/>
      <c r="QR146" s="198"/>
      <c r="QS146" s="198"/>
      <c r="QT146" s="198"/>
      <c r="QU146" s="198"/>
      <c r="QV146" s="198"/>
      <c r="QW146" s="198"/>
      <c r="QX146" s="198"/>
      <c r="QY146" s="198"/>
      <c r="QZ146" s="198"/>
      <c r="RA146" s="198"/>
      <c r="RB146" s="198"/>
      <c r="RC146" s="198"/>
      <c r="RD146" s="198"/>
      <c r="RE146" s="198"/>
      <c r="RF146" s="198"/>
      <c r="RG146" s="198"/>
      <c r="RH146" s="198"/>
      <c r="RI146" s="198"/>
      <c r="RJ146" s="198"/>
      <c r="RK146" s="198"/>
      <c r="RL146" s="198"/>
      <c r="RM146" s="198"/>
      <c r="RN146" s="198"/>
      <c r="RO146" s="198"/>
      <c r="RP146" s="198"/>
      <c r="RQ146" s="198"/>
      <c r="RR146" s="198"/>
      <c r="RS146" s="198"/>
      <c r="RT146" s="198"/>
      <c r="RU146" s="198"/>
      <c r="RV146" s="198"/>
      <c r="RW146" s="198"/>
      <c r="RX146" s="198"/>
      <c r="RY146" s="198"/>
      <c r="RZ146" s="198"/>
      <c r="SA146" s="198"/>
      <c r="SB146" s="198"/>
      <c r="SC146" s="198"/>
      <c r="SD146" s="198"/>
      <c r="SE146" s="198"/>
      <c r="SF146" s="198"/>
      <c r="SG146" s="198"/>
      <c r="SH146" s="198"/>
      <c r="SI146" s="198"/>
      <c r="SJ146" s="198"/>
      <c r="SK146" s="198"/>
      <c r="SL146" s="198"/>
      <c r="SM146" s="198"/>
      <c r="SN146" s="198"/>
      <c r="SO146" s="198"/>
      <c r="SP146" s="198"/>
      <c r="SQ146" s="198"/>
      <c r="SR146" s="198"/>
      <c r="SS146" s="198"/>
      <c r="ST146" s="198"/>
      <c r="SU146" s="198"/>
      <c r="SV146" s="198"/>
      <c r="SW146" s="198"/>
      <c r="SX146" s="198"/>
      <c r="SY146" s="198"/>
      <c r="SZ146" s="198"/>
      <c r="TA146" s="198"/>
      <c r="TB146" s="198"/>
      <c r="TC146" s="198"/>
      <c r="TD146" s="198"/>
      <c r="TE146" s="198"/>
      <c r="TF146" s="198"/>
      <c r="TG146" s="198"/>
      <c r="TH146" s="198"/>
      <c r="TI146" s="198"/>
      <c r="TJ146" s="198"/>
      <c r="TK146" s="198"/>
      <c r="TL146" s="198"/>
      <c r="TM146" s="198"/>
      <c r="TN146" s="198"/>
      <c r="TO146" s="198"/>
      <c r="TP146" s="198"/>
      <c r="TQ146" s="198"/>
      <c r="TR146" s="198"/>
      <c r="TS146" s="198"/>
      <c r="TT146" s="198"/>
      <c r="TU146" s="198"/>
      <c r="TV146" s="198"/>
      <c r="TW146" s="198"/>
      <c r="TX146" s="198"/>
      <c r="TY146" s="198"/>
      <c r="TZ146" s="198"/>
      <c r="UA146" s="198"/>
      <c r="UB146" s="198"/>
      <c r="UC146" s="198"/>
      <c r="UD146" s="198"/>
      <c r="UE146" s="198"/>
      <c r="UF146" s="198"/>
      <c r="UG146" s="198"/>
      <c r="UH146" s="198"/>
      <c r="UI146" s="198"/>
      <c r="UJ146" s="198"/>
      <c r="UK146" s="198"/>
      <c r="UL146" s="198"/>
      <c r="UM146" s="198"/>
      <c r="UN146" s="198"/>
      <c r="UO146" s="198"/>
      <c r="UP146" s="198"/>
      <c r="UQ146" s="198"/>
      <c r="UR146" s="198"/>
      <c r="US146" s="198"/>
      <c r="UT146" s="198"/>
      <c r="UU146" s="198"/>
      <c r="UV146" s="198"/>
      <c r="UW146" s="198"/>
      <c r="UX146" s="198"/>
      <c r="UY146" s="198"/>
      <c r="UZ146" s="198"/>
      <c r="VA146" s="198"/>
      <c r="VB146" s="198"/>
      <c r="VC146" s="198"/>
      <c r="VD146" s="198"/>
      <c r="VE146" s="198"/>
      <c r="VF146" s="198"/>
      <c r="VG146" s="198"/>
      <c r="VH146" s="198"/>
      <c r="VI146" s="198"/>
      <c r="VJ146" s="198"/>
      <c r="VK146" s="198"/>
      <c r="VL146" s="198"/>
      <c r="VM146" s="198"/>
      <c r="VN146" s="198"/>
      <c r="VO146" s="198"/>
      <c r="VP146" s="198"/>
      <c r="VQ146" s="198"/>
      <c r="VR146" s="198"/>
      <c r="VS146" s="198"/>
      <c r="VT146" s="198"/>
      <c r="VU146" s="198"/>
      <c r="VV146" s="198"/>
      <c r="VW146" s="198"/>
      <c r="VX146" s="198"/>
      <c r="VY146" s="198"/>
      <c r="VZ146" s="198"/>
      <c r="WA146" s="198"/>
      <c r="WB146" s="198"/>
      <c r="WC146" s="198"/>
      <c r="WD146" s="198"/>
      <c r="WE146" s="198"/>
      <c r="WF146" s="198"/>
      <c r="WG146" s="198"/>
      <c r="WH146" s="198"/>
      <c r="WI146" s="198"/>
      <c r="WJ146" s="198"/>
      <c r="WK146" s="198"/>
      <c r="WL146" s="198"/>
      <c r="WM146" s="198"/>
      <c r="WN146" s="198"/>
      <c r="WO146" s="198"/>
      <c r="WP146" s="198"/>
      <c r="WQ146" s="198"/>
      <c r="WR146" s="198"/>
      <c r="WS146" s="198"/>
      <c r="WT146" s="198"/>
      <c r="WU146" s="198"/>
      <c r="WV146" s="198"/>
      <c r="WW146" s="198"/>
      <c r="WX146" s="198"/>
      <c r="WY146" s="198"/>
      <c r="WZ146" s="198"/>
      <c r="XA146" s="198"/>
      <c r="XB146" s="198"/>
      <c r="XC146" s="198"/>
      <c r="XD146" s="198"/>
      <c r="XE146" s="198"/>
      <c r="XF146" s="198"/>
      <c r="XG146" s="198"/>
      <c r="XH146" s="198"/>
      <c r="XI146" s="198"/>
      <c r="XJ146" s="198"/>
      <c r="XK146" s="198"/>
      <c r="XL146" s="198"/>
      <c r="XM146" s="198"/>
      <c r="XN146" s="198"/>
      <c r="XO146" s="198"/>
      <c r="XP146" s="198"/>
      <c r="XQ146" s="198"/>
      <c r="XR146" s="198"/>
      <c r="XS146" s="198"/>
      <c r="XT146" s="198"/>
      <c r="XU146" s="198"/>
      <c r="XV146" s="198"/>
      <c r="XW146" s="198"/>
      <c r="XX146" s="198"/>
      <c r="XY146" s="198"/>
      <c r="XZ146" s="198"/>
      <c r="YA146" s="198"/>
      <c r="YB146" s="198"/>
      <c r="YC146" s="198"/>
      <c r="YD146" s="198"/>
      <c r="YE146" s="198"/>
      <c r="YF146" s="198"/>
      <c r="YG146" s="198"/>
      <c r="YH146" s="198"/>
      <c r="YI146" s="198"/>
      <c r="YJ146" s="198"/>
      <c r="YK146" s="198"/>
      <c r="YL146" s="198"/>
      <c r="YM146" s="198"/>
      <c r="YN146" s="198"/>
      <c r="YO146" s="198"/>
      <c r="YP146" s="198"/>
      <c r="YQ146" s="198"/>
      <c r="YR146" s="198"/>
      <c r="YS146" s="198"/>
      <c r="YT146" s="198"/>
      <c r="YU146" s="198"/>
      <c r="YV146" s="198"/>
      <c r="YW146" s="198"/>
      <c r="YX146" s="198"/>
      <c r="YY146" s="198"/>
      <c r="YZ146" s="198"/>
      <c r="ZA146" s="198"/>
      <c r="ZB146" s="198"/>
      <c r="ZC146" s="198"/>
      <c r="ZD146" s="198"/>
      <c r="ZE146" s="198"/>
      <c r="ZF146" s="198"/>
      <c r="ZG146" s="198"/>
      <c r="ZH146" s="198"/>
      <c r="ZI146" s="198"/>
      <c r="ZJ146" s="198"/>
      <c r="ZK146" s="198"/>
      <c r="ZL146" s="198"/>
      <c r="ZM146" s="198"/>
      <c r="ZN146" s="198"/>
      <c r="ZO146" s="198"/>
      <c r="ZP146" s="198"/>
      <c r="ZQ146" s="198"/>
      <c r="ZR146" s="198"/>
      <c r="ZS146" s="198"/>
      <c r="ZT146" s="198"/>
      <c r="ZU146" s="198"/>
      <c r="ZV146" s="198"/>
      <c r="ZW146" s="198"/>
      <c r="ZX146" s="198"/>
      <c r="ZY146" s="198"/>
      <c r="ZZ146" s="198"/>
      <c r="AAA146" s="198"/>
      <c r="AAB146" s="198"/>
      <c r="AAC146" s="198"/>
      <c r="AAD146" s="198"/>
      <c r="AAE146" s="198"/>
      <c r="AAF146" s="198"/>
      <c r="AAG146" s="198"/>
      <c r="AAH146" s="198"/>
      <c r="AAI146" s="198"/>
      <c r="AAJ146" s="198"/>
      <c r="AAK146" s="198"/>
      <c r="AAL146" s="198"/>
      <c r="AAM146" s="198"/>
      <c r="AAN146" s="198"/>
      <c r="AAO146" s="198"/>
      <c r="AAP146" s="198"/>
      <c r="AAQ146" s="198"/>
      <c r="AAR146" s="198"/>
      <c r="AAS146" s="198"/>
      <c r="AAT146" s="198"/>
      <c r="AAU146" s="198"/>
      <c r="AAV146" s="198"/>
      <c r="AAW146" s="198"/>
      <c r="AAX146" s="198"/>
      <c r="AAY146" s="198"/>
      <c r="AAZ146" s="198"/>
      <c r="ABA146" s="198"/>
      <c r="ABB146" s="198"/>
      <c r="ABC146" s="198"/>
      <c r="ABD146" s="198"/>
      <c r="ABE146" s="198"/>
      <c r="ABF146" s="198"/>
      <c r="ABG146" s="198"/>
      <c r="ABH146" s="198"/>
      <c r="ABI146" s="198"/>
      <c r="ABJ146" s="198"/>
      <c r="ABK146" s="198"/>
      <c r="ABL146" s="198"/>
      <c r="ABM146" s="198"/>
      <c r="ABN146" s="198"/>
      <c r="ABO146" s="198"/>
      <c r="ABP146" s="198"/>
      <c r="ABQ146" s="198"/>
      <c r="ABR146" s="198"/>
      <c r="ABS146" s="198"/>
      <c r="ABT146" s="198"/>
      <c r="ABU146" s="198"/>
      <c r="ABV146" s="198"/>
      <c r="ABW146" s="198"/>
      <c r="ABX146" s="198"/>
      <c r="ABY146" s="198"/>
      <c r="ABZ146" s="198"/>
      <c r="ACA146" s="198"/>
      <c r="ACB146" s="198"/>
      <c r="ACC146" s="198"/>
      <c r="ACD146" s="198"/>
      <c r="ACE146" s="198"/>
      <c r="ACF146" s="198"/>
      <c r="ACG146" s="198"/>
      <c r="ACH146" s="198"/>
      <c r="ACI146" s="198"/>
      <c r="ACJ146" s="198"/>
      <c r="ACK146" s="198"/>
      <c r="ACL146" s="198"/>
      <c r="ACM146" s="198"/>
      <c r="ACN146" s="198"/>
      <c r="ACO146" s="198"/>
      <c r="ACP146" s="198"/>
      <c r="ACQ146" s="198"/>
      <c r="ACR146" s="198"/>
      <c r="ACS146" s="198"/>
      <c r="ACT146" s="198"/>
      <c r="ACU146" s="198"/>
      <c r="ACV146" s="198"/>
      <c r="ACW146" s="198"/>
      <c r="ACX146" s="198"/>
      <c r="ACY146" s="198"/>
      <c r="ACZ146" s="198"/>
      <c r="ADA146" s="198"/>
      <c r="ADB146" s="198"/>
      <c r="ADC146" s="198"/>
      <c r="ADD146" s="198"/>
      <c r="ADE146" s="198"/>
      <c r="ADF146" s="198"/>
      <c r="ADG146" s="198"/>
      <c r="ADH146" s="198"/>
      <c r="ADI146" s="198"/>
      <c r="ADJ146" s="198"/>
      <c r="ADK146" s="198"/>
      <c r="ADL146" s="198"/>
      <c r="ADM146" s="198"/>
      <c r="ADN146" s="198"/>
      <c r="ADO146" s="198"/>
      <c r="ADP146" s="198"/>
      <c r="ADQ146" s="198"/>
      <c r="ADR146" s="198"/>
      <c r="ADS146" s="198"/>
      <c r="ADT146" s="198"/>
      <c r="ADU146" s="198"/>
      <c r="ADV146" s="198"/>
      <c r="ADW146" s="198"/>
      <c r="ADX146" s="198"/>
      <c r="ADY146" s="198"/>
      <c r="ADZ146" s="198"/>
      <c r="AEA146" s="198"/>
      <c r="AEB146" s="198"/>
      <c r="AEC146" s="198"/>
      <c r="AED146" s="198"/>
      <c r="AEE146" s="198"/>
      <c r="AEF146" s="198"/>
      <c r="AEG146" s="198"/>
      <c r="AEH146" s="198"/>
      <c r="AEI146" s="198"/>
      <c r="AEJ146" s="198"/>
      <c r="AEK146" s="198"/>
      <c r="AEL146" s="198"/>
      <c r="AEM146" s="198"/>
      <c r="AEN146" s="198"/>
      <c r="AEO146" s="198"/>
      <c r="AEP146" s="198"/>
      <c r="AEQ146" s="198"/>
      <c r="AER146" s="198"/>
      <c r="AES146" s="198"/>
      <c r="AET146" s="198"/>
      <c r="AEU146" s="198"/>
      <c r="AEV146" s="198"/>
      <c r="AEW146" s="198"/>
      <c r="AEX146" s="198"/>
      <c r="AEY146" s="198"/>
      <c r="AEZ146" s="198"/>
      <c r="AFA146" s="198"/>
      <c r="AFB146" s="198"/>
      <c r="AFC146" s="198"/>
      <c r="AFD146" s="198"/>
      <c r="AFE146" s="198"/>
      <c r="AFF146" s="198"/>
      <c r="AFG146" s="198"/>
      <c r="AFH146" s="198"/>
      <c r="AFI146" s="198"/>
      <c r="AFJ146" s="198"/>
      <c r="AFK146" s="198"/>
      <c r="AFL146" s="198"/>
      <c r="AFM146" s="198"/>
      <c r="AFN146" s="198"/>
      <c r="AFO146" s="198"/>
      <c r="AFP146" s="198"/>
      <c r="AFQ146" s="198"/>
      <c r="AFR146" s="198"/>
      <c r="AFS146" s="198"/>
      <c r="AFT146" s="198"/>
      <c r="AFU146" s="198"/>
      <c r="AFV146" s="198"/>
      <c r="AFW146" s="198"/>
      <c r="AFX146" s="198"/>
      <c r="AFY146" s="198"/>
      <c r="AFZ146" s="198"/>
      <c r="AGA146" s="198"/>
      <c r="AGB146" s="198"/>
      <c r="AGC146" s="198"/>
      <c r="AGD146" s="198"/>
      <c r="AGE146" s="198"/>
      <c r="AGF146" s="198"/>
      <c r="AGG146" s="198"/>
      <c r="AGH146" s="198"/>
      <c r="AGI146" s="198"/>
      <c r="AGJ146" s="198"/>
      <c r="AGK146" s="198"/>
      <c r="AGL146" s="198"/>
      <c r="AGM146" s="198"/>
      <c r="AGN146" s="198"/>
      <c r="AGO146" s="198"/>
      <c r="AGP146" s="198"/>
      <c r="AGQ146" s="198"/>
      <c r="AGR146" s="198"/>
      <c r="AGS146" s="198"/>
      <c r="AGT146" s="198"/>
      <c r="AGU146" s="198"/>
      <c r="AGV146" s="198"/>
      <c r="AGW146" s="198"/>
      <c r="AGX146" s="198"/>
      <c r="AGY146" s="198"/>
      <c r="AGZ146" s="198"/>
      <c r="AHA146" s="198"/>
      <c r="AHB146" s="198"/>
      <c r="AHC146" s="198"/>
      <c r="AHD146" s="198"/>
      <c r="AHE146" s="198"/>
      <c r="AHF146" s="198"/>
      <c r="AHG146" s="198"/>
      <c r="AHH146" s="198"/>
      <c r="AHI146" s="198"/>
      <c r="AHJ146" s="198"/>
      <c r="AHK146" s="198"/>
      <c r="AHL146" s="198"/>
      <c r="AHM146" s="198"/>
      <c r="AHN146" s="198"/>
      <c r="AHO146" s="198"/>
      <c r="AHP146" s="198"/>
      <c r="AHQ146" s="198"/>
      <c r="AHR146" s="198"/>
      <c r="AHS146" s="198"/>
      <c r="AHT146" s="198"/>
      <c r="AHU146" s="198"/>
      <c r="AHV146" s="198"/>
      <c r="AHW146" s="198"/>
      <c r="AHX146" s="198"/>
      <c r="AHY146" s="198"/>
      <c r="AHZ146" s="198"/>
      <c r="AIA146" s="198"/>
      <c r="AIB146" s="198"/>
      <c r="AIC146" s="198"/>
      <c r="AID146" s="198"/>
      <c r="AIE146" s="198"/>
      <c r="AIF146" s="198"/>
      <c r="AIG146" s="198"/>
      <c r="AIH146" s="198"/>
      <c r="AII146" s="198"/>
      <c r="AIJ146" s="198"/>
      <c r="AIK146" s="198"/>
      <c r="AIL146" s="198"/>
      <c r="AIM146" s="198"/>
      <c r="AIN146" s="198"/>
      <c r="AIO146" s="198"/>
      <c r="AIP146" s="198"/>
      <c r="AIQ146" s="198"/>
      <c r="AIR146" s="198"/>
      <c r="AIS146" s="198"/>
      <c r="AIT146" s="198"/>
      <c r="AIU146" s="198"/>
      <c r="AIV146" s="198"/>
      <c r="AIW146" s="198"/>
      <c r="AIX146" s="198"/>
      <c r="AIY146" s="198"/>
      <c r="AIZ146" s="198"/>
      <c r="AJA146" s="198"/>
      <c r="AJB146" s="198"/>
      <c r="AJC146" s="198"/>
      <c r="AJD146" s="198"/>
      <c r="AJE146" s="198"/>
      <c r="AJF146" s="198"/>
      <c r="AJG146" s="198"/>
      <c r="AJH146" s="198"/>
      <c r="AJI146" s="198"/>
      <c r="AJJ146" s="198"/>
      <c r="AJK146" s="198"/>
      <c r="AJL146" s="198"/>
      <c r="AJM146" s="198"/>
      <c r="AJN146" s="198"/>
      <c r="AJO146" s="198"/>
      <c r="AJP146" s="198"/>
      <c r="AJQ146" s="198"/>
      <c r="AJR146" s="198"/>
      <c r="AJS146" s="198"/>
      <c r="AJT146" s="198"/>
      <c r="AJU146" s="198"/>
      <c r="AJV146" s="198"/>
      <c r="AJW146" s="198"/>
      <c r="AJX146" s="198"/>
      <c r="AJY146" s="198"/>
      <c r="AJZ146" s="198"/>
      <c r="AKA146" s="198"/>
      <c r="AKB146" s="198"/>
      <c r="AKC146" s="198"/>
      <c r="AKD146" s="198"/>
      <c r="AKE146" s="198"/>
      <c r="AKF146" s="198"/>
      <c r="AKG146" s="198"/>
      <c r="AKH146" s="198"/>
      <c r="AKI146" s="198"/>
      <c r="AKJ146" s="198"/>
      <c r="AKK146" s="198"/>
      <c r="AKL146" s="198"/>
      <c r="AKM146" s="198"/>
      <c r="AKN146" s="198"/>
      <c r="AKO146" s="198"/>
      <c r="AKP146" s="198"/>
      <c r="AKQ146" s="198"/>
      <c r="AKR146" s="198"/>
      <c r="AKS146" s="198"/>
      <c r="AKT146" s="198"/>
      <c r="AKU146" s="198"/>
      <c r="AKV146" s="198"/>
      <c r="AKW146" s="198"/>
      <c r="AKX146" s="198"/>
      <c r="AKY146" s="198"/>
      <c r="AKZ146" s="198"/>
      <c r="ALA146" s="198"/>
      <c r="ALB146" s="198"/>
      <c r="ALC146" s="198"/>
      <c r="ALD146" s="198"/>
      <c r="ALE146" s="198"/>
      <c r="ALF146" s="198"/>
      <c r="ALG146" s="198"/>
      <c r="ALH146" s="198"/>
      <c r="ALI146" s="198"/>
      <c r="ALJ146" s="198"/>
      <c r="ALK146" s="198"/>
      <c r="ALL146" s="198"/>
      <c r="ALM146" s="198"/>
      <c r="ALN146" s="198"/>
      <c r="ALO146" s="198"/>
      <c r="ALP146" s="198"/>
      <c r="ALQ146" s="198"/>
      <c r="ALR146" s="198"/>
      <c r="ALS146" s="198"/>
      <c r="ALT146" s="198"/>
      <c r="ALU146" s="198"/>
      <c r="ALV146" s="198"/>
      <c r="ALW146" s="198"/>
      <c r="ALX146" s="198"/>
      <c r="ALY146" s="198"/>
      <c r="ALZ146" s="198"/>
      <c r="AMA146" s="198"/>
      <c r="AMB146" s="198"/>
      <c r="AMC146" s="198"/>
      <c r="AMD146" s="198"/>
      <c r="AME146" s="198"/>
      <c r="AMF146" s="198"/>
      <c r="AMG146" s="198"/>
      <c r="AMH146" s="198"/>
      <c r="AMI146" s="198"/>
      <c r="AMJ146" s="198"/>
    </row>
    <row r="147" s="196" customFormat="true" ht="15.75" hidden="false" customHeight="true" outlineLevel="0" collapsed="false">
      <c r="A147" s="198"/>
      <c r="B147" s="18"/>
      <c r="C147" s="199" t="s">
        <v>135</v>
      </c>
      <c r="D147" s="200" t="n">
        <v>20</v>
      </c>
      <c r="E147" s="200" t="n">
        <v>1</v>
      </c>
      <c r="F147" s="20"/>
      <c r="G147" s="125"/>
      <c r="H147" s="18"/>
      <c r="I147" s="199" t="s">
        <v>135</v>
      </c>
      <c r="J147" s="200" t="n">
        <v>20</v>
      </c>
      <c r="K147" s="200" t="n">
        <v>1</v>
      </c>
      <c r="L147" s="20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  <c r="AP147" s="198"/>
      <c r="AQ147" s="198"/>
      <c r="AR147" s="198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98"/>
      <c r="BF147" s="198"/>
      <c r="BG147" s="198"/>
      <c r="BH147" s="198"/>
      <c r="BI147" s="198"/>
      <c r="BJ147" s="198"/>
      <c r="BK147" s="198"/>
      <c r="BL147" s="198"/>
      <c r="BM147" s="198"/>
      <c r="BN147" s="198"/>
      <c r="BO147" s="198"/>
      <c r="BP147" s="198"/>
      <c r="BQ147" s="198"/>
      <c r="BR147" s="198"/>
      <c r="BS147" s="198"/>
      <c r="BT147" s="198"/>
      <c r="BU147" s="198"/>
      <c r="BV147" s="198"/>
      <c r="BW147" s="198"/>
      <c r="BX147" s="198"/>
      <c r="BY147" s="198"/>
      <c r="BZ147" s="198"/>
      <c r="CA147" s="198"/>
      <c r="CB147" s="198"/>
      <c r="CC147" s="198"/>
      <c r="CD147" s="198"/>
      <c r="CE147" s="198"/>
      <c r="CF147" s="198"/>
      <c r="CG147" s="198"/>
      <c r="CH147" s="198"/>
      <c r="CI147" s="198"/>
      <c r="CJ147" s="198"/>
      <c r="CK147" s="198"/>
      <c r="CL147" s="198"/>
      <c r="CM147" s="198"/>
      <c r="CN147" s="198"/>
      <c r="CO147" s="198"/>
      <c r="CP147" s="198"/>
      <c r="CQ147" s="198"/>
      <c r="CR147" s="198"/>
      <c r="CS147" s="198"/>
      <c r="CT147" s="198"/>
      <c r="CU147" s="198"/>
      <c r="CV147" s="198"/>
      <c r="CW147" s="198"/>
      <c r="CX147" s="198"/>
      <c r="CY147" s="198"/>
      <c r="CZ147" s="198"/>
      <c r="DA147" s="198"/>
      <c r="DB147" s="198"/>
      <c r="DC147" s="198"/>
      <c r="DD147" s="198"/>
      <c r="DE147" s="198"/>
      <c r="DF147" s="198"/>
      <c r="DG147" s="198"/>
      <c r="DH147" s="198"/>
      <c r="DI147" s="198"/>
      <c r="DJ147" s="198"/>
      <c r="DK147" s="198"/>
      <c r="DL147" s="198"/>
      <c r="DM147" s="198"/>
      <c r="DN147" s="198"/>
      <c r="DO147" s="198"/>
      <c r="DP147" s="198"/>
      <c r="DQ147" s="198"/>
      <c r="DR147" s="198"/>
      <c r="DS147" s="198"/>
      <c r="DT147" s="198"/>
      <c r="DU147" s="198"/>
      <c r="DV147" s="198"/>
      <c r="DW147" s="198"/>
      <c r="DX147" s="198"/>
      <c r="DY147" s="198"/>
      <c r="DZ147" s="198"/>
      <c r="EA147" s="198"/>
      <c r="EB147" s="198"/>
      <c r="EC147" s="198"/>
      <c r="ED147" s="198"/>
      <c r="EE147" s="198"/>
      <c r="EF147" s="198"/>
      <c r="EG147" s="198"/>
      <c r="EH147" s="198"/>
      <c r="EI147" s="198"/>
      <c r="EJ147" s="198"/>
      <c r="EK147" s="198"/>
      <c r="EL147" s="198"/>
      <c r="EM147" s="198"/>
      <c r="EN147" s="198"/>
      <c r="EO147" s="198"/>
      <c r="EP147" s="198"/>
      <c r="EQ147" s="198"/>
      <c r="ER147" s="198"/>
      <c r="ES147" s="198"/>
      <c r="ET147" s="198"/>
      <c r="EU147" s="198"/>
      <c r="EV147" s="198"/>
      <c r="EW147" s="198"/>
      <c r="EX147" s="198"/>
      <c r="EY147" s="198"/>
      <c r="EZ147" s="198"/>
      <c r="FA147" s="198"/>
      <c r="FB147" s="198"/>
      <c r="FC147" s="198"/>
      <c r="FD147" s="198"/>
      <c r="FE147" s="198"/>
      <c r="FF147" s="198"/>
      <c r="FG147" s="198"/>
      <c r="FH147" s="198"/>
      <c r="FI147" s="198"/>
      <c r="FJ147" s="198"/>
      <c r="FK147" s="198"/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198"/>
      <c r="GU147" s="198"/>
      <c r="GV147" s="198"/>
      <c r="GW147" s="198"/>
      <c r="GX147" s="198"/>
      <c r="GY147" s="198"/>
      <c r="GZ147" s="198"/>
      <c r="HA147" s="198"/>
      <c r="HB147" s="198"/>
      <c r="HC147" s="198"/>
      <c r="HD147" s="198"/>
      <c r="HE147" s="198"/>
      <c r="HF147" s="198"/>
      <c r="HG147" s="198"/>
      <c r="HH147" s="198"/>
      <c r="HI147" s="198"/>
      <c r="HJ147" s="198"/>
      <c r="HK147" s="198"/>
      <c r="HL147" s="198"/>
      <c r="HM147" s="198"/>
      <c r="HN147" s="198"/>
      <c r="HO147" s="198"/>
      <c r="HP147" s="198"/>
      <c r="HQ147" s="198"/>
      <c r="HR147" s="198"/>
      <c r="HS147" s="198"/>
      <c r="HT147" s="198"/>
      <c r="HU147" s="198"/>
      <c r="HV147" s="198"/>
      <c r="HW147" s="198"/>
      <c r="HX147" s="198"/>
      <c r="HY147" s="198"/>
      <c r="HZ147" s="198"/>
      <c r="IA147" s="198"/>
      <c r="IB147" s="198"/>
      <c r="IC147" s="198"/>
      <c r="ID147" s="198"/>
      <c r="IE147" s="198"/>
      <c r="IF147" s="198"/>
      <c r="IG147" s="198"/>
      <c r="IH147" s="198"/>
      <c r="II147" s="198"/>
      <c r="IJ147" s="198"/>
      <c r="IK147" s="198"/>
      <c r="IL147" s="198"/>
      <c r="IM147" s="198"/>
      <c r="IN147" s="198"/>
      <c r="IO147" s="198"/>
      <c r="IP147" s="198"/>
      <c r="IQ147" s="198"/>
      <c r="IR147" s="198"/>
      <c r="IS147" s="198"/>
      <c r="IT147" s="198"/>
      <c r="IU147" s="198"/>
      <c r="IV147" s="198"/>
      <c r="IW147" s="198"/>
      <c r="IX147" s="198"/>
      <c r="IY147" s="198"/>
      <c r="IZ147" s="198"/>
      <c r="JA147" s="198"/>
      <c r="JB147" s="198"/>
      <c r="JC147" s="198"/>
      <c r="JD147" s="198"/>
      <c r="JE147" s="198"/>
      <c r="JF147" s="198"/>
      <c r="JG147" s="198"/>
      <c r="JH147" s="198"/>
      <c r="JI147" s="198"/>
      <c r="JJ147" s="198"/>
      <c r="JK147" s="198"/>
      <c r="JL147" s="198"/>
      <c r="JM147" s="198"/>
      <c r="JN147" s="198"/>
      <c r="JO147" s="198"/>
      <c r="JP147" s="198"/>
      <c r="JQ147" s="198"/>
      <c r="JR147" s="198"/>
      <c r="JS147" s="198"/>
      <c r="JT147" s="198"/>
      <c r="JU147" s="198"/>
      <c r="JV147" s="198"/>
      <c r="JW147" s="198"/>
      <c r="JX147" s="198"/>
      <c r="JY147" s="198"/>
      <c r="JZ147" s="198"/>
      <c r="KA147" s="198"/>
      <c r="KB147" s="198"/>
      <c r="KC147" s="198"/>
      <c r="KD147" s="198"/>
      <c r="KE147" s="198"/>
      <c r="KF147" s="198"/>
      <c r="KG147" s="198"/>
      <c r="KH147" s="198"/>
      <c r="KI147" s="198"/>
      <c r="KJ147" s="198"/>
      <c r="KK147" s="198"/>
      <c r="KL147" s="198"/>
      <c r="KM147" s="198"/>
      <c r="KN147" s="198"/>
      <c r="KO147" s="198"/>
      <c r="KP147" s="198"/>
      <c r="KQ147" s="198"/>
      <c r="KR147" s="198"/>
      <c r="KS147" s="198"/>
      <c r="KT147" s="198"/>
      <c r="KU147" s="198"/>
      <c r="KV147" s="198"/>
      <c r="KW147" s="198"/>
      <c r="KX147" s="198"/>
      <c r="KY147" s="198"/>
      <c r="KZ147" s="198"/>
      <c r="LA147" s="198"/>
      <c r="LB147" s="198"/>
      <c r="LC147" s="198"/>
      <c r="LD147" s="198"/>
      <c r="LE147" s="198"/>
      <c r="LF147" s="198"/>
      <c r="LG147" s="198"/>
      <c r="LH147" s="198"/>
      <c r="LI147" s="198"/>
      <c r="LJ147" s="198"/>
      <c r="LK147" s="198"/>
      <c r="LL147" s="198"/>
      <c r="LM147" s="198"/>
      <c r="LN147" s="198"/>
      <c r="LO147" s="198"/>
      <c r="LP147" s="198"/>
      <c r="LQ147" s="198"/>
      <c r="LR147" s="198"/>
      <c r="LS147" s="198"/>
      <c r="LT147" s="198"/>
      <c r="LU147" s="198"/>
      <c r="LV147" s="198"/>
      <c r="LW147" s="198"/>
      <c r="LX147" s="198"/>
      <c r="LY147" s="198"/>
      <c r="LZ147" s="198"/>
      <c r="MA147" s="198"/>
      <c r="MB147" s="198"/>
      <c r="MC147" s="198"/>
      <c r="MD147" s="198"/>
      <c r="ME147" s="198"/>
      <c r="MF147" s="198"/>
      <c r="MG147" s="198"/>
      <c r="MH147" s="198"/>
      <c r="MI147" s="198"/>
      <c r="MJ147" s="198"/>
      <c r="MK147" s="198"/>
      <c r="ML147" s="198"/>
      <c r="MM147" s="198"/>
      <c r="MN147" s="198"/>
      <c r="MO147" s="198"/>
      <c r="MP147" s="198"/>
      <c r="MQ147" s="198"/>
      <c r="MR147" s="198"/>
      <c r="MS147" s="198"/>
      <c r="MT147" s="198"/>
      <c r="MU147" s="198"/>
      <c r="MV147" s="198"/>
      <c r="MW147" s="198"/>
      <c r="MX147" s="198"/>
      <c r="MY147" s="198"/>
      <c r="MZ147" s="198"/>
      <c r="NA147" s="198"/>
      <c r="NB147" s="198"/>
      <c r="NC147" s="198"/>
      <c r="ND147" s="198"/>
      <c r="NE147" s="198"/>
      <c r="NF147" s="198"/>
      <c r="NG147" s="198"/>
      <c r="NH147" s="198"/>
      <c r="NI147" s="198"/>
      <c r="NJ147" s="198"/>
      <c r="NK147" s="198"/>
      <c r="NL147" s="198"/>
      <c r="NM147" s="198"/>
      <c r="NN147" s="198"/>
      <c r="NO147" s="198"/>
      <c r="NP147" s="198"/>
      <c r="NQ147" s="198"/>
      <c r="NR147" s="198"/>
      <c r="NS147" s="198"/>
      <c r="NT147" s="198"/>
      <c r="NU147" s="198"/>
      <c r="NV147" s="198"/>
      <c r="NW147" s="198"/>
      <c r="NX147" s="198"/>
      <c r="NY147" s="198"/>
      <c r="NZ147" s="198"/>
      <c r="OA147" s="198"/>
      <c r="OB147" s="198"/>
      <c r="OC147" s="198"/>
      <c r="OD147" s="198"/>
      <c r="OE147" s="198"/>
      <c r="OF147" s="198"/>
      <c r="OG147" s="198"/>
      <c r="OH147" s="198"/>
      <c r="OI147" s="198"/>
      <c r="OJ147" s="198"/>
      <c r="OK147" s="198"/>
      <c r="OL147" s="198"/>
      <c r="OM147" s="198"/>
      <c r="ON147" s="198"/>
      <c r="OO147" s="198"/>
      <c r="OP147" s="198"/>
      <c r="OQ147" s="198"/>
      <c r="OR147" s="198"/>
      <c r="OS147" s="198"/>
      <c r="OT147" s="198"/>
      <c r="OU147" s="198"/>
      <c r="OV147" s="198"/>
      <c r="OW147" s="198"/>
      <c r="OX147" s="198"/>
      <c r="OY147" s="198"/>
      <c r="OZ147" s="198"/>
      <c r="PA147" s="198"/>
      <c r="PB147" s="198"/>
      <c r="PC147" s="198"/>
      <c r="PD147" s="198"/>
      <c r="PE147" s="198"/>
      <c r="PF147" s="198"/>
      <c r="PG147" s="198"/>
      <c r="PH147" s="198"/>
      <c r="PI147" s="198"/>
      <c r="PJ147" s="198"/>
      <c r="PK147" s="198"/>
      <c r="PL147" s="198"/>
      <c r="PM147" s="198"/>
      <c r="PN147" s="198"/>
      <c r="PO147" s="198"/>
      <c r="PP147" s="198"/>
      <c r="PQ147" s="198"/>
      <c r="PR147" s="198"/>
      <c r="PS147" s="198"/>
      <c r="PT147" s="198"/>
      <c r="PU147" s="198"/>
      <c r="PV147" s="198"/>
      <c r="PW147" s="198"/>
      <c r="PX147" s="198"/>
      <c r="PY147" s="198"/>
      <c r="PZ147" s="198"/>
      <c r="QA147" s="198"/>
      <c r="QB147" s="198"/>
      <c r="QC147" s="198"/>
      <c r="QD147" s="198"/>
      <c r="QE147" s="198"/>
      <c r="QF147" s="198"/>
      <c r="QG147" s="198"/>
      <c r="QH147" s="198"/>
      <c r="QI147" s="198"/>
      <c r="QJ147" s="198"/>
      <c r="QK147" s="198"/>
      <c r="QL147" s="198"/>
      <c r="QM147" s="198"/>
      <c r="QN147" s="198"/>
      <c r="QO147" s="198"/>
      <c r="QP147" s="198"/>
      <c r="QQ147" s="198"/>
      <c r="QR147" s="198"/>
      <c r="QS147" s="198"/>
      <c r="QT147" s="198"/>
      <c r="QU147" s="198"/>
      <c r="QV147" s="198"/>
      <c r="QW147" s="198"/>
      <c r="QX147" s="198"/>
      <c r="QY147" s="198"/>
      <c r="QZ147" s="198"/>
      <c r="RA147" s="198"/>
      <c r="RB147" s="198"/>
      <c r="RC147" s="198"/>
      <c r="RD147" s="198"/>
      <c r="RE147" s="198"/>
      <c r="RF147" s="198"/>
      <c r="RG147" s="198"/>
      <c r="RH147" s="198"/>
      <c r="RI147" s="198"/>
      <c r="RJ147" s="198"/>
      <c r="RK147" s="198"/>
      <c r="RL147" s="198"/>
      <c r="RM147" s="198"/>
      <c r="RN147" s="198"/>
      <c r="RO147" s="198"/>
      <c r="RP147" s="198"/>
      <c r="RQ147" s="198"/>
      <c r="RR147" s="198"/>
      <c r="RS147" s="198"/>
      <c r="RT147" s="198"/>
      <c r="RU147" s="198"/>
      <c r="RV147" s="198"/>
      <c r="RW147" s="198"/>
      <c r="RX147" s="198"/>
      <c r="RY147" s="198"/>
      <c r="RZ147" s="198"/>
      <c r="SA147" s="198"/>
      <c r="SB147" s="198"/>
      <c r="SC147" s="198"/>
      <c r="SD147" s="198"/>
      <c r="SE147" s="198"/>
      <c r="SF147" s="198"/>
      <c r="SG147" s="198"/>
      <c r="SH147" s="198"/>
      <c r="SI147" s="198"/>
      <c r="SJ147" s="198"/>
      <c r="SK147" s="198"/>
      <c r="SL147" s="198"/>
      <c r="SM147" s="198"/>
      <c r="SN147" s="198"/>
      <c r="SO147" s="198"/>
      <c r="SP147" s="198"/>
      <c r="SQ147" s="198"/>
      <c r="SR147" s="198"/>
      <c r="SS147" s="198"/>
      <c r="ST147" s="198"/>
      <c r="SU147" s="198"/>
      <c r="SV147" s="198"/>
      <c r="SW147" s="198"/>
      <c r="SX147" s="198"/>
      <c r="SY147" s="198"/>
      <c r="SZ147" s="198"/>
      <c r="TA147" s="198"/>
      <c r="TB147" s="198"/>
      <c r="TC147" s="198"/>
      <c r="TD147" s="198"/>
      <c r="TE147" s="198"/>
      <c r="TF147" s="198"/>
      <c r="TG147" s="198"/>
      <c r="TH147" s="198"/>
      <c r="TI147" s="198"/>
      <c r="TJ147" s="198"/>
      <c r="TK147" s="198"/>
      <c r="TL147" s="198"/>
      <c r="TM147" s="198"/>
      <c r="TN147" s="198"/>
      <c r="TO147" s="198"/>
      <c r="TP147" s="198"/>
      <c r="TQ147" s="198"/>
      <c r="TR147" s="198"/>
      <c r="TS147" s="198"/>
      <c r="TT147" s="198"/>
      <c r="TU147" s="198"/>
      <c r="TV147" s="198"/>
      <c r="TW147" s="198"/>
      <c r="TX147" s="198"/>
      <c r="TY147" s="198"/>
      <c r="TZ147" s="198"/>
      <c r="UA147" s="198"/>
      <c r="UB147" s="198"/>
      <c r="UC147" s="198"/>
      <c r="UD147" s="198"/>
      <c r="UE147" s="198"/>
      <c r="UF147" s="198"/>
      <c r="UG147" s="198"/>
      <c r="UH147" s="198"/>
      <c r="UI147" s="198"/>
      <c r="UJ147" s="198"/>
      <c r="UK147" s="198"/>
      <c r="UL147" s="198"/>
      <c r="UM147" s="198"/>
      <c r="UN147" s="198"/>
      <c r="UO147" s="198"/>
      <c r="UP147" s="198"/>
      <c r="UQ147" s="198"/>
      <c r="UR147" s="198"/>
      <c r="US147" s="198"/>
      <c r="UT147" s="198"/>
      <c r="UU147" s="198"/>
      <c r="UV147" s="198"/>
      <c r="UW147" s="198"/>
      <c r="UX147" s="198"/>
      <c r="UY147" s="198"/>
      <c r="UZ147" s="198"/>
      <c r="VA147" s="198"/>
      <c r="VB147" s="198"/>
      <c r="VC147" s="198"/>
      <c r="VD147" s="198"/>
      <c r="VE147" s="198"/>
      <c r="VF147" s="198"/>
      <c r="VG147" s="198"/>
      <c r="VH147" s="198"/>
      <c r="VI147" s="198"/>
      <c r="VJ147" s="198"/>
      <c r="VK147" s="198"/>
      <c r="VL147" s="198"/>
      <c r="VM147" s="198"/>
      <c r="VN147" s="198"/>
      <c r="VO147" s="198"/>
      <c r="VP147" s="198"/>
      <c r="VQ147" s="198"/>
      <c r="VR147" s="198"/>
      <c r="VS147" s="198"/>
      <c r="VT147" s="198"/>
      <c r="VU147" s="198"/>
      <c r="VV147" s="198"/>
      <c r="VW147" s="198"/>
      <c r="VX147" s="198"/>
      <c r="VY147" s="198"/>
      <c r="VZ147" s="198"/>
      <c r="WA147" s="198"/>
      <c r="WB147" s="198"/>
      <c r="WC147" s="198"/>
      <c r="WD147" s="198"/>
      <c r="WE147" s="198"/>
      <c r="WF147" s="198"/>
      <c r="WG147" s="198"/>
      <c r="WH147" s="198"/>
      <c r="WI147" s="198"/>
      <c r="WJ147" s="198"/>
      <c r="WK147" s="198"/>
      <c r="WL147" s="198"/>
      <c r="WM147" s="198"/>
      <c r="WN147" s="198"/>
      <c r="WO147" s="198"/>
      <c r="WP147" s="198"/>
      <c r="WQ147" s="198"/>
      <c r="WR147" s="198"/>
      <c r="WS147" s="198"/>
      <c r="WT147" s="198"/>
      <c r="WU147" s="198"/>
      <c r="WV147" s="198"/>
      <c r="WW147" s="198"/>
      <c r="WX147" s="198"/>
      <c r="WY147" s="198"/>
      <c r="WZ147" s="198"/>
      <c r="XA147" s="198"/>
      <c r="XB147" s="198"/>
      <c r="XC147" s="198"/>
      <c r="XD147" s="198"/>
      <c r="XE147" s="198"/>
      <c r="XF147" s="198"/>
      <c r="XG147" s="198"/>
      <c r="XH147" s="198"/>
      <c r="XI147" s="198"/>
      <c r="XJ147" s="198"/>
      <c r="XK147" s="198"/>
      <c r="XL147" s="198"/>
      <c r="XM147" s="198"/>
      <c r="XN147" s="198"/>
      <c r="XO147" s="198"/>
      <c r="XP147" s="198"/>
      <c r="XQ147" s="198"/>
      <c r="XR147" s="198"/>
      <c r="XS147" s="198"/>
      <c r="XT147" s="198"/>
      <c r="XU147" s="198"/>
      <c r="XV147" s="198"/>
      <c r="XW147" s="198"/>
      <c r="XX147" s="198"/>
      <c r="XY147" s="198"/>
      <c r="XZ147" s="198"/>
      <c r="YA147" s="198"/>
      <c r="YB147" s="198"/>
      <c r="YC147" s="198"/>
      <c r="YD147" s="198"/>
      <c r="YE147" s="198"/>
      <c r="YF147" s="198"/>
      <c r="YG147" s="198"/>
      <c r="YH147" s="198"/>
      <c r="YI147" s="198"/>
      <c r="YJ147" s="198"/>
      <c r="YK147" s="198"/>
      <c r="YL147" s="198"/>
      <c r="YM147" s="198"/>
      <c r="YN147" s="198"/>
      <c r="YO147" s="198"/>
      <c r="YP147" s="198"/>
      <c r="YQ147" s="198"/>
      <c r="YR147" s="198"/>
      <c r="YS147" s="198"/>
      <c r="YT147" s="198"/>
      <c r="YU147" s="198"/>
      <c r="YV147" s="198"/>
      <c r="YW147" s="198"/>
      <c r="YX147" s="198"/>
      <c r="YY147" s="198"/>
      <c r="YZ147" s="198"/>
      <c r="ZA147" s="198"/>
      <c r="ZB147" s="198"/>
      <c r="ZC147" s="198"/>
      <c r="ZD147" s="198"/>
      <c r="ZE147" s="198"/>
      <c r="ZF147" s="198"/>
      <c r="ZG147" s="198"/>
      <c r="ZH147" s="198"/>
      <c r="ZI147" s="198"/>
      <c r="ZJ147" s="198"/>
      <c r="ZK147" s="198"/>
      <c r="ZL147" s="198"/>
      <c r="ZM147" s="198"/>
      <c r="ZN147" s="198"/>
      <c r="ZO147" s="198"/>
      <c r="ZP147" s="198"/>
      <c r="ZQ147" s="198"/>
      <c r="ZR147" s="198"/>
      <c r="ZS147" s="198"/>
      <c r="ZT147" s="198"/>
      <c r="ZU147" s="198"/>
      <c r="ZV147" s="198"/>
      <c r="ZW147" s="198"/>
      <c r="ZX147" s="198"/>
      <c r="ZY147" s="198"/>
      <c r="ZZ147" s="198"/>
      <c r="AAA147" s="198"/>
      <c r="AAB147" s="198"/>
      <c r="AAC147" s="198"/>
      <c r="AAD147" s="198"/>
      <c r="AAE147" s="198"/>
      <c r="AAF147" s="198"/>
      <c r="AAG147" s="198"/>
      <c r="AAH147" s="198"/>
      <c r="AAI147" s="198"/>
      <c r="AAJ147" s="198"/>
      <c r="AAK147" s="198"/>
      <c r="AAL147" s="198"/>
      <c r="AAM147" s="198"/>
      <c r="AAN147" s="198"/>
      <c r="AAO147" s="198"/>
      <c r="AAP147" s="198"/>
      <c r="AAQ147" s="198"/>
      <c r="AAR147" s="198"/>
      <c r="AAS147" s="198"/>
      <c r="AAT147" s="198"/>
      <c r="AAU147" s="198"/>
      <c r="AAV147" s="198"/>
      <c r="AAW147" s="198"/>
      <c r="AAX147" s="198"/>
      <c r="AAY147" s="198"/>
      <c r="AAZ147" s="198"/>
      <c r="ABA147" s="198"/>
      <c r="ABB147" s="198"/>
      <c r="ABC147" s="198"/>
      <c r="ABD147" s="198"/>
      <c r="ABE147" s="198"/>
      <c r="ABF147" s="198"/>
      <c r="ABG147" s="198"/>
      <c r="ABH147" s="198"/>
      <c r="ABI147" s="198"/>
      <c r="ABJ147" s="198"/>
      <c r="ABK147" s="198"/>
      <c r="ABL147" s="198"/>
      <c r="ABM147" s="198"/>
      <c r="ABN147" s="198"/>
      <c r="ABO147" s="198"/>
      <c r="ABP147" s="198"/>
      <c r="ABQ147" s="198"/>
      <c r="ABR147" s="198"/>
      <c r="ABS147" s="198"/>
      <c r="ABT147" s="198"/>
      <c r="ABU147" s="198"/>
      <c r="ABV147" s="198"/>
      <c r="ABW147" s="198"/>
      <c r="ABX147" s="198"/>
      <c r="ABY147" s="198"/>
      <c r="ABZ147" s="198"/>
      <c r="ACA147" s="198"/>
      <c r="ACB147" s="198"/>
      <c r="ACC147" s="198"/>
      <c r="ACD147" s="198"/>
      <c r="ACE147" s="198"/>
      <c r="ACF147" s="198"/>
      <c r="ACG147" s="198"/>
      <c r="ACH147" s="198"/>
      <c r="ACI147" s="198"/>
      <c r="ACJ147" s="198"/>
      <c r="ACK147" s="198"/>
      <c r="ACL147" s="198"/>
      <c r="ACM147" s="198"/>
      <c r="ACN147" s="198"/>
      <c r="ACO147" s="198"/>
      <c r="ACP147" s="198"/>
      <c r="ACQ147" s="198"/>
      <c r="ACR147" s="198"/>
      <c r="ACS147" s="198"/>
      <c r="ACT147" s="198"/>
      <c r="ACU147" s="198"/>
      <c r="ACV147" s="198"/>
      <c r="ACW147" s="198"/>
      <c r="ACX147" s="198"/>
      <c r="ACY147" s="198"/>
      <c r="ACZ147" s="198"/>
      <c r="ADA147" s="198"/>
      <c r="ADB147" s="198"/>
      <c r="ADC147" s="198"/>
      <c r="ADD147" s="198"/>
      <c r="ADE147" s="198"/>
      <c r="ADF147" s="198"/>
      <c r="ADG147" s="198"/>
      <c r="ADH147" s="198"/>
      <c r="ADI147" s="198"/>
      <c r="ADJ147" s="198"/>
      <c r="ADK147" s="198"/>
      <c r="ADL147" s="198"/>
      <c r="ADM147" s="198"/>
      <c r="ADN147" s="198"/>
      <c r="ADO147" s="198"/>
      <c r="ADP147" s="198"/>
      <c r="ADQ147" s="198"/>
      <c r="ADR147" s="198"/>
      <c r="ADS147" s="198"/>
      <c r="ADT147" s="198"/>
      <c r="ADU147" s="198"/>
      <c r="ADV147" s="198"/>
      <c r="ADW147" s="198"/>
      <c r="ADX147" s="198"/>
      <c r="ADY147" s="198"/>
      <c r="ADZ147" s="198"/>
      <c r="AEA147" s="198"/>
      <c r="AEB147" s="198"/>
      <c r="AEC147" s="198"/>
      <c r="AED147" s="198"/>
      <c r="AEE147" s="198"/>
      <c r="AEF147" s="198"/>
      <c r="AEG147" s="198"/>
      <c r="AEH147" s="198"/>
      <c r="AEI147" s="198"/>
      <c r="AEJ147" s="198"/>
      <c r="AEK147" s="198"/>
      <c r="AEL147" s="198"/>
      <c r="AEM147" s="198"/>
      <c r="AEN147" s="198"/>
      <c r="AEO147" s="198"/>
      <c r="AEP147" s="198"/>
      <c r="AEQ147" s="198"/>
      <c r="AER147" s="198"/>
      <c r="AES147" s="198"/>
      <c r="AET147" s="198"/>
      <c r="AEU147" s="198"/>
      <c r="AEV147" s="198"/>
      <c r="AEW147" s="198"/>
      <c r="AEX147" s="198"/>
      <c r="AEY147" s="198"/>
      <c r="AEZ147" s="198"/>
      <c r="AFA147" s="198"/>
      <c r="AFB147" s="198"/>
      <c r="AFC147" s="198"/>
      <c r="AFD147" s="198"/>
      <c r="AFE147" s="198"/>
      <c r="AFF147" s="198"/>
      <c r="AFG147" s="198"/>
      <c r="AFH147" s="198"/>
      <c r="AFI147" s="198"/>
      <c r="AFJ147" s="198"/>
      <c r="AFK147" s="198"/>
      <c r="AFL147" s="198"/>
      <c r="AFM147" s="198"/>
      <c r="AFN147" s="198"/>
      <c r="AFO147" s="198"/>
      <c r="AFP147" s="198"/>
      <c r="AFQ147" s="198"/>
      <c r="AFR147" s="198"/>
      <c r="AFS147" s="198"/>
      <c r="AFT147" s="198"/>
      <c r="AFU147" s="198"/>
      <c r="AFV147" s="198"/>
      <c r="AFW147" s="198"/>
      <c r="AFX147" s="198"/>
      <c r="AFY147" s="198"/>
      <c r="AFZ147" s="198"/>
      <c r="AGA147" s="198"/>
      <c r="AGB147" s="198"/>
      <c r="AGC147" s="198"/>
      <c r="AGD147" s="198"/>
      <c r="AGE147" s="198"/>
      <c r="AGF147" s="198"/>
      <c r="AGG147" s="198"/>
      <c r="AGH147" s="198"/>
      <c r="AGI147" s="198"/>
      <c r="AGJ147" s="198"/>
      <c r="AGK147" s="198"/>
      <c r="AGL147" s="198"/>
      <c r="AGM147" s="198"/>
      <c r="AGN147" s="198"/>
      <c r="AGO147" s="198"/>
      <c r="AGP147" s="198"/>
      <c r="AGQ147" s="198"/>
      <c r="AGR147" s="198"/>
      <c r="AGS147" s="198"/>
      <c r="AGT147" s="198"/>
      <c r="AGU147" s="198"/>
      <c r="AGV147" s="198"/>
      <c r="AGW147" s="198"/>
      <c r="AGX147" s="198"/>
      <c r="AGY147" s="198"/>
      <c r="AGZ147" s="198"/>
      <c r="AHA147" s="198"/>
      <c r="AHB147" s="198"/>
      <c r="AHC147" s="198"/>
      <c r="AHD147" s="198"/>
      <c r="AHE147" s="198"/>
      <c r="AHF147" s="198"/>
      <c r="AHG147" s="198"/>
      <c r="AHH147" s="198"/>
      <c r="AHI147" s="198"/>
      <c r="AHJ147" s="198"/>
      <c r="AHK147" s="198"/>
      <c r="AHL147" s="198"/>
      <c r="AHM147" s="198"/>
      <c r="AHN147" s="198"/>
      <c r="AHO147" s="198"/>
      <c r="AHP147" s="198"/>
      <c r="AHQ147" s="198"/>
      <c r="AHR147" s="198"/>
      <c r="AHS147" s="198"/>
      <c r="AHT147" s="198"/>
      <c r="AHU147" s="198"/>
      <c r="AHV147" s="198"/>
      <c r="AHW147" s="198"/>
      <c r="AHX147" s="198"/>
      <c r="AHY147" s="198"/>
      <c r="AHZ147" s="198"/>
      <c r="AIA147" s="198"/>
      <c r="AIB147" s="198"/>
      <c r="AIC147" s="198"/>
      <c r="AID147" s="198"/>
      <c r="AIE147" s="198"/>
      <c r="AIF147" s="198"/>
      <c r="AIG147" s="198"/>
      <c r="AIH147" s="198"/>
      <c r="AII147" s="198"/>
      <c r="AIJ147" s="198"/>
      <c r="AIK147" s="198"/>
      <c r="AIL147" s="198"/>
      <c r="AIM147" s="198"/>
      <c r="AIN147" s="198"/>
      <c r="AIO147" s="198"/>
      <c r="AIP147" s="198"/>
      <c r="AIQ147" s="198"/>
      <c r="AIR147" s="198"/>
      <c r="AIS147" s="198"/>
      <c r="AIT147" s="198"/>
      <c r="AIU147" s="198"/>
      <c r="AIV147" s="198"/>
      <c r="AIW147" s="198"/>
      <c r="AIX147" s="198"/>
      <c r="AIY147" s="198"/>
      <c r="AIZ147" s="198"/>
      <c r="AJA147" s="198"/>
      <c r="AJB147" s="198"/>
      <c r="AJC147" s="198"/>
      <c r="AJD147" s="198"/>
      <c r="AJE147" s="198"/>
      <c r="AJF147" s="198"/>
      <c r="AJG147" s="198"/>
      <c r="AJH147" s="198"/>
      <c r="AJI147" s="198"/>
      <c r="AJJ147" s="198"/>
      <c r="AJK147" s="198"/>
      <c r="AJL147" s="198"/>
      <c r="AJM147" s="198"/>
      <c r="AJN147" s="198"/>
      <c r="AJO147" s="198"/>
      <c r="AJP147" s="198"/>
      <c r="AJQ147" s="198"/>
      <c r="AJR147" s="198"/>
      <c r="AJS147" s="198"/>
      <c r="AJT147" s="198"/>
      <c r="AJU147" s="198"/>
      <c r="AJV147" s="198"/>
      <c r="AJW147" s="198"/>
      <c r="AJX147" s="198"/>
      <c r="AJY147" s="198"/>
      <c r="AJZ147" s="198"/>
      <c r="AKA147" s="198"/>
      <c r="AKB147" s="198"/>
      <c r="AKC147" s="198"/>
      <c r="AKD147" s="198"/>
      <c r="AKE147" s="198"/>
      <c r="AKF147" s="198"/>
      <c r="AKG147" s="198"/>
      <c r="AKH147" s="198"/>
      <c r="AKI147" s="198"/>
      <c r="AKJ147" s="198"/>
      <c r="AKK147" s="198"/>
      <c r="AKL147" s="198"/>
      <c r="AKM147" s="198"/>
      <c r="AKN147" s="198"/>
      <c r="AKO147" s="198"/>
      <c r="AKP147" s="198"/>
      <c r="AKQ147" s="198"/>
      <c r="AKR147" s="198"/>
      <c r="AKS147" s="198"/>
      <c r="AKT147" s="198"/>
      <c r="AKU147" s="198"/>
      <c r="AKV147" s="198"/>
      <c r="AKW147" s="198"/>
      <c r="AKX147" s="198"/>
      <c r="AKY147" s="198"/>
      <c r="AKZ147" s="198"/>
      <c r="ALA147" s="198"/>
      <c r="ALB147" s="198"/>
      <c r="ALC147" s="198"/>
      <c r="ALD147" s="198"/>
      <c r="ALE147" s="198"/>
      <c r="ALF147" s="198"/>
      <c r="ALG147" s="198"/>
      <c r="ALH147" s="198"/>
      <c r="ALI147" s="198"/>
      <c r="ALJ147" s="198"/>
      <c r="ALK147" s="198"/>
      <c r="ALL147" s="198"/>
      <c r="ALM147" s="198"/>
      <c r="ALN147" s="198"/>
      <c r="ALO147" s="198"/>
      <c r="ALP147" s="198"/>
      <c r="ALQ147" s="198"/>
      <c r="ALR147" s="198"/>
      <c r="ALS147" s="198"/>
      <c r="ALT147" s="198"/>
      <c r="ALU147" s="198"/>
      <c r="ALV147" s="198"/>
      <c r="ALW147" s="198"/>
      <c r="ALX147" s="198"/>
      <c r="ALY147" s="198"/>
      <c r="ALZ147" s="198"/>
      <c r="AMA147" s="198"/>
      <c r="AMB147" s="198"/>
      <c r="AMC147" s="198"/>
      <c r="AMD147" s="198"/>
      <c r="AME147" s="198"/>
      <c r="AMF147" s="198"/>
      <c r="AMG147" s="198"/>
      <c r="AMH147" s="198"/>
      <c r="AMI147" s="198"/>
      <c r="AMJ147" s="198"/>
    </row>
    <row r="148" s="196" customFormat="true" ht="15.75" hidden="false" customHeight="true" outlineLevel="0" collapsed="false">
      <c r="A148" s="198"/>
      <c r="B148" s="201"/>
      <c r="C148" s="202" t="s">
        <v>38</v>
      </c>
      <c r="D148" s="203" t="n">
        <f aca="false">SUM(D147+D145+D144+D143+D141+D140+D138+D137+D135+D134+D132+D131+D130+D126)+D127+D128</f>
        <v>450</v>
      </c>
      <c r="E148" s="68"/>
      <c r="F148" s="204" t="n">
        <f aca="false">F125+F129+F133+F136+F139+F142+F146</f>
        <v>20</v>
      </c>
      <c r="G148" s="205"/>
      <c r="H148" s="201"/>
      <c r="I148" s="202" t="s">
        <v>38</v>
      </c>
      <c r="J148" s="203" t="n">
        <f aca="false">J126+J127+J128+J130+J131+J134+J136+J137+J139+J140+J143+J144+J145+J147+J141+J133</f>
        <v>450</v>
      </c>
      <c r="K148" s="68"/>
      <c r="L148" s="204" t="n">
        <f aca="false">L125+L129+L135+L132+L138+L142+L146</f>
        <v>20</v>
      </c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98"/>
      <c r="BF148" s="198"/>
      <c r="BG148" s="198"/>
      <c r="BH148" s="198"/>
      <c r="BI148" s="198"/>
      <c r="BJ148" s="198"/>
      <c r="BK148" s="198"/>
      <c r="BL148" s="198"/>
      <c r="BM148" s="198"/>
      <c r="BN148" s="198"/>
      <c r="BO148" s="198"/>
      <c r="BP148" s="198"/>
      <c r="BQ148" s="198"/>
      <c r="BR148" s="198"/>
      <c r="BS148" s="198"/>
      <c r="BT148" s="198"/>
      <c r="BU148" s="198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198"/>
      <c r="CF148" s="198"/>
      <c r="CG148" s="198"/>
      <c r="CH148" s="198"/>
      <c r="CI148" s="198"/>
      <c r="CJ148" s="198"/>
      <c r="CK148" s="198"/>
      <c r="CL148" s="198"/>
      <c r="CM148" s="198"/>
      <c r="CN148" s="198"/>
      <c r="CO148" s="198"/>
      <c r="CP148" s="198"/>
      <c r="CQ148" s="198"/>
      <c r="CR148" s="198"/>
      <c r="CS148" s="198"/>
      <c r="CT148" s="198"/>
      <c r="CU148" s="198"/>
      <c r="CV148" s="198"/>
      <c r="CW148" s="198"/>
      <c r="CX148" s="198"/>
      <c r="CY148" s="198"/>
      <c r="CZ148" s="198"/>
      <c r="DA148" s="198"/>
      <c r="DB148" s="198"/>
      <c r="DC148" s="198"/>
      <c r="DD148" s="198"/>
      <c r="DE148" s="198"/>
      <c r="DF148" s="198"/>
      <c r="DG148" s="198"/>
      <c r="DH148" s="198"/>
      <c r="DI148" s="198"/>
      <c r="DJ148" s="198"/>
      <c r="DK148" s="198"/>
      <c r="DL148" s="198"/>
      <c r="DM148" s="198"/>
      <c r="DN148" s="198"/>
      <c r="DO148" s="198"/>
      <c r="DP148" s="198"/>
      <c r="DQ148" s="198"/>
      <c r="DR148" s="198"/>
      <c r="DS148" s="198"/>
      <c r="DT148" s="198"/>
      <c r="DU148" s="198"/>
      <c r="DV148" s="198"/>
      <c r="DW148" s="198"/>
      <c r="DX148" s="198"/>
      <c r="DY148" s="198"/>
      <c r="DZ148" s="198"/>
      <c r="EA148" s="198"/>
      <c r="EB148" s="198"/>
      <c r="EC148" s="198"/>
      <c r="ED148" s="198"/>
      <c r="EE148" s="198"/>
      <c r="EF148" s="198"/>
      <c r="EG148" s="198"/>
      <c r="EH148" s="198"/>
      <c r="EI148" s="198"/>
      <c r="EJ148" s="198"/>
      <c r="EK148" s="198"/>
      <c r="EL148" s="198"/>
      <c r="EM148" s="198"/>
      <c r="EN148" s="198"/>
      <c r="EO148" s="198"/>
      <c r="EP148" s="198"/>
      <c r="EQ148" s="198"/>
      <c r="ER148" s="198"/>
      <c r="ES148" s="198"/>
      <c r="ET148" s="198"/>
      <c r="EU148" s="198"/>
      <c r="EV148" s="198"/>
      <c r="EW148" s="198"/>
      <c r="EX148" s="198"/>
      <c r="EY148" s="198"/>
      <c r="EZ148" s="198"/>
      <c r="FA148" s="198"/>
      <c r="FB148" s="198"/>
      <c r="FC148" s="198"/>
      <c r="FD148" s="198"/>
      <c r="FE148" s="198"/>
      <c r="FF148" s="198"/>
      <c r="FG148" s="198"/>
      <c r="FH148" s="198"/>
      <c r="FI148" s="198"/>
      <c r="FJ148" s="198"/>
      <c r="FK148" s="198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198"/>
      <c r="GU148" s="198"/>
      <c r="GV148" s="198"/>
      <c r="GW148" s="198"/>
      <c r="GX148" s="198"/>
      <c r="GY148" s="198"/>
      <c r="GZ148" s="198"/>
      <c r="HA148" s="198"/>
      <c r="HB148" s="198"/>
      <c r="HC148" s="198"/>
      <c r="HD148" s="198"/>
      <c r="HE148" s="198"/>
      <c r="HF148" s="198"/>
      <c r="HG148" s="198"/>
      <c r="HH148" s="198"/>
      <c r="HI148" s="198"/>
      <c r="HJ148" s="198"/>
      <c r="HK148" s="198"/>
      <c r="HL148" s="198"/>
      <c r="HM148" s="198"/>
      <c r="HN148" s="198"/>
      <c r="HO148" s="198"/>
      <c r="HP148" s="198"/>
      <c r="HQ148" s="198"/>
      <c r="HR148" s="198"/>
      <c r="HS148" s="198"/>
      <c r="HT148" s="198"/>
      <c r="HU148" s="198"/>
      <c r="HV148" s="198"/>
      <c r="HW148" s="198"/>
      <c r="HX148" s="198"/>
      <c r="HY148" s="198"/>
      <c r="HZ148" s="198"/>
      <c r="IA148" s="198"/>
      <c r="IB148" s="198"/>
      <c r="IC148" s="198"/>
      <c r="ID148" s="198"/>
      <c r="IE148" s="198"/>
      <c r="IF148" s="198"/>
      <c r="IG148" s="198"/>
      <c r="IH148" s="198"/>
      <c r="II148" s="198"/>
      <c r="IJ148" s="198"/>
      <c r="IK148" s="198"/>
      <c r="IL148" s="198"/>
      <c r="IM148" s="198"/>
      <c r="IN148" s="198"/>
      <c r="IO148" s="198"/>
      <c r="IP148" s="198"/>
      <c r="IQ148" s="198"/>
      <c r="IR148" s="198"/>
      <c r="IS148" s="198"/>
      <c r="IT148" s="198"/>
      <c r="IU148" s="198"/>
      <c r="IV148" s="198"/>
      <c r="IW148" s="198"/>
      <c r="IX148" s="198"/>
      <c r="IY148" s="198"/>
      <c r="IZ148" s="198"/>
      <c r="JA148" s="198"/>
      <c r="JB148" s="198"/>
      <c r="JC148" s="198"/>
      <c r="JD148" s="198"/>
      <c r="JE148" s="198"/>
      <c r="JF148" s="198"/>
      <c r="JG148" s="198"/>
      <c r="JH148" s="198"/>
      <c r="JI148" s="198"/>
      <c r="JJ148" s="198"/>
      <c r="JK148" s="198"/>
      <c r="JL148" s="198"/>
      <c r="JM148" s="198"/>
      <c r="JN148" s="198"/>
      <c r="JO148" s="198"/>
      <c r="JP148" s="198"/>
      <c r="JQ148" s="198"/>
      <c r="JR148" s="198"/>
      <c r="JS148" s="198"/>
      <c r="JT148" s="198"/>
      <c r="JU148" s="198"/>
      <c r="JV148" s="198"/>
      <c r="JW148" s="198"/>
      <c r="JX148" s="198"/>
      <c r="JY148" s="198"/>
      <c r="JZ148" s="198"/>
      <c r="KA148" s="198"/>
      <c r="KB148" s="198"/>
      <c r="KC148" s="198"/>
      <c r="KD148" s="198"/>
      <c r="KE148" s="198"/>
      <c r="KF148" s="198"/>
      <c r="KG148" s="198"/>
      <c r="KH148" s="198"/>
      <c r="KI148" s="198"/>
      <c r="KJ148" s="198"/>
      <c r="KK148" s="198"/>
      <c r="KL148" s="198"/>
      <c r="KM148" s="198"/>
      <c r="KN148" s="198"/>
      <c r="KO148" s="198"/>
      <c r="KP148" s="198"/>
      <c r="KQ148" s="198"/>
      <c r="KR148" s="198"/>
      <c r="KS148" s="198"/>
      <c r="KT148" s="198"/>
      <c r="KU148" s="198"/>
      <c r="KV148" s="198"/>
      <c r="KW148" s="198"/>
      <c r="KX148" s="198"/>
      <c r="KY148" s="198"/>
      <c r="KZ148" s="198"/>
      <c r="LA148" s="198"/>
      <c r="LB148" s="198"/>
      <c r="LC148" s="198"/>
      <c r="LD148" s="198"/>
      <c r="LE148" s="198"/>
      <c r="LF148" s="198"/>
      <c r="LG148" s="198"/>
      <c r="LH148" s="198"/>
      <c r="LI148" s="198"/>
      <c r="LJ148" s="198"/>
      <c r="LK148" s="198"/>
      <c r="LL148" s="198"/>
      <c r="LM148" s="198"/>
      <c r="LN148" s="198"/>
      <c r="LO148" s="198"/>
      <c r="LP148" s="198"/>
      <c r="LQ148" s="198"/>
      <c r="LR148" s="198"/>
      <c r="LS148" s="198"/>
      <c r="LT148" s="198"/>
      <c r="LU148" s="198"/>
      <c r="LV148" s="198"/>
      <c r="LW148" s="198"/>
      <c r="LX148" s="198"/>
      <c r="LY148" s="198"/>
      <c r="LZ148" s="198"/>
      <c r="MA148" s="198"/>
      <c r="MB148" s="198"/>
      <c r="MC148" s="198"/>
      <c r="MD148" s="198"/>
      <c r="ME148" s="198"/>
      <c r="MF148" s="198"/>
      <c r="MG148" s="198"/>
      <c r="MH148" s="198"/>
      <c r="MI148" s="198"/>
      <c r="MJ148" s="198"/>
      <c r="MK148" s="198"/>
      <c r="ML148" s="198"/>
      <c r="MM148" s="198"/>
      <c r="MN148" s="198"/>
      <c r="MO148" s="198"/>
      <c r="MP148" s="198"/>
      <c r="MQ148" s="198"/>
      <c r="MR148" s="198"/>
      <c r="MS148" s="198"/>
      <c r="MT148" s="198"/>
      <c r="MU148" s="198"/>
      <c r="MV148" s="198"/>
      <c r="MW148" s="198"/>
      <c r="MX148" s="198"/>
      <c r="MY148" s="198"/>
      <c r="MZ148" s="198"/>
      <c r="NA148" s="198"/>
      <c r="NB148" s="198"/>
      <c r="NC148" s="198"/>
      <c r="ND148" s="198"/>
      <c r="NE148" s="198"/>
      <c r="NF148" s="198"/>
      <c r="NG148" s="198"/>
      <c r="NH148" s="198"/>
      <c r="NI148" s="198"/>
      <c r="NJ148" s="198"/>
      <c r="NK148" s="198"/>
      <c r="NL148" s="198"/>
      <c r="NM148" s="198"/>
      <c r="NN148" s="198"/>
      <c r="NO148" s="198"/>
      <c r="NP148" s="198"/>
      <c r="NQ148" s="198"/>
      <c r="NR148" s="198"/>
      <c r="NS148" s="198"/>
      <c r="NT148" s="198"/>
      <c r="NU148" s="198"/>
      <c r="NV148" s="198"/>
      <c r="NW148" s="198"/>
      <c r="NX148" s="198"/>
      <c r="NY148" s="198"/>
      <c r="NZ148" s="198"/>
      <c r="OA148" s="198"/>
      <c r="OB148" s="198"/>
      <c r="OC148" s="198"/>
      <c r="OD148" s="198"/>
      <c r="OE148" s="198"/>
      <c r="OF148" s="198"/>
      <c r="OG148" s="198"/>
      <c r="OH148" s="198"/>
      <c r="OI148" s="198"/>
      <c r="OJ148" s="198"/>
      <c r="OK148" s="198"/>
      <c r="OL148" s="198"/>
      <c r="OM148" s="198"/>
      <c r="ON148" s="198"/>
      <c r="OO148" s="198"/>
      <c r="OP148" s="198"/>
      <c r="OQ148" s="198"/>
      <c r="OR148" s="198"/>
      <c r="OS148" s="198"/>
      <c r="OT148" s="198"/>
      <c r="OU148" s="198"/>
      <c r="OV148" s="198"/>
      <c r="OW148" s="198"/>
      <c r="OX148" s="198"/>
      <c r="OY148" s="198"/>
      <c r="OZ148" s="198"/>
      <c r="PA148" s="198"/>
      <c r="PB148" s="198"/>
      <c r="PC148" s="198"/>
      <c r="PD148" s="198"/>
      <c r="PE148" s="198"/>
      <c r="PF148" s="198"/>
      <c r="PG148" s="198"/>
      <c r="PH148" s="198"/>
      <c r="PI148" s="198"/>
      <c r="PJ148" s="198"/>
      <c r="PK148" s="198"/>
      <c r="PL148" s="198"/>
      <c r="PM148" s="198"/>
      <c r="PN148" s="198"/>
      <c r="PO148" s="198"/>
      <c r="PP148" s="198"/>
      <c r="PQ148" s="198"/>
      <c r="PR148" s="198"/>
      <c r="PS148" s="198"/>
      <c r="PT148" s="198"/>
      <c r="PU148" s="198"/>
      <c r="PV148" s="198"/>
      <c r="PW148" s="198"/>
      <c r="PX148" s="198"/>
      <c r="PY148" s="198"/>
      <c r="PZ148" s="198"/>
      <c r="QA148" s="198"/>
      <c r="QB148" s="198"/>
      <c r="QC148" s="198"/>
      <c r="QD148" s="198"/>
      <c r="QE148" s="198"/>
      <c r="QF148" s="198"/>
      <c r="QG148" s="198"/>
      <c r="QH148" s="198"/>
      <c r="QI148" s="198"/>
      <c r="QJ148" s="198"/>
      <c r="QK148" s="198"/>
      <c r="QL148" s="198"/>
      <c r="QM148" s="198"/>
      <c r="QN148" s="198"/>
      <c r="QO148" s="198"/>
      <c r="QP148" s="198"/>
      <c r="QQ148" s="198"/>
      <c r="QR148" s="198"/>
      <c r="QS148" s="198"/>
      <c r="QT148" s="198"/>
      <c r="QU148" s="198"/>
      <c r="QV148" s="198"/>
      <c r="QW148" s="198"/>
      <c r="QX148" s="198"/>
      <c r="QY148" s="198"/>
      <c r="QZ148" s="198"/>
      <c r="RA148" s="198"/>
      <c r="RB148" s="198"/>
      <c r="RC148" s="198"/>
      <c r="RD148" s="198"/>
      <c r="RE148" s="198"/>
      <c r="RF148" s="198"/>
      <c r="RG148" s="198"/>
      <c r="RH148" s="198"/>
      <c r="RI148" s="198"/>
      <c r="RJ148" s="198"/>
      <c r="RK148" s="198"/>
      <c r="RL148" s="198"/>
      <c r="RM148" s="198"/>
      <c r="RN148" s="198"/>
      <c r="RO148" s="198"/>
      <c r="RP148" s="198"/>
      <c r="RQ148" s="198"/>
      <c r="RR148" s="198"/>
      <c r="RS148" s="198"/>
      <c r="RT148" s="198"/>
      <c r="RU148" s="198"/>
      <c r="RV148" s="198"/>
      <c r="RW148" s="198"/>
      <c r="RX148" s="198"/>
      <c r="RY148" s="198"/>
      <c r="RZ148" s="198"/>
      <c r="SA148" s="198"/>
      <c r="SB148" s="198"/>
      <c r="SC148" s="198"/>
      <c r="SD148" s="198"/>
      <c r="SE148" s="198"/>
      <c r="SF148" s="198"/>
      <c r="SG148" s="198"/>
      <c r="SH148" s="198"/>
      <c r="SI148" s="198"/>
      <c r="SJ148" s="198"/>
      <c r="SK148" s="198"/>
      <c r="SL148" s="198"/>
      <c r="SM148" s="198"/>
      <c r="SN148" s="198"/>
      <c r="SO148" s="198"/>
      <c r="SP148" s="198"/>
      <c r="SQ148" s="198"/>
      <c r="SR148" s="198"/>
      <c r="SS148" s="198"/>
      <c r="ST148" s="198"/>
      <c r="SU148" s="198"/>
      <c r="SV148" s="198"/>
      <c r="SW148" s="198"/>
      <c r="SX148" s="198"/>
      <c r="SY148" s="198"/>
      <c r="SZ148" s="198"/>
      <c r="TA148" s="198"/>
      <c r="TB148" s="198"/>
      <c r="TC148" s="198"/>
      <c r="TD148" s="198"/>
      <c r="TE148" s="198"/>
      <c r="TF148" s="198"/>
      <c r="TG148" s="198"/>
      <c r="TH148" s="198"/>
      <c r="TI148" s="198"/>
      <c r="TJ148" s="198"/>
      <c r="TK148" s="198"/>
      <c r="TL148" s="198"/>
      <c r="TM148" s="198"/>
      <c r="TN148" s="198"/>
      <c r="TO148" s="198"/>
      <c r="TP148" s="198"/>
      <c r="TQ148" s="198"/>
      <c r="TR148" s="198"/>
      <c r="TS148" s="198"/>
      <c r="TT148" s="198"/>
      <c r="TU148" s="198"/>
      <c r="TV148" s="198"/>
      <c r="TW148" s="198"/>
      <c r="TX148" s="198"/>
      <c r="TY148" s="198"/>
      <c r="TZ148" s="198"/>
      <c r="UA148" s="198"/>
      <c r="UB148" s="198"/>
      <c r="UC148" s="198"/>
      <c r="UD148" s="198"/>
      <c r="UE148" s="198"/>
      <c r="UF148" s="198"/>
      <c r="UG148" s="198"/>
      <c r="UH148" s="198"/>
      <c r="UI148" s="198"/>
      <c r="UJ148" s="198"/>
      <c r="UK148" s="198"/>
      <c r="UL148" s="198"/>
      <c r="UM148" s="198"/>
      <c r="UN148" s="198"/>
      <c r="UO148" s="198"/>
      <c r="UP148" s="198"/>
      <c r="UQ148" s="198"/>
      <c r="UR148" s="198"/>
      <c r="US148" s="198"/>
      <c r="UT148" s="198"/>
      <c r="UU148" s="198"/>
      <c r="UV148" s="198"/>
      <c r="UW148" s="198"/>
      <c r="UX148" s="198"/>
      <c r="UY148" s="198"/>
      <c r="UZ148" s="198"/>
      <c r="VA148" s="198"/>
      <c r="VB148" s="198"/>
      <c r="VC148" s="198"/>
      <c r="VD148" s="198"/>
      <c r="VE148" s="198"/>
      <c r="VF148" s="198"/>
      <c r="VG148" s="198"/>
      <c r="VH148" s="198"/>
      <c r="VI148" s="198"/>
      <c r="VJ148" s="198"/>
      <c r="VK148" s="198"/>
      <c r="VL148" s="198"/>
      <c r="VM148" s="198"/>
      <c r="VN148" s="198"/>
      <c r="VO148" s="198"/>
      <c r="VP148" s="198"/>
      <c r="VQ148" s="198"/>
      <c r="VR148" s="198"/>
      <c r="VS148" s="198"/>
      <c r="VT148" s="198"/>
      <c r="VU148" s="198"/>
      <c r="VV148" s="198"/>
      <c r="VW148" s="198"/>
      <c r="VX148" s="198"/>
      <c r="VY148" s="198"/>
      <c r="VZ148" s="198"/>
      <c r="WA148" s="198"/>
      <c r="WB148" s="198"/>
      <c r="WC148" s="198"/>
      <c r="WD148" s="198"/>
      <c r="WE148" s="198"/>
      <c r="WF148" s="198"/>
      <c r="WG148" s="198"/>
      <c r="WH148" s="198"/>
      <c r="WI148" s="198"/>
      <c r="WJ148" s="198"/>
      <c r="WK148" s="198"/>
      <c r="WL148" s="198"/>
      <c r="WM148" s="198"/>
      <c r="WN148" s="198"/>
      <c r="WO148" s="198"/>
      <c r="WP148" s="198"/>
      <c r="WQ148" s="198"/>
      <c r="WR148" s="198"/>
      <c r="WS148" s="198"/>
      <c r="WT148" s="198"/>
      <c r="WU148" s="198"/>
      <c r="WV148" s="198"/>
      <c r="WW148" s="198"/>
      <c r="WX148" s="198"/>
      <c r="WY148" s="198"/>
      <c r="WZ148" s="198"/>
      <c r="XA148" s="198"/>
      <c r="XB148" s="198"/>
      <c r="XC148" s="198"/>
      <c r="XD148" s="198"/>
      <c r="XE148" s="198"/>
      <c r="XF148" s="198"/>
      <c r="XG148" s="198"/>
      <c r="XH148" s="198"/>
      <c r="XI148" s="198"/>
      <c r="XJ148" s="198"/>
      <c r="XK148" s="198"/>
      <c r="XL148" s="198"/>
      <c r="XM148" s="198"/>
      <c r="XN148" s="198"/>
      <c r="XO148" s="198"/>
      <c r="XP148" s="198"/>
      <c r="XQ148" s="198"/>
      <c r="XR148" s="198"/>
      <c r="XS148" s="198"/>
      <c r="XT148" s="198"/>
      <c r="XU148" s="198"/>
      <c r="XV148" s="198"/>
      <c r="XW148" s="198"/>
      <c r="XX148" s="198"/>
      <c r="XY148" s="198"/>
      <c r="XZ148" s="198"/>
      <c r="YA148" s="198"/>
      <c r="YB148" s="198"/>
      <c r="YC148" s="198"/>
      <c r="YD148" s="198"/>
      <c r="YE148" s="198"/>
      <c r="YF148" s="198"/>
      <c r="YG148" s="198"/>
      <c r="YH148" s="198"/>
      <c r="YI148" s="198"/>
      <c r="YJ148" s="198"/>
      <c r="YK148" s="198"/>
      <c r="YL148" s="198"/>
      <c r="YM148" s="198"/>
      <c r="YN148" s="198"/>
      <c r="YO148" s="198"/>
      <c r="YP148" s="198"/>
      <c r="YQ148" s="198"/>
      <c r="YR148" s="198"/>
      <c r="YS148" s="198"/>
      <c r="YT148" s="198"/>
      <c r="YU148" s="198"/>
      <c r="YV148" s="198"/>
      <c r="YW148" s="198"/>
      <c r="YX148" s="198"/>
      <c r="YY148" s="198"/>
      <c r="YZ148" s="198"/>
      <c r="ZA148" s="198"/>
      <c r="ZB148" s="198"/>
      <c r="ZC148" s="198"/>
      <c r="ZD148" s="198"/>
      <c r="ZE148" s="198"/>
      <c r="ZF148" s="198"/>
      <c r="ZG148" s="198"/>
      <c r="ZH148" s="198"/>
      <c r="ZI148" s="198"/>
      <c r="ZJ148" s="198"/>
      <c r="ZK148" s="198"/>
      <c r="ZL148" s="198"/>
      <c r="ZM148" s="198"/>
      <c r="ZN148" s="198"/>
      <c r="ZO148" s="198"/>
      <c r="ZP148" s="198"/>
      <c r="ZQ148" s="198"/>
      <c r="ZR148" s="198"/>
      <c r="ZS148" s="198"/>
      <c r="ZT148" s="198"/>
      <c r="ZU148" s="198"/>
      <c r="ZV148" s="198"/>
      <c r="ZW148" s="198"/>
      <c r="ZX148" s="198"/>
      <c r="ZY148" s="198"/>
      <c r="ZZ148" s="198"/>
      <c r="AAA148" s="198"/>
      <c r="AAB148" s="198"/>
      <c r="AAC148" s="198"/>
      <c r="AAD148" s="198"/>
      <c r="AAE148" s="198"/>
      <c r="AAF148" s="198"/>
      <c r="AAG148" s="198"/>
      <c r="AAH148" s="198"/>
      <c r="AAI148" s="198"/>
      <c r="AAJ148" s="198"/>
      <c r="AAK148" s="198"/>
      <c r="AAL148" s="198"/>
      <c r="AAM148" s="198"/>
      <c r="AAN148" s="198"/>
      <c r="AAO148" s="198"/>
      <c r="AAP148" s="198"/>
      <c r="AAQ148" s="198"/>
      <c r="AAR148" s="198"/>
      <c r="AAS148" s="198"/>
      <c r="AAT148" s="198"/>
      <c r="AAU148" s="198"/>
      <c r="AAV148" s="198"/>
      <c r="AAW148" s="198"/>
      <c r="AAX148" s="198"/>
      <c r="AAY148" s="198"/>
      <c r="AAZ148" s="198"/>
      <c r="ABA148" s="198"/>
      <c r="ABB148" s="198"/>
      <c r="ABC148" s="198"/>
      <c r="ABD148" s="198"/>
      <c r="ABE148" s="198"/>
      <c r="ABF148" s="198"/>
      <c r="ABG148" s="198"/>
      <c r="ABH148" s="198"/>
      <c r="ABI148" s="198"/>
      <c r="ABJ148" s="198"/>
      <c r="ABK148" s="198"/>
      <c r="ABL148" s="198"/>
      <c r="ABM148" s="198"/>
      <c r="ABN148" s="198"/>
      <c r="ABO148" s="198"/>
      <c r="ABP148" s="198"/>
      <c r="ABQ148" s="198"/>
      <c r="ABR148" s="198"/>
      <c r="ABS148" s="198"/>
      <c r="ABT148" s="198"/>
      <c r="ABU148" s="198"/>
      <c r="ABV148" s="198"/>
      <c r="ABW148" s="198"/>
      <c r="ABX148" s="198"/>
      <c r="ABY148" s="198"/>
      <c r="ABZ148" s="198"/>
      <c r="ACA148" s="198"/>
      <c r="ACB148" s="198"/>
      <c r="ACC148" s="198"/>
      <c r="ACD148" s="198"/>
      <c r="ACE148" s="198"/>
      <c r="ACF148" s="198"/>
      <c r="ACG148" s="198"/>
      <c r="ACH148" s="198"/>
      <c r="ACI148" s="198"/>
      <c r="ACJ148" s="198"/>
      <c r="ACK148" s="198"/>
      <c r="ACL148" s="198"/>
      <c r="ACM148" s="198"/>
      <c r="ACN148" s="198"/>
      <c r="ACO148" s="198"/>
      <c r="ACP148" s="198"/>
      <c r="ACQ148" s="198"/>
      <c r="ACR148" s="198"/>
      <c r="ACS148" s="198"/>
      <c r="ACT148" s="198"/>
      <c r="ACU148" s="198"/>
      <c r="ACV148" s="198"/>
      <c r="ACW148" s="198"/>
      <c r="ACX148" s="198"/>
      <c r="ACY148" s="198"/>
      <c r="ACZ148" s="198"/>
      <c r="ADA148" s="198"/>
      <c r="ADB148" s="198"/>
      <c r="ADC148" s="198"/>
      <c r="ADD148" s="198"/>
      <c r="ADE148" s="198"/>
      <c r="ADF148" s="198"/>
      <c r="ADG148" s="198"/>
      <c r="ADH148" s="198"/>
      <c r="ADI148" s="198"/>
      <c r="ADJ148" s="198"/>
      <c r="ADK148" s="198"/>
      <c r="ADL148" s="198"/>
      <c r="ADM148" s="198"/>
      <c r="ADN148" s="198"/>
      <c r="ADO148" s="198"/>
      <c r="ADP148" s="198"/>
      <c r="ADQ148" s="198"/>
      <c r="ADR148" s="198"/>
      <c r="ADS148" s="198"/>
      <c r="ADT148" s="198"/>
      <c r="ADU148" s="198"/>
      <c r="ADV148" s="198"/>
      <c r="ADW148" s="198"/>
      <c r="ADX148" s="198"/>
      <c r="ADY148" s="198"/>
      <c r="ADZ148" s="198"/>
      <c r="AEA148" s="198"/>
      <c r="AEB148" s="198"/>
      <c r="AEC148" s="198"/>
      <c r="AED148" s="198"/>
      <c r="AEE148" s="198"/>
      <c r="AEF148" s="198"/>
      <c r="AEG148" s="198"/>
      <c r="AEH148" s="198"/>
      <c r="AEI148" s="198"/>
      <c r="AEJ148" s="198"/>
      <c r="AEK148" s="198"/>
      <c r="AEL148" s="198"/>
      <c r="AEM148" s="198"/>
      <c r="AEN148" s="198"/>
      <c r="AEO148" s="198"/>
      <c r="AEP148" s="198"/>
      <c r="AEQ148" s="198"/>
      <c r="AER148" s="198"/>
      <c r="AES148" s="198"/>
      <c r="AET148" s="198"/>
      <c r="AEU148" s="198"/>
      <c r="AEV148" s="198"/>
      <c r="AEW148" s="198"/>
      <c r="AEX148" s="198"/>
      <c r="AEY148" s="198"/>
      <c r="AEZ148" s="198"/>
      <c r="AFA148" s="198"/>
      <c r="AFB148" s="198"/>
      <c r="AFC148" s="198"/>
      <c r="AFD148" s="198"/>
      <c r="AFE148" s="198"/>
      <c r="AFF148" s="198"/>
      <c r="AFG148" s="198"/>
      <c r="AFH148" s="198"/>
      <c r="AFI148" s="198"/>
      <c r="AFJ148" s="198"/>
      <c r="AFK148" s="198"/>
      <c r="AFL148" s="198"/>
      <c r="AFM148" s="198"/>
      <c r="AFN148" s="198"/>
      <c r="AFO148" s="198"/>
      <c r="AFP148" s="198"/>
      <c r="AFQ148" s="198"/>
      <c r="AFR148" s="198"/>
      <c r="AFS148" s="198"/>
      <c r="AFT148" s="198"/>
      <c r="AFU148" s="198"/>
      <c r="AFV148" s="198"/>
      <c r="AFW148" s="198"/>
      <c r="AFX148" s="198"/>
      <c r="AFY148" s="198"/>
      <c r="AFZ148" s="198"/>
      <c r="AGA148" s="198"/>
      <c r="AGB148" s="198"/>
      <c r="AGC148" s="198"/>
      <c r="AGD148" s="198"/>
      <c r="AGE148" s="198"/>
      <c r="AGF148" s="198"/>
      <c r="AGG148" s="198"/>
      <c r="AGH148" s="198"/>
      <c r="AGI148" s="198"/>
      <c r="AGJ148" s="198"/>
      <c r="AGK148" s="198"/>
      <c r="AGL148" s="198"/>
      <c r="AGM148" s="198"/>
      <c r="AGN148" s="198"/>
      <c r="AGO148" s="198"/>
      <c r="AGP148" s="198"/>
      <c r="AGQ148" s="198"/>
      <c r="AGR148" s="198"/>
      <c r="AGS148" s="198"/>
      <c r="AGT148" s="198"/>
      <c r="AGU148" s="198"/>
      <c r="AGV148" s="198"/>
      <c r="AGW148" s="198"/>
      <c r="AGX148" s="198"/>
      <c r="AGY148" s="198"/>
      <c r="AGZ148" s="198"/>
      <c r="AHA148" s="198"/>
      <c r="AHB148" s="198"/>
      <c r="AHC148" s="198"/>
      <c r="AHD148" s="198"/>
      <c r="AHE148" s="198"/>
      <c r="AHF148" s="198"/>
      <c r="AHG148" s="198"/>
      <c r="AHH148" s="198"/>
      <c r="AHI148" s="198"/>
      <c r="AHJ148" s="198"/>
      <c r="AHK148" s="198"/>
      <c r="AHL148" s="198"/>
      <c r="AHM148" s="198"/>
      <c r="AHN148" s="198"/>
      <c r="AHO148" s="198"/>
      <c r="AHP148" s="198"/>
      <c r="AHQ148" s="198"/>
      <c r="AHR148" s="198"/>
      <c r="AHS148" s="198"/>
      <c r="AHT148" s="198"/>
      <c r="AHU148" s="198"/>
      <c r="AHV148" s="198"/>
      <c r="AHW148" s="198"/>
      <c r="AHX148" s="198"/>
      <c r="AHY148" s="198"/>
      <c r="AHZ148" s="198"/>
      <c r="AIA148" s="198"/>
      <c r="AIB148" s="198"/>
      <c r="AIC148" s="198"/>
      <c r="AID148" s="198"/>
      <c r="AIE148" s="198"/>
      <c r="AIF148" s="198"/>
      <c r="AIG148" s="198"/>
      <c r="AIH148" s="198"/>
      <c r="AII148" s="198"/>
      <c r="AIJ148" s="198"/>
      <c r="AIK148" s="198"/>
      <c r="AIL148" s="198"/>
      <c r="AIM148" s="198"/>
      <c r="AIN148" s="198"/>
      <c r="AIO148" s="198"/>
      <c r="AIP148" s="198"/>
      <c r="AIQ148" s="198"/>
      <c r="AIR148" s="198"/>
      <c r="AIS148" s="198"/>
      <c r="AIT148" s="198"/>
      <c r="AIU148" s="198"/>
      <c r="AIV148" s="198"/>
      <c r="AIW148" s="198"/>
      <c r="AIX148" s="198"/>
      <c r="AIY148" s="198"/>
      <c r="AIZ148" s="198"/>
      <c r="AJA148" s="198"/>
      <c r="AJB148" s="198"/>
      <c r="AJC148" s="198"/>
      <c r="AJD148" s="198"/>
      <c r="AJE148" s="198"/>
      <c r="AJF148" s="198"/>
      <c r="AJG148" s="198"/>
      <c r="AJH148" s="198"/>
      <c r="AJI148" s="198"/>
      <c r="AJJ148" s="198"/>
      <c r="AJK148" s="198"/>
      <c r="AJL148" s="198"/>
      <c r="AJM148" s="198"/>
      <c r="AJN148" s="198"/>
      <c r="AJO148" s="198"/>
      <c r="AJP148" s="198"/>
      <c r="AJQ148" s="198"/>
      <c r="AJR148" s="198"/>
      <c r="AJS148" s="198"/>
      <c r="AJT148" s="198"/>
      <c r="AJU148" s="198"/>
      <c r="AJV148" s="198"/>
      <c r="AJW148" s="198"/>
      <c r="AJX148" s="198"/>
      <c r="AJY148" s="198"/>
      <c r="AJZ148" s="198"/>
      <c r="AKA148" s="198"/>
      <c r="AKB148" s="198"/>
      <c r="AKC148" s="198"/>
      <c r="AKD148" s="198"/>
      <c r="AKE148" s="198"/>
      <c r="AKF148" s="198"/>
      <c r="AKG148" s="198"/>
      <c r="AKH148" s="198"/>
      <c r="AKI148" s="198"/>
      <c r="AKJ148" s="198"/>
      <c r="AKK148" s="198"/>
      <c r="AKL148" s="198"/>
      <c r="AKM148" s="198"/>
      <c r="AKN148" s="198"/>
      <c r="AKO148" s="198"/>
      <c r="AKP148" s="198"/>
      <c r="AKQ148" s="198"/>
      <c r="AKR148" s="198"/>
      <c r="AKS148" s="198"/>
      <c r="AKT148" s="198"/>
      <c r="AKU148" s="198"/>
      <c r="AKV148" s="198"/>
      <c r="AKW148" s="198"/>
      <c r="AKX148" s="198"/>
      <c r="AKY148" s="198"/>
      <c r="AKZ148" s="198"/>
      <c r="ALA148" s="198"/>
      <c r="ALB148" s="198"/>
      <c r="ALC148" s="198"/>
      <c r="ALD148" s="198"/>
      <c r="ALE148" s="198"/>
      <c r="ALF148" s="198"/>
      <c r="ALG148" s="198"/>
      <c r="ALH148" s="198"/>
      <c r="ALI148" s="198"/>
      <c r="ALJ148" s="198"/>
      <c r="ALK148" s="198"/>
      <c r="ALL148" s="198"/>
      <c r="ALM148" s="198"/>
      <c r="ALN148" s="198"/>
      <c r="ALO148" s="198"/>
      <c r="ALP148" s="198"/>
      <c r="ALQ148" s="198"/>
      <c r="ALR148" s="198"/>
      <c r="ALS148" s="198"/>
      <c r="ALT148" s="198"/>
      <c r="ALU148" s="198"/>
      <c r="ALV148" s="198"/>
      <c r="ALW148" s="198"/>
      <c r="ALX148" s="198"/>
      <c r="ALY148" s="198"/>
      <c r="ALZ148" s="198"/>
      <c r="AMA148" s="198"/>
      <c r="AMB148" s="198"/>
      <c r="AMC148" s="198"/>
      <c r="AMD148" s="198"/>
      <c r="AME148" s="198"/>
      <c r="AMF148" s="198"/>
      <c r="AMG148" s="198"/>
      <c r="AMH148" s="198"/>
      <c r="AMI148" s="198"/>
      <c r="AMJ148" s="198"/>
    </row>
    <row r="149" customFormat="false" ht="15.75" hidden="false" customHeight="true" outlineLevel="0" collapsed="false">
      <c r="A149" s="196"/>
      <c r="B149" s="72" t="s">
        <v>136</v>
      </c>
      <c r="C149" s="73" t="s">
        <v>137</v>
      </c>
      <c r="D149" s="74" t="n">
        <v>350</v>
      </c>
      <c r="E149" s="74"/>
      <c r="F149" s="157" t="n">
        <v>10</v>
      </c>
      <c r="G149" s="10"/>
      <c r="H149" s="72" t="s">
        <v>186</v>
      </c>
      <c r="I149" s="73" t="s">
        <v>137</v>
      </c>
      <c r="J149" s="74" t="n">
        <v>350</v>
      </c>
      <c r="K149" s="74"/>
      <c r="L149" s="157" t="n">
        <v>10</v>
      </c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  <c r="AS149" s="196"/>
      <c r="AT149" s="196"/>
      <c r="AU149" s="196"/>
      <c r="AV149" s="196"/>
      <c r="AW149" s="196"/>
      <c r="AX149" s="196"/>
      <c r="AY149" s="196"/>
      <c r="AZ149" s="196"/>
      <c r="BA149" s="196"/>
      <c r="BB149" s="196"/>
      <c r="BC149" s="196"/>
      <c r="BD149" s="196"/>
      <c r="BE149" s="196"/>
      <c r="BF149" s="196"/>
      <c r="BG149" s="196"/>
      <c r="BH149" s="196"/>
      <c r="BI149" s="196"/>
      <c r="BJ149" s="196"/>
      <c r="BK149" s="196"/>
      <c r="BL149" s="196"/>
      <c r="BM149" s="196"/>
      <c r="BN149" s="196"/>
      <c r="BO149" s="196"/>
      <c r="BP149" s="196"/>
      <c r="BQ149" s="196"/>
      <c r="BR149" s="196"/>
      <c r="BS149" s="196"/>
      <c r="BT149" s="196"/>
      <c r="BU149" s="196"/>
      <c r="BV149" s="196"/>
      <c r="BW149" s="196"/>
      <c r="BX149" s="196"/>
      <c r="BY149" s="196"/>
      <c r="BZ149" s="196"/>
      <c r="CA149" s="196"/>
      <c r="CB149" s="196"/>
      <c r="CC149" s="196"/>
      <c r="CD149" s="196"/>
      <c r="CE149" s="196"/>
      <c r="CF149" s="196"/>
      <c r="CG149" s="196"/>
      <c r="CH149" s="196"/>
      <c r="CI149" s="196"/>
      <c r="CJ149" s="196"/>
      <c r="CK149" s="196"/>
      <c r="CL149" s="196"/>
      <c r="CM149" s="196"/>
      <c r="CN149" s="196"/>
      <c r="CO149" s="196"/>
      <c r="CP149" s="196"/>
      <c r="CQ149" s="196"/>
      <c r="CR149" s="196"/>
      <c r="CS149" s="196"/>
      <c r="CT149" s="196"/>
      <c r="CU149" s="196"/>
      <c r="CV149" s="196"/>
      <c r="CW149" s="196"/>
      <c r="CX149" s="196"/>
      <c r="CY149" s="196"/>
      <c r="CZ149" s="196"/>
      <c r="DA149" s="196"/>
      <c r="DB149" s="196"/>
      <c r="DC149" s="196"/>
      <c r="DD149" s="196"/>
      <c r="DE149" s="196"/>
      <c r="DF149" s="196"/>
      <c r="DG149" s="196"/>
      <c r="DH149" s="196"/>
      <c r="DI149" s="196"/>
      <c r="DJ149" s="196"/>
      <c r="DK149" s="196"/>
      <c r="DL149" s="196"/>
      <c r="DM149" s="196"/>
      <c r="DN149" s="196"/>
      <c r="DO149" s="196"/>
      <c r="DP149" s="196"/>
      <c r="DQ149" s="196"/>
      <c r="DR149" s="196"/>
      <c r="DS149" s="196"/>
      <c r="DT149" s="196"/>
      <c r="DU149" s="196"/>
      <c r="DV149" s="196"/>
      <c r="DW149" s="196"/>
      <c r="DX149" s="196"/>
      <c r="DY149" s="196"/>
      <c r="DZ149" s="196"/>
      <c r="EA149" s="196"/>
      <c r="EB149" s="196"/>
      <c r="EC149" s="196"/>
      <c r="ED149" s="196"/>
      <c r="EE149" s="196"/>
      <c r="EF149" s="196"/>
      <c r="EG149" s="196"/>
      <c r="EH149" s="196"/>
      <c r="EI149" s="196"/>
      <c r="EJ149" s="196"/>
      <c r="EK149" s="196"/>
      <c r="EL149" s="196"/>
      <c r="EM149" s="196"/>
      <c r="EN149" s="196"/>
      <c r="EO149" s="196"/>
      <c r="EP149" s="196"/>
      <c r="EQ149" s="196"/>
      <c r="ER149" s="196"/>
      <c r="ES149" s="196"/>
      <c r="ET149" s="196"/>
      <c r="EU149" s="196"/>
      <c r="EV149" s="196"/>
      <c r="EW149" s="196"/>
      <c r="EX149" s="196"/>
      <c r="EY149" s="196"/>
      <c r="EZ149" s="196"/>
      <c r="FA149" s="196"/>
      <c r="FB149" s="196"/>
      <c r="FC149" s="196"/>
      <c r="FD149" s="196"/>
      <c r="FE149" s="196"/>
      <c r="FF149" s="196"/>
      <c r="FG149" s="196"/>
      <c r="FH149" s="196"/>
      <c r="FI149" s="196"/>
      <c r="FJ149" s="196"/>
      <c r="FK149" s="196"/>
      <c r="FL149" s="196"/>
      <c r="FM149" s="196"/>
      <c r="FN149" s="196"/>
      <c r="FO149" s="196"/>
      <c r="FP149" s="196"/>
      <c r="FQ149" s="196"/>
      <c r="FR149" s="196"/>
      <c r="FS149" s="196"/>
      <c r="FT149" s="196"/>
      <c r="FU149" s="196"/>
      <c r="FV149" s="196"/>
      <c r="FW149" s="196"/>
      <c r="FX149" s="196"/>
      <c r="FY149" s="196"/>
      <c r="FZ149" s="196"/>
      <c r="GA149" s="196"/>
      <c r="GB149" s="196"/>
      <c r="GC149" s="196"/>
      <c r="GD149" s="196"/>
      <c r="GE149" s="196"/>
      <c r="GF149" s="196"/>
      <c r="GG149" s="196"/>
      <c r="GH149" s="196"/>
      <c r="GI149" s="196"/>
      <c r="GJ149" s="196"/>
      <c r="GK149" s="196"/>
      <c r="GL149" s="196"/>
      <c r="GM149" s="196"/>
      <c r="GN149" s="196"/>
      <c r="GO149" s="196"/>
      <c r="GP149" s="196"/>
      <c r="GQ149" s="196"/>
      <c r="GR149" s="196"/>
      <c r="GS149" s="196"/>
      <c r="GT149" s="196"/>
      <c r="GU149" s="196"/>
      <c r="GV149" s="196"/>
      <c r="GW149" s="196"/>
      <c r="GX149" s="196"/>
      <c r="GY149" s="196"/>
      <c r="GZ149" s="196"/>
      <c r="HA149" s="196"/>
      <c r="HB149" s="196"/>
      <c r="HC149" s="196"/>
      <c r="HD149" s="196"/>
      <c r="HE149" s="196"/>
      <c r="HF149" s="196"/>
      <c r="HG149" s="196"/>
      <c r="HH149" s="196"/>
      <c r="HI149" s="196"/>
      <c r="HJ149" s="196"/>
      <c r="HK149" s="196"/>
      <c r="HL149" s="196"/>
      <c r="HM149" s="196"/>
      <c r="HN149" s="196"/>
      <c r="HO149" s="196"/>
      <c r="HP149" s="196"/>
      <c r="HQ149" s="196"/>
      <c r="HR149" s="196"/>
      <c r="HS149" s="196"/>
      <c r="HT149" s="196"/>
      <c r="HU149" s="196"/>
      <c r="HV149" s="196"/>
      <c r="HW149" s="196"/>
      <c r="HX149" s="196"/>
      <c r="HY149" s="196"/>
      <c r="HZ149" s="196"/>
      <c r="IA149" s="196"/>
      <c r="IB149" s="196"/>
      <c r="IC149" s="196"/>
      <c r="ID149" s="196"/>
      <c r="IE149" s="196"/>
      <c r="IF149" s="196"/>
      <c r="IG149" s="196"/>
      <c r="IH149" s="196"/>
      <c r="II149" s="196"/>
      <c r="IJ149" s="196"/>
      <c r="IK149" s="196"/>
      <c r="IL149" s="196"/>
      <c r="IM149" s="196"/>
      <c r="IN149" s="196"/>
      <c r="IO149" s="196"/>
      <c r="IP149" s="196"/>
      <c r="IQ149" s="196"/>
      <c r="IR149" s="196"/>
      <c r="IS149" s="196"/>
      <c r="IT149" s="196"/>
      <c r="IU149" s="196"/>
      <c r="IV149" s="196"/>
      <c r="IW149" s="196"/>
      <c r="IX149" s="196"/>
      <c r="IY149" s="196"/>
      <c r="IZ149" s="196"/>
      <c r="JA149" s="196"/>
      <c r="JB149" s="196"/>
      <c r="JC149" s="196"/>
      <c r="JD149" s="196"/>
      <c r="JE149" s="196"/>
      <c r="JF149" s="196"/>
      <c r="JG149" s="196"/>
      <c r="JH149" s="196"/>
      <c r="JI149" s="196"/>
      <c r="JJ149" s="196"/>
      <c r="JK149" s="196"/>
      <c r="JL149" s="196"/>
      <c r="JM149" s="196"/>
      <c r="JN149" s="196"/>
      <c r="JO149" s="196"/>
      <c r="JP149" s="196"/>
      <c r="JQ149" s="196"/>
      <c r="JR149" s="196"/>
      <c r="JS149" s="196"/>
      <c r="JT149" s="196"/>
      <c r="JU149" s="196"/>
      <c r="JV149" s="196"/>
      <c r="JW149" s="196"/>
      <c r="JX149" s="196"/>
      <c r="JY149" s="196"/>
      <c r="JZ149" s="196"/>
      <c r="KA149" s="196"/>
      <c r="KB149" s="196"/>
      <c r="KC149" s="196"/>
      <c r="KD149" s="196"/>
      <c r="KE149" s="196"/>
      <c r="KF149" s="196"/>
      <c r="KG149" s="196"/>
      <c r="KH149" s="196"/>
      <c r="KI149" s="196"/>
      <c r="KJ149" s="196"/>
      <c r="KK149" s="196"/>
      <c r="KL149" s="196"/>
      <c r="KM149" s="196"/>
      <c r="KN149" s="196"/>
      <c r="KO149" s="196"/>
      <c r="KP149" s="196"/>
      <c r="KQ149" s="196"/>
      <c r="KR149" s="196"/>
      <c r="KS149" s="196"/>
      <c r="KT149" s="196"/>
      <c r="KU149" s="196"/>
      <c r="KV149" s="196"/>
      <c r="KW149" s="196"/>
      <c r="KX149" s="196"/>
      <c r="KY149" s="196"/>
      <c r="KZ149" s="196"/>
      <c r="LA149" s="196"/>
      <c r="LB149" s="196"/>
      <c r="LC149" s="196"/>
      <c r="LD149" s="196"/>
      <c r="LE149" s="196"/>
      <c r="LF149" s="196"/>
      <c r="LG149" s="196"/>
      <c r="LH149" s="196"/>
      <c r="LI149" s="196"/>
      <c r="LJ149" s="196"/>
      <c r="LK149" s="196"/>
      <c r="LL149" s="196"/>
      <c r="LM149" s="196"/>
      <c r="LN149" s="196"/>
      <c r="LO149" s="196"/>
      <c r="LP149" s="196"/>
      <c r="LQ149" s="196"/>
      <c r="LR149" s="196"/>
      <c r="LS149" s="196"/>
      <c r="LT149" s="196"/>
      <c r="LU149" s="196"/>
      <c r="LV149" s="196"/>
      <c r="LW149" s="196"/>
      <c r="LX149" s="196"/>
      <c r="LY149" s="196"/>
      <c r="LZ149" s="196"/>
      <c r="MA149" s="196"/>
      <c r="MB149" s="196"/>
      <c r="MC149" s="196"/>
      <c r="MD149" s="196"/>
      <c r="ME149" s="196"/>
      <c r="MF149" s="196"/>
      <c r="MG149" s="196"/>
      <c r="MH149" s="196"/>
      <c r="MI149" s="196"/>
      <c r="MJ149" s="196"/>
      <c r="MK149" s="196"/>
      <c r="ML149" s="196"/>
      <c r="MM149" s="196"/>
      <c r="MN149" s="196"/>
      <c r="MO149" s="196"/>
      <c r="MP149" s="196"/>
      <c r="MQ149" s="196"/>
      <c r="MR149" s="196"/>
      <c r="MS149" s="196"/>
      <c r="MT149" s="196"/>
      <c r="MU149" s="196"/>
      <c r="MV149" s="196"/>
      <c r="MW149" s="196"/>
      <c r="MX149" s="196"/>
      <c r="MY149" s="196"/>
      <c r="MZ149" s="196"/>
      <c r="NA149" s="196"/>
      <c r="NB149" s="196"/>
      <c r="NC149" s="196"/>
      <c r="ND149" s="196"/>
      <c r="NE149" s="196"/>
      <c r="NF149" s="196"/>
      <c r="NG149" s="196"/>
      <c r="NH149" s="196"/>
      <c r="NI149" s="196"/>
      <c r="NJ149" s="196"/>
      <c r="NK149" s="196"/>
      <c r="NL149" s="196"/>
      <c r="NM149" s="196"/>
      <c r="NN149" s="196"/>
      <c r="NO149" s="196"/>
      <c r="NP149" s="196"/>
      <c r="NQ149" s="196"/>
      <c r="NR149" s="196"/>
      <c r="NS149" s="196"/>
      <c r="NT149" s="196"/>
      <c r="NU149" s="196"/>
      <c r="NV149" s="196"/>
      <c r="NW149" s="196"/>
      <c r="NX149" s="196"/>
      <c r="NY149" s="196"/>
      <c r="NZ149" s="196"/>
      <c r="OA149" s="196"/>
      <c r="OB149" s="196"/>
      <c r="OC149" s="196"/>
      <c r="OD149" s="196"/>
      <c r="OE149" s="196"/>
      <c r="OF149" s="196"/>
      <c r="OG149" s="196"/>
      <c r="OH149" s="196"/>
      <c r="OI149" s="196"/>
      <c r="OJ149" s="196"/>
      <c r="OK149" s="196"/>
      <c r="OL149" s="196"/>
      <c r="OM149" s="196"/>
      <c r="ON149" s="196"/>
      <c r="OO149" s="196"/>
      <c r="OP149" s="196"/>
      <c r="OQ149" s="196"/>
      <c r="OR149" s="196"/>
      <c r="OS149" s="196"/>
      <c r="OT149" s="196"/>
      <c r="OU149" s="196"/>
      <c r="OV149" s="196"/>
      <c r="OW149" s="196"/>
      <c r="OX149" s="196"/>
      <c r="OY149" s="196"/>
      <c r="OZ149" s="196"/>
      <c r="PA149" s="196"/>
      <c r="PB149" s="196"/>
      <c r="PC149" s="196"/>
      <c r="PD149" s="196"/>
      <c r="PE149" s="196"/>
      <c r="PF149" s="196"/>
      <c r="PG149" s="196"/>
      <c r="PH149" s="196"/>
      <c r="PI149" s="196"/>
      <c r="PJ149" s="196"/>
      <c r="PK149" s="196"/>
      <c r="PL149" s="196"/>
      <c r="PM149" s="196"/>
      <c r="PN149" s="196"/>
      <c r="PO149" s="196"/>
      <c r="PP149" s="196"/>
      <c r="PQ149" s="196"/>
      <c r="PR149" s="196"/>
      <c r="PS149" s="196"/>
      <c r="PT149" s="196"/>
      <c r="PU149" s="196"/>
      <c r="PV149" s="196"/>
      <c r="PW149" s="196"/>
      <c r="PX149" s="196"/>
      <c r="PY149" s="196"/>
      <c r="PZ149" s="196"/>
      <c r="QA149" s="196"/>
      <c r="QB149" s="196"/>
      <c r="QC149" s="196"/>
      <c r="QD149" s="196"/>
      <c r="QE149" s="196"/>
      <c r="QF149" s="196"/>
      <c r="QG149" s="196"/>
      <c r="QH149" s="196"/>
      <c r="QI149" s="196"/>
      <c r="QJ149" s="196"/>
      <c r="QK149" s="196"/>
      <c r="QL149" s="196"/>
      <c r="QM149" s="196"/>
      <c r="QN149" s="196"/>
      <c r="QO149" s="196"/>
      <c r="QP149" s="196"/>
      <c r="QQ149" s="196"/>
      <c r="QR149" s="196"/>
      <c r="QS149" s="196"/>
      <c r="QT149" s="196"/>
      <c r="QU149" s="196"/>
      <c r="QV149" s="196"/>
      <c r="QW149" s="196"/>
      <c r="QX149" s="196"/>
      <c r="QY149" s="196"/>
      <c r="QZ149" s="196"/>
      <c r="RA149" s="196"/>
      <c r="RB149" s="196"/>
      <c r="RC149" s="196"/>
      <c r="RD149" s="196"/>
      <c r="RE149" s="196"/>
      <c r="RF149" s="196"/>
      <c r="RG149" s="196"/>
      <c r="RH149" s="196"/>
      <c r="RI149" s="196"/>
      <c r="RJ149" s="196"/>
      <c r="RK149" s="196"/>
      <c r="RL149" s="196"/>
      <c r="RM149" s="196"/>
      <c r="RN149" s="196"/>
      <c r="RO149" s="196"/>
      <c r="RP149" s="196"/>
      <c r="RQ149" s="196"/>
      <c r="RR149" s="196"/>
      <c r="RS149" s="196"/>
      <c r="RT149" s="196"/>
      <c r="RU149" s="196"/>
      <c r="RV149" s="196"/>
      <c r="RW149" s="196"/>
      <c r="RX149" s="196"/>
      <c r="RY149" s="196"/>
      <c r="RZ149" s="196"/>
      <c r="SA149" s="196"/>
      <c r="SB149" s="196"/>
      <c r="SC149" s="196"/>
      <c r="SD149" s="196"/>
      <c r="SE149" s="196"/>
      <c r="SF149" s="196"/>
      <c r="SG149" s="196"/>
      <c r="SH149" s="196"/>
      <c r="SI149" s="196"/>
      <c r="SJ149" s="196"/>
      <c r="SK149" s="196"/>
      <c r="SL149" s="196"/>
      <c r="SM149" s="196"/>
      <c r="SN149" s="196"/>
      <c r="SO149" s="196"/>
      <c r="SP149" s="196"/>
      <c r="SQ149" s="196"/>
      <c r="SR149" s="196"/>
      <c r="SS149" s="196"/>
      <c r="ST149" s="196"/>
      <c r="SU149" s="196"/>
      <c r="SV149" s="196"/>
      <c r="SW149" s="196"/>
      <c r="SX149" s="196"/>
      <c r="SY149" s="196"/>
      <c r="SZ149" s="196"/>
      <c r="TA149" s="196"/>
      <c r="TB149" s="196"/>
      <c r="TC149" s="196"/>
      <c r="TD149" s="196"/>
      <c r="TE149" s="196"/>
      <c r="TF149" s="196"/>
      <c r="TG149" s="196"/>
      <c r="TH149" s="196"/>
      <c r="TI149" s="196"/>
      <c r="TJ149" s="196"/>
      <c r="TK149" s="196"/>
      <c r="TL149" s="196"/>
      <c r="TM149" s="196"/>
      <c r="TN149" s="196"/>
      <c r="TO149" s="196"/>
      <c r="TP149" s="196"/>
      <c r="TQ149" s="196"/>
      <c r="TR149" s="196"/>
      <c r="TS149" s="196"/>
      <c r="TT149" s="196"/>
      <c r="TU149" s="196"/>
      <c r="TV149" s="196"/>
      <c r="TW149" s="196"/>
      <c r="TX149" s="196"/>
      <c r="TY149" s="196"/>
      <c r="TZ149" s="196"/>
      <c r="UA149" s="196"/>
      <c r="UB149" s="196"/>
      <c r="UC149" s="196"/>
      <c r="UD149" s="196"/>
      <c r="UE149" s="196"/>
      <c r="UF149" s="196"/>
      <c r="UG149" s="196"/>
      <c r="UH149" s="196"/>
      <c r="UI149" s="196"/>
      <c r="UJ149" s="196"/>
      <c r="UK149" s="196"/>
      <c r="UL149" s="196"/>
      <c r="UM149" s="196"/>
      <c r="UN149" s="196"/>
      <c r="UO149" s="196"/>
      <c r="UP149" s="196"/>
      <c r="UQ149" s="196"/>
      <c r="UR149" s="196"/>
      <c r="US149" s="196"/>
      <c r="UT149" s="196"/>
      <c r="UU149" s="196"/>
      <c r="UV149" s="196"/>
      <c r="UW149" s="196"/>
      <c r="UX149" s="196"/>
      <c r="UY149" s="196"/>
      <c r="UZ149" s="196"/>
      <c r="VA149" s="196"/>
      <c r="VB149" s="196"/>
      <c r="VC149" s="196"/>
      <c r="VD149" s="196"/>
      <c r="VE149" s="196"/>
      <c r="VF149" s="196"/>
      <c r="VG149" s="196"/>
      <c r="VH149" s="196"/>
      <c r="VI149" s="196"/>
      <c r="VJ149" s="196"/>
      <c r="VK149" s="196"/>
      <c r="VL149" s="196"/>
      <c r="VM149" s="196"/>
      <c r="VN149" s="196"/>
      <c r="VO149" s="196"/>
      <c r="VP149" s="196"/>
      <c r="VQ149" s="196"/>
      <c r="VR149" s="196"/>
      <c r="VS149" s="196"/>
      <c r="VT149" s="196"/>
      <c r="VU149" s="196"/>
      <c r="VV149" s="196"/>
      <c r="VW149" s="196"/>
      <c r="VX149" s="196"/>
      <c r="VY149" s="196"/>
      <c r="VZ149" s="196"/>
      <c r="WA149" s="196"/>
      <c r="WB149" s="196"/>
      <c r="WC149" s="196"/>
      <c r="WD149" s="196"/>
      <c r="WE149" s="196"/>
      <c r="WF149" s="196"/>
      <c r="WG149" s="196"/>
      <c r="WH149" s="196"/>
      <c r="WI149" s="196"/>
      <c r="WJ149" s="196"/>
      <c r="WK149" s="196"/>
      <c r="WL149" s="196"/>
      <c r="WM149" s="196"/>
      <c r="WN149" s="196"/>
      <c r="WO149" s="196"/>
      <c r="WP149" s="196"/>
      <c r="WQ149" s="196"/>
      <c r="WR149" s="196"/>
      <c r="WS149" s="196"/>
      <c r="WT149" s="196"/>
      <c r="WU149" s="196"/>
      <c r="WV149" s="196"/>
      <c r="WW149" s="196"/>
      <c r="WX149" s="196"/>
      <c r="WY149" s="196"/>
      <c r="WZ149" s="196"/>
      <c r="XA149" s="196"/>
      <c r="XB149" s="196"/>
      <c r="XC149" s="196"/>
      <c r="XD149" s="196"/>
      <c r="XE149" s="196"/>
      <c r="XF149" s="196"/>
      <c r="XG149" s="196"/>
      <c r="XH149" s="196"/>
      <c r="XI149" s="196"/>
      <c r="XJ149" s="196"/>
      <c r="XK149" s="196"/>
      <c r="XL149" s="196"/>
      <c r="XM149" s="196"/>
      <c r="XN149" s="196"/>
      <c r="XO149" s="196"/>
      <c r="XP149" s="196"/>
      <c r="XQ149" s="196"/>
      <c r="XR149" s="196"/>
      <c r="XS149" s="196"/>
      <c r="XT149" s="196"/>
      <c r="XU149" s="196"/>
      <c r="XV149" s="196"/>
      <c r="XW149" s="196"/>
      <c r="XX149" s="196"/>
      <c r="XY149" s="196"/>
      <c r="XZ149" s="196"/>
      <c r="YA149" s="196"/>
      <c r="YB149" s="196"/>
      <c r="YC149" s="196"/>
      <c r="YD149" s="196"/>
      <c r="YE149" s="196"/>
      <c r="YF149" s="196"/>
      <c r="YG149" s="196"/>
      <c r="YH149" s="196"/>
      <c r="YI149" s="196"/>
      <c r="YJ149" s="196"/>
      <c r="YK149" s="196"/>
      <c r="YL149" s="196"/>
      <c r="YM149" s="196"/>
      <c r="YN149" s="196"/>
      <c r="YO149" s="196"/>
      <c r="YP149" s="196"/>
      <c r="YQ149" s="196"/>
      <c r="YR149" s="196"/>
      <c r="YS149" s="196"/>
      <c r="YT149" s="196"/>
      <c r="YU149" s="196"/>
      <c r="YV149" s="196"/>
      <c r="YW149" s="196"/>
      <c r="YX149" s="196"/>
      <c r="YY149" s="196"/>
      <c r="YZ149" s="196"/>
      <c r="ZA149" s="196"/>
      <c r="ZB149" s="196"/>
      <c r="ZC149" s="196"/>
      <c r="ZD149" s="196"/>
      <c r="ZE149" s="196"/>
      <c r="ZF149" s="196"/>
      <c r="ZG149" s="196"/>
      <c r="ZH149" s="196"/>
      <c r="ZI149" s="196"/>
      <c r="ZJ149" s="196"/>
      <c r="ZK149" s="196"/>
      <c r="ZL149" s="196"/>
      <c r="ZM149" s="196"/>
      <c r="ZN149" s="196"/>
      <c r="ZO149" s="196"/>
      <c r="ZP149" s="196"/>
      <c r="ZQ149" s="196"/>
      <c r="ZR149" s="196"/>
      <c r="ZS149" s="196"/>
      <c r="ZT149" s="196"/>
      <c r="ZU149" s="196"/>
      <c r="ZV149" s="196"/>
      <c r="ZW149" s="196"/>
      <c r="ZX149" s="196"/>
      <c r="ZY149" s="196"/>
      <c r="ZZ149" s="196"/>
      <c r="AAA149" s="196"/>
      <c r="AAB149" s="196"/>
      <c r="AAC149" s="196"/>
      <c r="AAD149" s="196"/>
      <c r="AAE149" s="196"/>
      <c r="AAF149" s="196"/>
      <c r="AAG149" s="196"/>
      <c r="AAH149" s="196"/>
      <c r="AAI149" s="196"/>
      <c r="AAJ149" s="196"/>
      <c r="AAK149" s="196"/>
      <c r="AAL149" s="196"/>
      <c r="AAM149" s="196"/>
      <c r="AAN149" s="196"/>
      <c r="AAO149" s="196"/>
      <c r="AAP149" s="196"/>
      <c r="AAQ149" s="196"/>
      <c r="AAR149" s="196"/>
      <c r="AAS149" s="196"/>
      <c r="AAT149" s="196"/>
      <c r="AAU149" s="196"/>
      <c r="AAV149" s="196"/>
      <c r="AAW149" s="196"/>
      <c r="AAX149" s="196"/>
      <c r="AAY149" s="196"/>
      <c r="AAZ149" s="196"/>
      <c r="ABA149" s="196"/>
      <c r="ABB149" s="196"/>
      <c r="ABC149" s="196"/>
      <c r="ABD149" s="196"/>
      <c r="ABE149" s="196"/>
      <c r="ABF149" s="196"/>
      <c r="ABG149" s="196"/>
      <c r="ABH149" s="196"/>
      <c r="ABI149" s="196"/>
      <c r="ABJ149" s="196"/>
      <c r="ABK149" s="196"/>
      <c r="ABL149" s="196"/>
      <c r="ABM149" s="196"/>
      <c r="ABN149" s="196"/>
      <c r="ABO149" s="196"/>
      <c r="ABP149" s="196"/>
      <c r="ABQ149" s="196"/>
      <c r="ABR149" s="196"/>
      <c r="ABS149" s="196"/>
      <c r="ABT149" s="196"/>
      <c r="ABU149" s="196"/>
      <c r="ABV149" s="196"/>
      <c r="ABW149" s="196"/>
      <c r="ABX149" s="196"/>
      <c r="ABY149" s="196"/>
      <c r="ABZ149" s="196"/>
      <c r="ACA149" s="196"/>
      <c r="ACB149" s="196"/>
      <c r="ACC149" s="196"/>
      <c r="ACD149" s="196"/>
      <c r="ACE149" s="196"/>
      <c r="ACF149" s="196"/>
      <c r="ACG149" s="196"/>
      <c r="ACH149" s="196"/>
      <c r="ACI149" s="196"/>
      <c r="ACJ149" s="196"/>
      <c r="ACK149" s="196"/>
      <c r="ACL149" s="196"/>
      <c r="ACM149" s="196"/>
      <c r="ACN149" s="196"/>
      <c r="ACO149" s="196"/>
      <c r="ACP149" s="196"/>
      <c r="ACQ149" s="196"/>
      <c r="ACR149" s="196"/>
      <c r="ACS149" s="196"/>
      <c r="ACT149" s="196"/>
      <c r="ACU149" s="196"/>
      <c r="ACV149" s="196"/>
      <c r="ACW149" s="196"/>
      <c r="ACX149" s="196"/>
      <c r="ACY149" s="196"/>
      <c r="ACZ149" s="196"/>
      <c r="ADA149" s="196"/>
      <c r="ADB149" s="196"/>
      <c r="ADC149" s="196"/>
      <c r="ADD149" s="196"/>
      <c r="ADE149" s="196"/>
      <c r="ADF149" s="196"/>
      <c r="ADG149" s="196"/>
      <c r="ADH149" s="196"/>
      <c r="ADI149" s="196"/>
      <c r="ADJ149" s="196"/>
      <c r="ADK149" s="196"/>
      <c r="ADL149" s="196"/>
      <c r="ADM149" s="196"/>
      <c r="ADN149" s="196"/>
      <c r="ADO149" s="196"/>
      <c r="ADP149" s="196"/>
      <c r="ADQ149" s="196"/>
      <c r="ADR149" s="196"/>
      <c r="ADS149" s="196"/>
      <c r="ADT149" s="196"/>
      <c r="ADU149" s="196"/>
      <c r="ADV149" s="196"/>
      <c r="ADW149" s="196"/>
      <c r="ADX149" s="196"/>
      <c r="ADY149" s="196"/>
      <c r="ADZ149" s="196"/>
      <c r="AEA149" s="196"/>
      <c r="AEB149" s="196"/>
      <c r="AEC149" s="196"/>
      <c r="AED149" s="196"/>
      <c r="AEE149" s="196"/>
      <c r="AEF149" s="196"/>
      <c r="AEG149" s="196"/>
      <c r="AEH149" s="196"/>
      <c r="AEI149" s="196"/>
      <c r="AEJ149" s="196"/>
      <c r="AEK149" s="196"/>
      <c r="AEL149" s="196"/>
      <c r="AEM149" s="196"/>
      <c r="AEN149" s="196"/>
      <c r="AEO149" s="196"/>
      <c r="AEP149" s="196"/>
      <c r="AEQ149" s="196"/>
      <c r="AER149" s="196"/>
      <c r="AES149" s="196"/>
      <c r="AET149" s="196"/>
      <c r="AEU149" s="196"/>
      <c r="AEV149" s="196"/>
      <c r="AEW149" s="196"/>
      <c r="AEX149" s="196"/>
      <c r="AEY149" s="196"/>
      <c r="AEZ149" s="196"/>
      <c r="AFA149" s="196"/>
      <c r="AFB149" s="196"/>
      <c r="AFC149" s="196"/>
      <c r="AFD149" s="196"/>
      <c r="AFE149" s="196"/>
      <c r="AFF149" s="196"/>
      <c r="AFG149" s="196"/>
      <c r="AFH149" s="196"/>
      <c r="AFI149" s="196"/>
      <c r="AFJ149" s="196"/>
      <c r="AFK149" s="196"/>
      <c r="AFL149" s="196"/>
      <c r="AFM149" s="196"/>
      <c r="AFN149" s="196"/>
      <c r="AFO149" s="196"/>
      <c r="AFP149" s="196"/>
      <c r="AFQ149" s="196"/>
      <c r="AFR149" s="196"/>
      <c r="AFS149" s="196"/>
      <c r="AFT149" s="196"/>
      <c r="AFU149" s="196"/>
      <c r="AFV149" s="196"/>
      <c r="AFW149" s="196"/>
      <c r="AFX149" s="196"/>
      <c r="AFY149" s="196"/>
      <c r="AFZ149" s="196"/>
      <c r="AGA149" s="196"/>
      <c r="AGB149" s="196"/>
      <c r="AGC149" s="196"/>
      <c r="AGD149" s="196"/>
      <c r="AGE149" s="196"/>
      <c r="AGF149" s="196"/>
      <c r="AGG149" s="196"/>
      <c r="AGH149" s="196"/>
      <c r="AGI149" s="196"/>
      <c r="AGJ149" s="196"/>
      <c r="AGK149" s="196"/>
      <c r="AGL149" s="196"/>
      <c r="AGM149" s="196"/>
      <c r="AGN149" s="196"/>
      <c r="AGO149" s="196"/>
      <c r="AGP149" s="196"/>
      <c r="AGQ149" s="196"/>
      <c r="AGR149" s="196"/>
      <c r="AGS149" s="196"/>
      <c r="AGT149" s="196"/>
      <c r="AGU149" s="196"/>
      <c r="AGV149" s="196"/>
      <c r="AGW149" s="196"/>
      <c r="AGX149" s="196"/>
      <c r="AGY149" s="196"/>
      <c r="AGZ149" s="196"/>
      <c r="AHA149" s="196"/>
      <c r="AHB149" s="196"/>
      <c r="AHC149" s="196"/>
      <c r="AHD149" s="196"/>
      <c r="AHE149" s="196"/>
      <c r="AHF149" s="196"/>
      <c r="AHG149" s="196"/>
      <c r="AHH149" s="196"/>
      <c r="AHI149" s="196"/>
      <c r="AHJ149" s="196"/>
      <c r="AHK149" s="196"/>
      <c r="AHL149" s="196"/>
      <c r="AHM149" s="196"/>
      <c r="AHN149" s="196"/>
      <c r="AHO149" s="196"/>
      <c r="AHP149" s="196"/>
      <c r="AHQ149" s="196"/>
      <c r="AHR149" s="196"/>
      <c r="AHS149" s="196"/>
      <c r="AHT149" s="196"/>
      <c r="AHU149" s="196"/>
      <c r="AHV149" s="196"/>
      <c r="AHW149" s="196"/>
      <c r="AHX149" s="196"/>
      <c r="AHY149" s="196"/>
      <c r="AHZ149" s="196"/>
      <c r="AIA149" s="196"/>
      <c r="AIB149" s="196"/>
      <c r="AIC149" s="196"/>
      <c r="AID149" s="196"/>
      <c r="AIE149" s="196"/>
      <c r="AIF149" s="196"/>
      <c r="AIG149" s="196"/>
      <c r="AIH149" s="196"/>
      <c r="AII149" s="196"/>
      <c r="AIJ149" s="196"/>
      <c r="AIK149" s="196"/>
      <c r="AIL149" s="196"/>
      <c r="AIM149" s="196"/>
      <c r="AIN149" s="196"/>
      <c r="AIO149" s="196"/>
      <c r="AIP149" s="196"/>
      <c r="AIQ149" s="196"/>
      <c r="AIR149" s="196"/>
      <c r="AIS149" s="196"/>
      <c r="AIT149" s="196"/>
      <c r="AIU149" s="196"/>
      <c r="AIV149" s="196"/>
      <c r="AIW149" s="196"/>
      <c r="AIX149" s="196"/>
      <c r="AIY149" s="196"/>
      <c r="AIZ149" s="196"/>
      <c r="AJA149" s="196"/>
      <c r="AJB149" s="196"/>
      <c r="AJC149" s="196"/>
      <c r="AJD149" s="196"/>
      <c r="AJE149" s="196"/>
      <c r="AJF149" s="196"/>
      <c r="AJG149" s="196"/>
      <c r="AJH149" s="196"/>
      <c r="AJI149" s="196"/>
      <c r="AJJ149" s="196"/>
      <c r="AJK149" s="196"/>
      <c r="AJL149" s="196"/>
      <c r="AJM149" s="196"/>
      <c r="AJN149" s="196"/>
      <c r="AJO149" s="196"/>
      <c r="AJP149" s="196"/>
      <c r="AJQ149" s="196"/>
      <c r="AJR149" s="196"/>
      <c r="AJS149" s="196"/>
      <c r="AJT149" s="196"/>
      <c r="AJU149" s="196"/>
      <c r="AJV149" s="196"/>
      <c r="AJW149" s="196"/>
      <c r="AJX149" s="196"/>
      <c r="AJY149" s="196"/>
      <c r="AJZ149" s="196"/>
      <c r="AKA149" s="196"/>
      <c r="AKB149" s="196"/>
      <c r="AKC149" s="196"/>
      <c r="AKD149" s="196"/>
      <c r="AKE149" s="196"/>
      <c r="AKF149" s="196"/>
      <c r="AKG149" s="196"/>
      <c r="AKH149" s="196"/>
      <c r="AKI149" s="196"/>
      <c r="AKJ149" s="196"/>
      <c r="AKK149" s="196"/>
      <c r="AKL149" s="196"/>
      <c r="AKM149" s="196"/>
      <c r="AKN149" s="196"/>
      <c r="AKO149" s="196"/>
      <c r="AKP149" s="196"/>
      <c r="AKQ149" s="196"/>
      <c r="AKR149" s="196"/>
      <c r="AKS149" s="196"/>
      <c r="AKT149" s="196"/>
      <c r="AKU149" s="196"/>
      <c r="AKV149" s="196"/>
      <c r="AKW149" s="196"/>
      <c r="AKX149" s="196"/>
      <c r="AKY149" s="196"/>
      <c r="AKZ149" s="196"/>
      <c r="ALA149" s="196"/>
      <c r="ALB149" s="196"/>
      <c r="ALC149" s="196"/>
      <c r="ALD149" s="196"/>
      <c r="ALE149" s="196"/>
      <c r="ALF149" s="196"/>
      <c r="ALG149" s="196"/>
      <c r="ALH149" s="196"/>
      <c r="ALI149" s="196"/>
      <c r="ALJ149" s="196"/>
      <c r="ALK149" s="196"/>
      <c r="ALL149" s="196"/>
      <c r="ALM149" s="196"/>
      <c r="ALN149" s="196"/>
      <c r="ALO149" s="196"/>
      <c r="ALP149" s="196"/>
      <c r="ALQ149" s="196"/>
      <c r="ALR149" s="196"/>
      <c r="ALS149" s="196"/>
      <c r="ALT149" s="196"/>
      <c r="ALU149" s="196"/>
      <c r="ALV149" s="196"/>
      <c r="ALW149" s="196"/>
      <c r="ALX149" s="196"/>
      <c r="ALY149" s="196"/>
      <c r="ALZ149" s="196"/>
      <c r="AMA149" s="196"/>
      <c r="AMB149" s="196"/>
      <c r="AMC149" s="196"/>
      <c r="AMD149" s="196"/>
      <c r="AME149" s="196"/>
      <c r="AMF149" s="196"/>
      <c r="AMG149" s="196"/>
      <c r="AMH149" s="196"/>
      <c r="AMI149" s="196"/>
      <c r="AMJ149" s="196"/>
    </row>
    <row r="150" customFormat="false" ht="15.75" hidden="false" customHeight="true" outlineLevel="0" collapsed="false">
      <c r="A150" s="196"/>
      <c r="B150" s="206"/>
      <c r="C150" s="207"/>
      <c r="D150" s="208"/>
      <c r="E150" s="208"/>
      <c r="F150" s="209"/>
      <c r="G150" s="10"/>
      <c r="H150" s="24"/>
      <c r="I150" s="230"/>
      <c r="J150" s="7"/>
      <c r="K150" s="7"/>
      <c r="L150" s="7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  <c r="AS150" s="196"/>
      <c r="AT150" s="196"/>
      <c r="AU150" s="196"/>
      <c r="AV150" s="196"/>
      <c r="AW150" s="196"/>
      <c r="AX150" s="196"/>
      <c r="AY150" s="196"/>
      <c r="AZ150" s="196"/>
      <c r="BA150" s="196"/>
      <c r="BB150" s="196"/>
      <c r="BC150" s="196"/>
      <c r="BD150" s="196"/>
      <c r="BE150" s="196"/>
      <c r="BF150" s="196"/>
      <c r="BG150" s="196"/>
      <c r="BH150" s="196"/>
      <c r="BI150" s="196"/>
      <c r="BJ150" s="196"/>
      <c r="BK150" s="196"/>
      <c r="BL150" s="196"/>
      <c r="BM150" s="196"/>
      <c r="BN150" s="196"/>
      <c r="BO150" s="196"/>
      <c r="BP150" s="196"/>
      <c r="BQ150" s="196"/>
      <c r="BR150" s="196"/>
      <c r="BS150" s="196"/>
      <c r="BT150" s="196"/>
      <c r="BU150" s="196"/>
      <c r="BV150" s="196"/>
      <c r="BW150" s="196"/>
      <c r="BX150" s="196"/>
      <c r="BY150" s="196"/>
      <c r="BZ150" s="196"/>
      <c r="CA150" s="196"/>
      <c r="CB150" s="196"/>
      <c r="CC150" s="196"/>
      <c r="CD150" s="196"/>
      <c r="CE150" s="196"/>
      <c r="CF150" s="196"/>
      <c r="CG150" s="196"/>
      <c r="CH150" s="196"/>
      <c r="CI150" s="196"/>
      <c r="CJ150" s="196"/>
      <c r="CK150" s="196"/>
      <c r="CL150" s="196"/>
      <c r="CM150" s="196"/>
      <c r="CN150" s="196"/>
      <c r="CO150" s="196"/>
      <c r="CP150" s="196"/>
      <c r="CQ150" s="196"/>
      <c r="CR150" s="196"/>
      <c r="CS150" s="196"/>
      <c r="CT150" s="196"/>
      <c r="CU150" s="196"/>
      <c r="CV150" s="196"/>
      <c r="CW150" s="196"/>
      <c r="CX150" s="196"/>
      <c r="CY150" s="196"/>
      <c r="CZ150" s="196"/>
      <c r="DA150" s="196"/>
      <c r="DB150" s="196"/>
      <c r="DC150" s="196"/>
      <c r="DD150" s="196"/>
      <c r="DE150" s="196"/>
      <c r="DF150" s="196"/>
      <c r="DG150" s="196"/>
      <c r="DH150" s="196"/>
      <c r="DI150" s="196"/>
      <c r="DJ150" s="196"/>
      <c r="DK150" s="196"/>
      <c r="DL150" s="196"/>
      <c r="DM150" s="196"/>
      <c r="DN150" s="196"/>
      <c r="DO150" s="196"/>
      <c r="DP150" s="196"/>
      <c r="DQ150" s="196"/>
      <c r="DR150" s="196"/>
      <c r="DS150" s="196"/>
      <c r="DT150" s="196"/>
      <c r="DU150" s="196"/>
      <c r="DV150" s="196"/>
      <c r="DW150" s="196"/>
      <c r="DX150" s="196"/>
      <c r="DY150" s="196"/>
      <c r="DZ150" s="196"/>
      <c r="EA150" s="196"/>
      <c r="EB150" s="196"/>
      <c r="EC150" s="196"/>
      <c r="ED150" s="196"/>
      <c r="EE150" s="196"/>
      <c r="EF150" s="196"/>
      <c r="EG150" s="196"/>
      <c r="EH150" s="196"/>
      <c r="EI150" s="196"/>
      <c r="EJ150" s="196"/>
      <c r="EK150" s="196"/>
      <c r="EL150" s="196"/>
      <c r="EM150" s="196"/>
      <c r="EN150" s="196"/>
      <c r="EO150" s="196"/>
      <c r="EP150" s="196"/>
      <c r="EQ150" s="196"/>
      <c r="ER150" s="196"/>
      <c r="ES150" s="196"/>
      <c r="ET150" s="196"/>
      <c r="EU150" s="196"/>
      <c r="EV150" s="196"/>
      <c r="EW150" s="196"/>
      <c r="EX150" s="196"/>
      <c r="EY150" s="196"/>
      <c r="EZ150" s="196"/>
      <c r="FA150" s="196"/>
      <c r="FB150" s="196"/>
      <c r="FC150" s="196"/>
      <c r="FD150" s="196"/>
      <c r="FE150" s="196"/>
      <c r="FF150" s="196"/>
      <c r="FG150" s="196"/>
      <c r="FH150" s="196"/>
      <c r="FI150" s="196"/>
      <c r="FJ150" s="196"/>
      <c r="FK150" s="196"/>
      <c r="FL150" s="196"/>
      <c r="FM150" s="196"/>
      <c r="FN150" s="196"/>
      <c r="FO150" s="196"/>
      <c r="FP150" s="196"/>
      <c r="FQ150" s="196"/>
      <c r="FR150" s="196"/>
      <c r="FS150" s="196"/>
      <c r="FT150" s="196"/>
      <c r="FU150" s="196"/>
      <c r="FV150" s="196"/>
      <c r="FW150" s="196"/>
      <c r="FX150" s="196"/>
      <c r="FY150" s="196"/>
      <c r="FZ150" s="196"/>
      <c r="GA150" s="196"/>
      <c r="GB150" s="196"/>
      <c r="GC150" s="196"/>
      <c r="GD150" s="196"/>
      <c r="GE150" s="196"/>
      <c r="GF150" s="196"/>
      <c r="GG150" s="196"/>
      <c r="GH150" s="196"/>
      <c r="GI150" s="196"/>
      <c r="GJ150" s="196"/>
      <c r="GK150" s="196"/>
      <c r="GL150" s="196"/>
      <c r="GM150" s="196"/>
      <c r="GN150" s="196"/>
      <c r="GO150" s="196"/>
      <c r="GP150" s="196"/>
      <c r="GQ150" s="196"/>
      <c r="GR150" s="196"/>
      <c r="GS150" s="196"/>
      <c r="GT150" s="196"/>
      <c r="GU150" s="196"/>
      <c r="GV150" s="196"/>
      <c r="GW150" s="196"/>
      <c r="GX150" s="196"/>
      <c r="GY150" s="196"/>
      <c r="GZ150" s="196"/>
      <c r="HA150" s="196"/>
      <c r="HB150" s="196"/>
      <c r="HC150" s="196"/>
      <c r="HD150" s="196"/>
      <c r="HE150" s="196"/>
      <c r="HF150" s="196"/>
      <c r="HG150" s="196"/>
      <c r="HH150" s="196"/>
      <c r="HI150" s="196"/>
      <c r="HJ150" s="196"/>
      <c r="HK150" s="196"/>
      <c r="HL150" s="196"/>
      <c r="HM150" s="196"/>
      <c r="HN150" s="196"/>
      <c r="HO150" s="196"/>
      <c r="HP150" s="196"/>
      <c r="HQ150" s="196"/>
      <c r="HR150" s="196"/>
      <c r="HS150" s="196"/>
      <c r="HT150" s="196"/>
      <c r="HU150" s="196"/>
      <c r="HV150" s="196"/>
      <c r="HW150" s="196"/>
      <c r="HX150" s="196"/>
      <c r="HY150" s="196"/>
      <c r="HZ150" s="196"/>
      <c r="IA150" s="196"/>
      <c r="IB150" s="196"/>
      <c r="IC150" s="196"/>
      <c r="ID150" s="196"/>
      <c r="IE150" s="196"/>
      <c r="IF150" s="196"/>
      <c r="IG150" s="196"/>
      <c r="IH150" s="196"/>
      <c r="II150" s="196"/>
      <c r="IJ150" s="196"/>
      <c r="IK150" s="196"/>
      <c r="IL150" s="196"/>
      <c r="IM150" s="196"/>
      <c r="IN150" s="196"/>
      <c r="IO150" s="196"/>
      <c r="IP150" s="196"/>
      <c r="IQ150" s="196"/>
      <c r="IR150" s="196"/>
      <c r="IS150" s="196"/>
      <c r="IT150" s="196"/>
      <c r="IU150" s="196"/>
      <c r="IV150" s="196"/>
      <c r="IW150" s="196"/>
      <c r="IX150" s="196"/>
      <c r="IY150" s="196"/>
      <c r="IZ150" s="196"/>
      <c r="JA150" s="196"/>
      <c r="JB150" s="196"/>
      <c r="JC150" s="196"/>
      <c r="JD150" s="196"/>
      <c r="JE150" s="196"/>
      <c r="JF150" s="196"/>
      <c r="JG150" s="196"/>
      <c r="JH150" s="196"/>
      <c r="JI150" s="196"/>
      <c r="JJ150" s="196"/>
      <c r="JK150" s="196"/>
      <c r="JL150" s="196"/>
      <c r="JM150" s="196"/>
      <c r="JN150" s="196"/>
      <c r="JO150" s="196"/>
      <c r="JP150" s="196"/>
      <c r="JQ150" s="196"/>
      <c r="JR150" s="196"/>
      <c r="JS150" s="196"/>
      <c r="JT150" s="196"/>
      <c r="JU150" s="196"/>
      <c r="JV150" s="196"/>
      <c r="JW150" s="196"/>
      <c r="JX150" s="196"/>
      <c r="JY150" s="196"/>
      <c r="JZ150" s="196"/>
      <c r="KA150" s="196"/>
      <c r="KB150" s="196"/>
      <c r="KC150" s="196"/>
      <c r="KD150" s="196"/>
      <c r="KE150" s="196"/>
      <c r="KF150" s="196"/>
      <c r="KG150" s="196"/>
      <c r="KH150" s="196"/>
      <c r="KI150" s="196"/>
      <c r="KJ150" s="196"/>
      <c r="KK150" s="196"/>
      <c r="KL150" s="196"/>
      <c r="KM150" s="196"/>
      <c r="KN150" s="196"/>
      <c r="KO150" s="196"/>
      <c r="KP150" s="196"/>
      <c r="KQ150" s="196"/>
      <c r="KR150" s="196"/>
      <c r="KS150" s="196"/>
      <c r="KT150" s="196"/>
      <c r="KU150" s="196"/>
      <c r="KV150" s="196"/>
      <c r="KW150" s="196"/>
      <c r="KX150" s="196"/>
      <c r="KY150" s="196"/>
      <c r="KZ150" s="196"/>
      <c r="LA150" s="196"/>
      <c r="LB150" s="196"/>
      <c r="LC150" s="196"/>
      <c r="LD150" s="196"/>
      <c r="LE150" s="196"/>
      <c r="LF150" s="196"/>
      <c r="LG150" s="196"/>
      <c r="LH150" s="196"/>
      <c r="LI150" s="196"/>
      <c r="LJ150" s="196"/>
      <c r="LK150" s="196"/>
      <c r="LL150" s="196"/>
      <c r="LM150" s="196"/>
      <c r="LN150" s="196"/>
      <c r="LO150" s="196"/>
      <c r="LP150" s="196"/>
      <c r="LQ150" s="196"/>
      <c r="LR150" s="196"/>
      <c r="LS150" s="196"/>
      <c r="LT150" s="196"/>
      <c r="LU150" s="196"/>
      <c r="LV150" s="196"/>
      <c r="LW150" s="196"/>
      <c r="LX150" s="196"/>
      <c r="LY150" s="196"/>
      <c r="LZ150" s="196"/>
      <c r="MA150" s="196"/>
      <c r="MB150" s="196"/>
      <c r="MC150" s="196"/>
      <c r="MD150" s="196"/>
      <c r="ME150" s="196"/>
      <c r="MF150" s="196"/>
      <c r="MG150" s="196"/>
      <c r="MH150" s="196"/>
      <c r="MI150" s="196"/>
      <c r="MJ150" s="196"/>
      <c r="MK150" s="196"/>
      <c r="ML150" s="196"/>
      <c r="MM150" s="196"/>
      <c r="MN150" s="196"/>
      <c r="MO150" s="196"/>
      <c r="MP150" s="196"/>
      <c r="MQ150" s="196"/>
      <c r="MR150" s="196"/>
      <c r="MS150" s="196"/>
      <c r="MT150" s="196"/>
      <c r="MU150" s="196"/>
      <c r="MV150" s="196"/>
      <c r="MW150" s="196"/>
      <c r="MX150" s="196"/>
      <c r="MY150" s="196"/>
      <c r="MZ150" s="196"/>
      <c r="NA150" s="196"/>
      <c r="NB150" s="196"/>
      <c r="NC150" s="196"/>
      <c r="ND150" s="196"/>
      <c r="NE150" s="196"/>
      <c r="NF150" s="196"/>
      <c r="NG150" s="196"/>
      <c r="NH150" s="196"/>
      <c r="NI150" s="196"/>
      <c r="NJ150" s="196"/>
      <c r="NK150" s="196"/>
      <c r="NL150" s="196"/>
      <c r="NM150" s="196"/>
      <c r="NN150" s="196"/>
      <c r="NO150" s="196"/>
      <c r="NP150" s="196"/>
      <c r="NQ150" s="196"/>
      <c r="NR150" s="196"/>
      <c r="NS150" s="196"/>
      <c r="NT150" s="196"/>
      <c r="NU150" s="196"/>
      <c r="NV150" s="196"/>
      <c r="NW150" s="196"/>
      <c r="NX150" s="196"/>
      <c r="NY150" s="196"/>
      <c r="NZ150" s="196"/>
      <c r="OA150" s="196"/>
      <c r="OB150" s="196"/>
      <c r="OC150" s="196"/>
      <c r="OD150" s="196"/>
      <c r="OE150" s="196"/>
      <c r="OF150" s="196"/>
      <c r="OG150" s="196"/>
      <c r="OH150" s="196"/>
      <c r="OI150" s="196"/>
      <c r="OJ150" s="196"/>
      <c r="OK150" s="196"/>
      <c r="OL150" s="196"/>
      <c r="OM150" s="196"/>
      <c r="ON150" s="196"/>
      <c r="OO150" s="196"/>
      <c r="OP150" s="196"/>
      <c r="OQ150" s="196"/>
      <c r="OR150" s="196"/>
      <c r="OS150" s="196"/>
      <c r="OT150" s="196"/>
      <c r="OU150" s="196"/>
      <c r="OV150" s="196"/>
      <c r="OW150" s="196"/>
      <c r="OX150" s="196"/>
      <c r="OY150" s="196"/>
      <c r="OZ150" s="196"/>
      <c r="PA150" s="196"/>
      <c r="PB150" s="196"/>
      <c r="PC150" s="196"/>
      <c r="PD150" s="196"/>
      <c r="PE150" s="196"/>
      <c r="PF150" s="196"/>
      <c r="PG150" s="196"/>
      <c r="PH150" s="196"/>
      <c r="PI150" s="196"/>
      <c r="PJ150" s="196"/>
      <c r="PK150" s="196"/>
      <c r="PL150" s="196"/>
      <c r="PM150" s="196"/>
      <c r="PN150" s="196"/>
      <c r="PO150" s="196"/>
      <c r="PP150" s="196"/>
      <c r="PQ150" s="196"/>
      <c r="PR150" s="196"/>
      <c r="PS150" s="196"/>
      <c r="PT150" s="196"/>
      <c r="PU150" s="196"/>
      <c r="PV150" s="196"/>
      <c r="PW150" s="196"/>
      <c r="PX150" s="196"/>
      <c r="PY150" s="196"/>
      <c r="PZ150" s="196"/>
      <c r="QA150" s="196"/>
      <c r="QB150" s="196"/>
      <c r="QC150" s="196"/>
      <c r="QD150" s="196"/>
      <c r="QE150" s="196"/>
      <c r="QF150" s="196"/>
      <c r="QG150" s="196"/>
      <c r="QH150" s="196"/>
      <c r="QI150" s="196"/>
      <c r="QJ150" s="196"/>
      <c r="QK150" s="196"/>
      <c r="QL150" s="196"/>
      <c r="QM150" s="196"/>
      <c r="QN150" s="196"/>
      <c r="QO150" s="196"/>
      <c r="QP150" s="196"/>
      <c r="QQ150" s="196"/>
      <c r="QR150" s="196"/>
      <c r="QS150" s="196"/>
      <c r="QT150" s="196"/>
      <c r="QU150" s="196"/>
      <c r="QV150" s="196"/>
      <c r="QW150" s="196"/>
      <c r="QX150" s="196"/>
      <c r="QY150" s="196"/>
      <c r="QZ150" s="196"/>
      <c r="RA150" s="196"/>
      <c r="RB150" s="196"/>
      <c r="RC150" s="196"/>
      <c r="RD150" s="196"/>
      <c r="RE150" s="196"/>
      <c r="RF150" s="196"/>
      <c r="RG150" s="196"/>
      <c r="RH150" s="196"/>
      <c r="RI150" s="196"/>
      <c r="RJ150" s="196"/>
      <c r="RK150" s="196"/>
      <c r="RL150" s="196"/>
      <c r="RM150" s="196"/>
      <c r="RN150" s="196"/>
      <c r="RO150" s="196"/>
      <c r="RP150" s="196"/>
      <c r="RQ150" s="196"/>
      <c r="RR150" s="196"/>
      <c r="RS150" s="196"/>
      <c r="RT150" s="196"/>
      <c r="RU150" s="196"/>
      <c r="RV150" s="196"/>
      <c r="RW150" s="196"/>
      <c r="RX150" s="196"/>
      <c r="RY150" s="196"/>
      <c r="RZ150" s="196"/>
      <c r="SA150" s="196"/>
      <c r="SB150" s="196"/>
      <c r="SC150" s="196"/>
      <c r="SD150" s="196"/>
      <c r="SE150" s="196"/>
      <c r="SF150" s="196"/>
      <c r="SG150" s="196"/>
      <c r="SH150" s="196"/>
      <c r="SI150" s="196"/>
      <c r="SJ150" s="196"/>
      <c r="SK150" s="196"/>
      <c r="SL150" s="196"/>
      <c r="SM150" s="196"/>
      <c r="SN150" s="196"/>
      <c r="SO150" s="196"/>
      <c r="SP150" s="196"/>
      <c r="SQ150" s="196"/>
      <c r="SR150" s="196"/>
      <c r="SS150" s="196"/>
      <c r="ST150" s="196"/>
      <c r="SU150" s="196"/>
      <c r="SV150" s="196"/>
      <c r="SW150" s="196"/>
      <c r="SX150" s="196"/>
      <c r="SY150" s="196"/>
      <c r="SZ150" s="196"/>
      <c r="TA150" s="196"/>
      <c r="TB150" s="196"/>
      <c r="TC150" s="196"/>
      <c r="TD150" s="196"/>
      <c r="TE150" s="196"/>
      <c r="TF150" s="196"/>
      <c r="TG150" s="196"/>
      <c r="TH150" s="196"/>
      <c r="TI150" s="196"/>
      <c r="TJ150" s="196"/>
      <c r="TK150" s="196"/>
      <c r="TL150" s="196"/>
      <c r="TM150" s="196"/>
      <c r="TN150" s="196"/>
      <c r="TO150" s="196"/>
      <c r="TP150" s="196"/>
      <c r="TQ150" s="196"/>
      <c r="TR150" s="196"/>
      <c r="TS150" s="196"/>
      <c r="TT150" s="196"/>
      <c r="TU150" s="196"/>
      <c r="TV150" s="196"/>
      <c r="TW150" s="196"/>
      <c r="TX150" s="196"/>
      <c r="TY150" s="196"/>
      <c r="TZ150" s="196"/>
      <c r="UA150" s="196"/>
      <c r="UB150" s="196"/>
      <c r="UC150" s="196"/>
      <c r="UD150" s="196"/>
      <c r="UE150" s="196"/>
      <c r="UF150" s="196"/>
      <c r="UG150" s="196"/>
      <c r="UH150" s="196"/>
      <c r="UI150" s="196"/>
      <c r="UJ150" s="196"/>
      <c r="UK150" s="196"/>
      <c r="UL150" s="196"/>
      <c r="UM150" s="196"/>
      <c r="UN150" s="196"/>
      <c r="UO150" s="196"/>
      <c r="UP150" s="196"/>
      <c r="UQ150" s="196"/>
      <c r="UR150" s="196"/>
      <c r="US150" s="196"/>
      <c r="UT150" s="196"/>
      <c r="UU150" s="196"/>
      <c r="UV150" s="196"/>
      <c r="UW150" s="196"/>
      <c r="UX150" s="196"/>
      <c r="UY150" s="196"/>
      <c r="UZ150" s="196"/>
      <c r="VA150" s="196"/>
      <c r="VB150" s="196"/>
      <c r="VC150" s="196"/>
      <c r="VD150" s="196"/>
      <c r="VE150" s="196"/>
      <c r="VF150" s="196"/>
      <c r="VG150" s="196"/>
      <c r="VH150" s="196"/>
      <c r="VI150" s="196"/>
      <c r="VJ150" s="196"/>
      <c r="VK150" s="196"/>
      <c r="VL150" s="196"/>
      <c r="VM150" s="196"/>
      <c r="VN150" s="196"/>
      <c r="VO150" s="196"/>
      <c r="VP150" s="196"/>
      <c r="VQ150" s="196"/>
      <c r="VR150" s="196"/>
      <c r="VS150" s="196"/>
      <c r="VT150" s="196"/>
      <c r="VU150" s="196"/>
      <c r="VV150" s="196"/>
      <c r="VW150" s="196"/>
      <c r="VX150" s="196"/>
      <c r="VY150" s="196"/>
      <c r="VZ150" s="196"/>
      <c r="WA150" s="196"/>
      <c r="WB150" s="196"/>
      <c r="WC150" s="196"/>
      <c r="WD150" s="196"/>
      <c r="WE150" s="196"/>
      <c r="WF150" s="196"/>
      <c r="WG150" s="196"/>
      <c r="WH150" s="196"/>
      <c r="WI150" s="196"/>
      <c r="WJ150" s="196"/>
      <c r="WK150" s="196"/>
      <c r="WL150" s="196"/>
      <c r="WM150" s="196"/>
      <c r="WN150" s="196"/>
      <c r="WO150" s="196"/>
      <c r="WP150" s="196"/>
      <c r="WQ150" s="196"/>
      <c r="WR150" s="196"/>
      <c r="WS150" s="196"/>
      <c r="WT150" s="196"/>
      <c r="WU150" s="196"/>
      <c r="WV150" s="196"/>
      <c r="WW150" s="196"/>
      <c r="WX150" s="196"/>
      <c r="WY150" s="196"/>
      <c r="WZ150" s="196"/>
      <c r="XA150" s="196"/>
      <c r="XB150" s="196"/>
      <c r="XC150" s="196"/>
      <c r="XD150" s="196"/>
      <c r="XE150" s="196"/>
      <c r="XF150" s="196"/>
      <c r="XG150" s="196"/>
      <c r="XH150" s="196"/>
      <c r="XI150" s="196"/>
      <c r="XJ150" s="196"/>
      <c r="XK150" s="196"/>
      <c r="XL150" s="196"/>
      <c r="XM150" s="196"/>
      <c r="XN150" s="196"/>
      <c r="XO150" s="196"/>
      <c r="XP150" s="196"/>
      <c r="XQ150" s="196"/>
      <c r="XR150" s="196"/>
      <c r="XS150" s="196"/>
      <c r="XT150" s="196"/>
      <c r="XU150" s="196"/>
      <c r="XV150" s="196"/>
      <c r="XW150" s="196"/>
      <c r="XX150" s="196"/>
      <c r="XY150" s="196"/>
      <c r="XZ150" s="196"/>
      <c r="YA150" s="196"/>
      <c r="YB150" s="196"/>
      <c r="YC150" s="196"/>
      <c r="YD150" s="196"/>
      <c r="YE150" s="196"/>
      <c r="YF150" s="196"/>
      <c r="YG150" s="196"/>
      <c r="YH150" s="196"/>
      <c r="YI150" s="196"/>
      <c r="YJ150" s="196"/>
      <c r="YK150" s="196"/>
      <c r="YL150" s="196"/>
      <c r="YM150" s="196"/>
      <c r="YN150" s="196"/>
      <c r="YO150" s="196"/>
      <c r="YP150" s="196"/>
      <c r="YQ150" s="196"/>
      <c r="YR150" s="196"/>
      <c r="YS150" s="196"/>
      <c r="YT150" s="196"/>
      <c r="YU150" s="196"/>
      <c r="YV150" s="196"/>
      <c r="YW150" s="196"/>
      <c r="YX150" s="196"/>
      <c r="YY150" s="196"/>
      <c r="YZ150" s="196"/>
      <c r="ZA150" s="196"/>
      <c r="ZB150" s="196"/>
      <c r="ZC150" s="196"/>
      <c r="ZD150" s="196"/>
      <c r="ZE150" s="196"/>
      <c r="ZF150" s="196"/>
      <c r="ZG150" s="196"/>
      <c r="ZH150" s="196"/>
      <c r="ZI150" s="196"/>
      <c r="ZJ150" s="196"/>
      <c r="ZK150" s="196"/>
      <c r="ZL150" s="196"/>
      <c r="ZM150" s="196"/>
      <c r="ZN150" s="196"/>
      <c r="ZO150" s="196"/>
      <c r="ZP150" s="196"/>
      <c r="ZQ150" s="196"/>
      <c r="ZR150" s="196"/>
      <c r="ZS150" s="196"/>
      <c r="ZT150" s="196"/>
      <c r="ZU150" s="196"/>
      <c r="ZV150" s="196"/>
      <c r="ZW150" s="196"/>
      <c r="ZX150" s="196"/>
      <c r="ZY150" s="196"/>
      <c r="ZZ150" s="196"/>
      <c r="AAA150" s="196"/>
      <c r="AAB150" s="196"/>
      <c r="AAC150" s="196"/>
      <c r="AAD150" s="196"/>
      <c r="AAE150" s="196"/>
      <c r="AAF150" s="196"/>
      <c r="AAG150" s="196"/>
      <c r="AAH150" s="196"/>
      <c r="AAI150" s="196"/>
      <c r="AAJ150" s="196"/>
      <c r="AAK150" s="196"/>
      <c r="AAL150" s="196"/>
      <c r="AAM150" s="196"/>
      <c r="AAN150" s="196"/>
      <c r="AAO150" s="196"/>
      <c r="AAP150" s="196"/>
      <c r="AAQ150" s="196"/>
      <c r="AAR150" s="196"/>
      <c r="AAS150" s="196"/>
      <c r="AAT150" s="196"/>
      <c r="AAU150" s="196"/>
      <c r="AAV150" s="196"/>
      <c r="AAW150" s="196"/>
      <c r="AAX150" s="196"/>
      <c r="AAY150" s="196"/>
      <c r="AAZ150" s="196"/>
      <c r="ABA150" s="196"/>
      <c r="ABB150" s="196"/>
      <c r="ABC150" s="196"/>
      <c r="ABD150" s="196"/>
      <c r="ABE150" s="196"/>
      <c r="ABF150" s="196"/>
      <c r="ABG150" s="196"/>
      <c r="ABH150" s="196"/>
      <c r="ABI150" s="196"/>
      <c r="ABJ150" s="196"/>
      <c r="ABK150" s="196"/>
      <c r="ABL150" s="196"/>
      <c r="ABM150" s="196"/>
      <c r="ABN150" s="196"/>
      <c r="ABO150" s="196"/>
      <c r="ABP150" s="196"/>
      <c r="ABQ150" s="196"/>
      <c r="ABR150" s="196"/>
      <c r="ABS150" s="196"/>
      <c r="ABT150" s="196"/>
      <c r="ABU150" s="196"/>
      <c r="ABV150" s="196"/>
      <c r="ABW150" s="196"/>
      <c r="ABX150" s="196"/>
      <c r="ABY150" s="196"/>
      <c r="ABZ150" s="196"/>
      <c r="ACA150" s="196"/>
      <c r="ACB150" s="196"/>
      <c r="ACC150" s="196"/>
      <c r="ACD150" s="196"/>
      <c r="ACE150" s="196"/>
      <c r="ACF150" s="196"/>
      <c r="ACG150" s="196"/>
      <c r="ACH150" s="196"/>
      <c r="ACI150" s="196"/>
      <c r="ACJ150" s="196"/>
      <c r="ACK150" s="196"/>
      <c r="ACL150" s="196"/>
      <c r="ACM150" s="196"/>
      <c r="ACN150" s="196"/>
      <c r="ACO150" s="196"/>
      <c r="ACP150" s="196"/>
      <c r="ACQ150" s="196"/>
      <c r="ACR150" s="196"/>
      <c r="ACS150" s="196"/>
      <c r="ACT150" s="196"/>
      <c r="ACU150" s="196"/>
      <c r="ACV150" s="196"/>
      <c r="ACW150" s="196"/>
      <c r="ACX150" s="196"/>
      <c r="ACY150" s="196"/>
      <c r="ACZ150" s="196"/>
      <c r="ADA150" s="196"/>
      <c r="ADB150" s="196"/>
      <c r="ADC150" s="196"/>
      <c r="ADD150" s="196"/>
      <c r="ADE150" s="196"/>
      <c r="ADF150" s="196"/>
      <c r="ADG150" s="196"/>
      <c r="ADH150" s="196"/>
      <c r="ADI150" s="196"/>
      <c r="ADJ150" s="196"/>
      <c r="ADK150" s="196"/>
      <c r="ADL150" s="196"/>
      <c r="ADM150" s="196"/>
      <c r="ADN150" s="196"/>
      <c r="ADO150" s="196"/>
      <c r="ADP150" s="196"/>
      <c r="ADQ150" s="196"/>
      <c r="ADR150" s="196"/>
      <c r="ADS150" s="196"/>
      <c r="ADT150" s="196"/>
      <c r="ADU150" s="196"/>
      <c r="ADV150" s="196"/>
      <c r="ADW150" s="196"/>
      <c r="ADX150" s="196"/>
      <c r="ADY150" s="196"/>
      <c r="ADZ150" s="196"/>
      <c r="AEA150" s="196"/>
      <c r="AEB150" s="196"/>
      <c r="AEC150" s="196"/>
      <c r="AED150" s="196"/>
      <c r="AEE150" s="196"/>
      <c r="AEF150" s="196"/>
      <c r="AEG150" s="196"/>
      <c r="AEH150" s="196"/>
      <c r="AEI150" s="196"/>
      <c r="AEJ150" s="196"/>
      <c r="AEK150" s="196"/>
      <c r="AEL150" s="196"/>
      <c r="AEM150" s="196"/>
      <c r="AEN150" s="196"/>
      <c r="AEO150" s="196"/>
      <c r="AEP150" s="196"/>
      <c r="AEQ150" s="196"/>
      <c r="AER150" s="196"/>
      <c r="AES150" s="196"/>
      <c r="AET150" s="196"/>
      <c r="AEU150" s="196"/>
      <c r="AEV150" s="196"/>
      <c r="AEW150" s="196"/>
      <c r="AEX150" s="196"/>
      <c r="AEY150" s="196"/>
      <c r="AEZ150" s="196"/>
      <c r="AFA150" s="196"/>
      <c r="AFB150" s="196"/>
      <c r="AFC150" s="196"/>
      <c r="AFD150" s="196"/>
      <c r="AFE150" s="196"/>
      <c r="AFF150" s="196"/>
      <c r="AFG150" s="196"/>
      <c r="AFH150" s="196"/>
      <c r="AFI150" s="196"/>
      <c r="AFJ150" s="196"/>
      <c r="AFK150" s="196"/>
      <c r="AFL150" s="196"/>
      <c r="AFM150" s="196"/>
      <c r="AFN150" s="196"/>
      <c r="AFO150" s="196"/>
      <c r="AFP150" s="196"/>
      <c r="AFQ150" s="196"/>
      <c r="AFR150" s="196"/>
      <c r="AFS150" s="196"/>
      <c r="AFT150" s="196"/>
      <c r="AFU150" s="196"/>
      <c r="AFV150" s="196"/>
      <c r="AFW150" s="196"/>
      <c r="AFX150" s="196"/>
      <c r="AFY150" s="196"/>
      <c r="AFZ150" s="196"/>
      <c r="AGA150" s="196"/>
      <c r="AGB150" s="196"/>
      <c r="AGC150" s="196"/>
      <c r="AGD150" s="196"/>
      <c r="AGE150" s="196"/>
      <c r="AGF150" s="196"/>
      <c r="AGG150" s="196"/>
      <c r="AGH150" s="196"/>
      <c r="AGI150" s="196"/>
      <c r="AGJ150" s="196"/>
      <c r="AGK150" s="196"/>
      <c r="AGL150" s="196"/>
      <c r="AGM150" s="196"/>
      <c r="AGN150" s="196"/>
      <c r="AGO150" s="196"/>
      <c r="AGP150" s="196"/>
      <c r="AGQ150" s="196"/>
      <c r="AGR150" s="196"/>
      <c r="AGS150" s="196"/>
      <c r="AGT150" s="196"/>
      <c r="AGU150" s="196"/>
      <c r="AGV150" s="196"/>
      <c r="AGW150" s="196"/>
      <c r="AGX150" s="196"/>
      <c r="AGY150" s="196"/>
      <c r="AGZ150" s="196"/>
      <c r="AHA150" s="196"/>
      <c r="AHB150" s="196"/>
      <c r="AHC150" s="196"/>
      <c r="AHD150" s="196"/>
      <c r="AHE150" s="196"/>
      <c r="AHF150" s="196"/>
      <c r="AHG150" s="196"/>
      <c r="AHH150" s="196"/>
      <c r="AHI150" s="196"/>
      <c r="AHJ150" s="196"/>
      <c r="AHK150" s="196"/>
      <c r="AHL150" s="196"/>
      <c r="AHM150" s="196"/>
      <c r="AHN150" s="196"/>
      <c r="AHO150" s="196"/>
      <c r="AHP150" s="196"/>
      <c r="AHQ150" s="196"/>
      <c r="AHR150" s="196"/>
      <c r="AHS150" s="196"/>
      <c r="AHT150" s="196"/>
      <c r="AHU150" s="196"/>
      <c r="AHV150" s="196"/>
      <c r="AHW150" s="196"/>
      <c r="AHX150" s="196"/>
      <c r="AHY150" s="196"/>
      <c r="AHZ150" s="196"/>
      <c r="AIA150" s="196"/>
      <c r="AIB150" s="196"/>
      <c r="AIC150" s="196"/>
      <c r="AID150" s="196"/>
      <c r="AIE150" s="196"/>
      <c r="AIF150" s="196"/>
      <c r="AIG150" s="196"/>
      <c r="AIH150" s="196"/>
      <c r="AII150" s="196"/>
      <c r="AIJ150" s="196"/>
      <c r="AIK150" s="196"/>
      <c r="AIL150" s="196"/>
      <c r="AIM150" s="196"/>
      <c r="AIN150" s="196"/>
      <c r="AIO150" s="196"/>
      <c r="AIP150" s="196"/>
      <c r="AIQ150" s="196"/>
      <c r="AIR150" s="196"/>
      <c r="AIS150" s="196"/>
      <c r="AIT150" s="196"/>
      <c r="AIU150" s="196"/>
      <c r="AIV150" s="196"/>
      <c r="AIW150" s="196"/>
      <c r="AIX150" s="196"/>
      <c r="AIY150" s="196"/>
      <c r="AIZ150" s="196"/>
      <c r="AJA150" s="196"/>
      <c r="AJB150" s="196"/>
      <c r="AJC150" s="196"/>
      <c r="AJD150" s="196"/>
      <c r="AJE150" s="196"/>
      <c r="AJF150" s="196"/>
      <c r="AJG150" s="196"/>
      <c r="AJH150" s="196"/>
      <c r="AJI150" s="196"/>
      <c r="AJJ150" s="196"/>
      <c r="AJK150" s="196"/>
      <c r="AJL150" s="196"/>
      <c r="AJM150" s="196"/>
      <c r="AJN150" s="196"/>
      <c r="AJO150" s="196"/>
      <c r="AJP150" s="196"/>
      <c r="AJQ150" s="196"/>
      <c r="AJR150" s="196"/>
      <c r="AJS150" s="196"/>
      <c r="AJT150" s="196"/>
      <c r="AJU150" s="196"/>
      <c r="AJV150" s="196"/>
      <c r="AJW150" s="196"/>
      <c r="AJX150" s="196"/>
      <c r="AJY150" s="196"/>
      <c r="AJZ150" s="196"/>
      <c r="AKA150" s="196"/>
      <c r="AKB150" s="196"/>
      <c r="AKC150" s="196"/>
      <c r="AKD150" s="196"/>
      <c r="AKE150" s="196"/>
      <c r="AKF150" s="196"/>
      <c r="AKG150" s="196"/>
      <c r="AKH150" s="196"/>
      <c r="AKI150" s="196"/>
      <c r="AKJ150" s="196"/>
      <c r="AKK150" s="196"/>
      <c r="AKL150" s="196"/>
      <c r="AKM150" s="196"/>
      <c r="AKN150" s="196"/>
      <c r="AKO150" s="196"/>
      <c r="AKP150" s="196"/>
      <c r="AKQ150" s="196"/>
      <c r="AKR150" s="196"/>
      <c r="AKS150" s="196"/>
      <c r="AKT150" s="196"/>
      <c r="AKU150" s="196"/>
      <c r="AKV150" s="196"/>
      <c r="AKW150" s="196"/>
      <c r="AKX150" s="196"/>
      <c r="AKY150" s="196"/>
      <c r="AKZ150" s="196"/>
      <c r="ALA150" s="196"/>
      <c r="ALB150" s="196"/>
      <c r="ALC150" s="196"/>
      <c r="ALD150" s="196"/>
      <c r="ALE150" s="196"/>
      <c r="ALF150" s="196"/>
      <c r="ALG150" s="196"/>
      <c r="ALH150" s="196"/>
      <c r="ALI150" s="196"/>
      <c r="ALJ150" s="196"/>
      <c r="ALK150" s="196"/>
      <c r="ALL150" s="196"/>
      <c r="ALM150" s="196"/>
      <c r="ALN150" s="196"/>
      <c r="ALO150" s="196"/>
      <c r="ALP150" s="196"/>
      <c r="ALQ150" s="196"/>
      <c r="ALR150" s="196"/>
      <c r="ALS150" s="196"/>
      <c r="ALT150" s="196"/>
      <c r="ALU150" s="196"/>
      <c r="ALV150" s="196"/>
      <c r="ALW150" s="196"/>
      <c r="ALX150" s="196"/>
      <c r="ALY150" s="196"/>
      <c r="ALZ150" s="196"/>
      <c r="AMA150" s="196"/>
      <c r="AMB150" s="196"/>
      <c r="AMC150" s="196"/>
      <c r="AMD150" s="196"/>
      <c r="AME150" s="196"/>
      <c r="AMF150" s="196"/>
      <c r="AMG150" s="196"/>
      <c r="AMH150" s="196"/>
      <c r="AMI150" s="196"/>
      <c r="AMJ150" s="196"/>
    </row>
    <row r="151" customFormat="false" ht="15.75" hidden="false" customHeight="true" outlineLevel="0" collapsed="false">
      <c r="A151" s="196"/>
      <c r="B151" s="11" t="s">
        <v>138</v>
      </c>
      <c r="C151" s="11"/>
      <c r="D151" s="12"/>
      <c r="E151" s="12"/>
      <c r="F151" s="12"/>
      <c r="G151" s="10"/>
      <c r="H151" s="255"/>
      <c r="I151" s="255"/>
      <c r="J151" s="255"/>
      <c r="K151" s="255"/>
      <c r="L151" s="255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  <c r="AS151" s="196"/>
      <c r="AT151" s="196"/>
      <c r="AU151" s="196"/>
      <c r="AV151" s="196"/>
      <c r="AW151" s="196"/>
      <c r="AX151" s="196"/>
      <c r="AY151" s="196"/>
      <c r="AZ151" s="196"/>
      <c r="BA151" s="196"/>
      <c r="BB151" s="196"/>
      <c r="BC151" s="196"/>
      <c r="BD151" s="196"/>
      <c r="BE151" s="196"/>
      <c r="BF151" s="196"/>
      <c r="BG151" s="196"/>
      <c r="BH151" s="196"/>
      <c r="BI151" s="196"/>
      <c r="BJ151" s="196"/>
      <c r="BK151" s="196"/>
      <c r="BL151" s="196"/>
      <c r="BM151" s="196"/>
      <c r="BN151" s="196"/>
      <c r="BO151" s="196"/>
      <c r="BP151" s="196"/>
      <c r="BQ151" s="196"/>
      <c r="BR151" s="196"/>
      <c r="BS151" s="196"/>
      <c r="BT151" s="196"/>
      <c r="BU151" s="196"/>
      <c r="BV151" s="196"/>
      <c r="BW151" s="196"/>
      <c r="BX151" s="196"/>
      <c r="BY151" s="196"/>
      <c r="BZ151" s="196"/>
      <c r="CA151" s="196"/>
      <c r="CB151" s="196"/>
      <c r="CC151" s="196"/>
      <c r="CD151" s="196"/>
      <c r="CE151" s="196"/>
      <c r="CF151" s="196"/>
      <c r="CG151" s="196"/>
      <c r="CH151" s="196"/>
      <c r="CI151" s="196"/>
      <c r="CJ151" s="196"/>
      <c r="CK151" s="196"/>
      <c r="CL151" s="196"/>
      <c r="CM151" s="196"/>
      <c r="CN151" s="196"/>
      <c r="CO151" s="196"/>
      <c r="CP151" s="196"/>
      <c r="CQ151" s="196"/>
      <c r="CR151" s="196"/>
      <c r="CS151" s="196"/>
      <c r="CT151" s="196"/>
      <c r="CU151" s="196"/>
      <c r="CV151" s="196"/>
      <c r="CW151" s="196"/>
      <c r="CX151" s="196"/>
      <c r="CY151" s="196"/>
      <c r="CZ151" s="196"/>
      <c r="DA151" s="196"/>
      <c r="DB151" s="196"/>
      <c r="DC151" s="196"/>
      <c r="DD151" s="196"/>
      <c r="DE151" s="196"/>
      <c r="DF151" s="196"/>
      <c r="DG151" s="196"/>
      <c r="DH151" s="196"/>
      <c r="DI151" s="196"/>
      <c r="DJ151" s="196"/>
      <c r="DK151" s="196"/>
      <c r="DL151" s="196"/>
      <c r="DM151" s="196"/>
      <c r="DN151" s="196"/>
      <c r="DO151" s="196"/>
      <c r="DP151" s="196"/>
      <c r="DQ151" s="196"/>
      <c r="DR151" s="196"/>
      <c r="DS151" s="196"/>
      <c r="DT151" s="196"/>
      <c r="DU151" s="196"/>
      <c r="DV151" s="196"/>
      <c r="DW151" s="196"/>
      <c r="DX151" s="196"/>
      <c r="DY151" s="196"/>
      <c r="DZ151" s="196"/>
      <c r="EA151" s="196"/>
      <c r="EB151" s="196"/>
      <c r="EC151" s="196"/>
      <c r="ED151" s="196"/>
      <c r="EE151" s="196"/>
      <c r="EF151" s="196"/>
      <c r="EG151" s="196"/>
      <c r="EH151" s="196"/>
      <c r="EI151" s="196"/>
      <c r="EJ151" s="196"/>
      <c r="EK151" s="196"/>
      <c r="EL151" s="196"/>
      <c r="EM151" s="196"/>
      <c r="EN151" s="196"/>
      <c r="EO151" s="196"/>
      <c r="EP151" s="196"/>
      <c r="EQ151" s="196"/>
      <c r="ER151" s="196"/>
      <c r="ES151" s="196"/>
      <c r="ET151" s="196"/>
      <c r="EU151" s="196"/>
      <c r="EV151" s="196"/>
      <c r="EW151" s="196"/>
      <c r="EX151" s="196"/>
      <c r="EY151" s="196"/>
      <c r="EZ151" s="196"/>
      <c r="FA151" s="196"/>
      <c r="FB151" s="196"/>
      <c r="FC151" s="196"/>
      <c r="FD151" s="196"/>
      <c r="FE151" s="196"/>
      <c r="FF151" s="196"/>
      <c r="FG151" s="196"/>
      <c r="FH151" s="196"/>
      <c r="FI151" s="196"/>
      <c r="FJ151" s="196"/>
      <c r="FK151" s="196"/>
      <c r="FL151" s="196"/>
      <c r="FM151" s="196"/>
      <c r="FN151" s="196"/>
      <c r="FO151" s="196"/>
      <c r="FP151" s="196"/>
      <c r="FQ151" s="196"/>
      <c r="FR151" s="196"/>
      <c r="FS151" s="196"/>
      <c r="FT151" s="196"/>
      <c r="FU151" s="196"/>
      <c r="FV151" s="196"/>
      <c r="FW151" s="196"/>
      <c r="FX151" s="196"/>
      <c r="FY151" s="196"/>
      <c r="FZ151" s="196"/>
      <c r="GA151" s="196"/>
      <c r="GB151" s="196"/>
      <c r="GC151" s="196"/>
      <c r="GD151" s="196"/>
      <c r="GE151" s="196"/>
      <c r="GF151" s="196"/>
      <c r="GG151" s="196"/>
      <c r="GH151" s="196"/>
      <c r="GI151" s="196"/>
      <c r="GJ151" s="196"/>
      <c r="GK151" s="196"/>
      <c r="GL151" s="196"/>
      <c r="GM151" s="196"/>
      <c r="GN151" s="196"/>
      <c r="GO151" s="196"/>
      <c r="GP151" s="196"/>
      <c r="GQ151" s="196"/>
      <c r="GR151" s="196"/>
      <c r="GS151" s="196"/>
      <c r="GT151" s="196"/>
      <c r="GU151" s="196"/>
      <c r="GV151" s="196"/>
      <c r="GW151" s="196"/>
      <c r="GX151" s="196"/>
      <c r="GY151" s="196"/>
      <c r="GZ151" s="196"/>
      <c r="HA151" s="196"/>
      <c r="HB151" s="196"/>
      <c r="HC151" s="196"/>
      <c r="HD151" s="196"/>
      <c r="HE151" s="196"/>
      <c r="HF151" s="196"/>
      <c r="HG151" s="196"/>
      <c r="HH151" s="196"/>
      <c r="HI151" s="196"/>
      <c r="HJ151" s="196"/>
      <c r="HK151" s="196"/>
      <c r="HL151" s="196"/>
      <c r="HM151" s="196"/>
      <c r="HN151" s="196"/>
      <c r="HO151" s="196"/>
      <c r="HP151" s="196"/>
      <c r="HQ151" s="196"/>
      <c r="HR151" s="196"/>
      <c r="HS151" s="196"/>
      <c r="HT151" s="196"/>
      <c r="HU151" s="196"/>
      <c r="HV151" s="196"/>
      <c r="HW151" s="196"/>
      <c r="HX151" s="196"/>
      <c r="HY151" s="196"/>
      <c r="HZ151" s="196"/>
      <c r="IA151" s="196"/>
      <c r="IB151" s="196"/>
      <c r="IC151" s="196"/>
      <c r="ID151" s="196"/>
      <c r="IE151" s="196"/>
      <c r="IF151" s="196"/>
      <c r="IG151" s="196"/>
      <c r="IH151" s="196"/>
      <c r="II151" s="196"/>
      <c r="IJ151" s="196"/>
      <c r="IK151" s="196"/>
      <c r="IL151" s="196"/>
      <c r="IM151" s="196"/>
      <c r="IN151" s="196"/>
      <c r="IO151" s="196"/>
      <c r="IP151" s="196"/>
      <c r="IQ151" s="196"/>
      <c r="IR151" s="196"/>
      <c r="IS151" s="196"/>
      <c r="IT151" s="196"/>
      <c r="IU151" s="196"/>
      <c r="IV151" s="196"/>
      <c r="IW151" s="196"/>
      <c r="IX151" s="196"/>
      <c r="IY151" s="196"/>
      <c r="IZ151" s="196"/>
      <c r="JA151" s="196"/>
      <c r="JB151" s="196"/>
      <c r="JC151" s="196"/>
      <c r="JD151" s="196"/>
      <c r="JE151" s="196"/>
      <c r="JF151" s="196"/>
      <c r="JG151" s="196"/>
      <c r="JH151" s="196"/>
      <c r="JI151" s="196"/>
      <c r="JJ151" s="196"/>
      <c r="JK151" s="196"/>
      <c r="JL151" s="196"/>
      <c r="JM151" s="196"/>
      <c r="JN151" s="196"/>
      <c r="JO151" s="196"/>
      <c r="JP151" s="196"/>
      <c r="JQ151" s="196"/>
      <c r="JR151" s="196"/>
      <c r="JS151" s="196"/>
      <c r="JT151" s="196"/>
      <c r="JU151" s="196"/>
      <c r="JV151" s="196"/>
      <c r="JW151" s="196"/>
      <c r="JX151" s="196"/>
      <c r="JY151" s="196"/>
      <c r="JZ151" s="196"/>
      <c r="KA151" s="196"/>
      <c r="KB151" s="196"/>
      <c r="KC151" s="196"/>
      <c r="KD151" s="196"/>
      <c r="KE151" s="196"/>
      <c r="KF151" s="196"/>
      <c r="KG151" s="196"/>
      <c r="KH151" s="196"/>
      <c r="KI151" s="196"/>
      <c r="KJ151" s="196"/>
      <c r="KK151" s="196"/>
      <c r="KL151" s="196"/>
      <c r="KM151" s="196"/>
      <c r="KN151" s="196"/>
      <c r="KO151" s="196"/>
      <c r="KP151" s="196"/>
      <c r="KQ151" s="196"/>
      <c r="KR151" s="196"/>
      <c r="KS151" s="196"/>
      <c r="KT151" s="196"/>
      <c r="KU151" s="196"/>
      <c r="KV151" s="196"/>
      <c r="KW151" s="196"/>
      <c r="KX151" s="196"/>
      <c r="KY151" s="196"/>
      <c r="KZ151" s="196"/>
      <c r="LA151" s="196"/>
      <c r="LB151" s="196"/>
      <c r="LC151" s="196"/>
      <c r="LD151" s="196"/>
      <c r="LE151" s="196"/>
      <c r="LF151" s="196"/>
      <c r="LG151" s="196"/>
      <c r="LH151" s="196"/>
      <c r="LI151" s="196"/>
      <c r="LJ151" s="196"/>
      <c r="LK151" s="196"/>
      <c r="LL151" s="196"/>
      <c r="LM151" s="196"/>
      <c r="LN151" s="196"/>
      <c r="LO151" s="196"/>
      <c r="LP151" s="196"/>
      <c r="LQ151" s="196"/>
      <c r="LR151" s="196"/>
      <c r="LS151" s="196"/>
      <c r="LT151" s="196"/>
      <c r="LU151" s="196"/>
      <c r="LV151" s="196"/>
      <c r="LW151" s="196"/>
      <c r="LX151" s="196"/>
      <c r="LY151" s="196"/>
      <c r="LZ151" s="196"/>
      <c r="MA151" s="196"/>
      <c r="MB151" s="196"/>
      <c r="MC151" s="196"/>
      <c r="MD151" s="196"/>
      <c r="ME151" s="196"/>
      <c r="MF151" s="196"/>
      <c r="MG151" s="196"/>
      <c r="MH151" s="196"/>
      <c r="MI151" s="196"/>
      <c r="MJ151" s="196"/>
      <c r="MK151" s="196"/>
      <c r="ML151" s="196"/>
      <c r="MM151" s="196"/>
      <c r="MN151" s="196"/>
      <c r="MO151" s="196"/>
      <c r="MP151" s="196"/>
      <c r="MQ151" s="196"/>
      <c r="MR151" s="196"/>
      <c r="MS151" s="196"/>
      <c r="MT151" s="196"/>
      <c r="MU151" s="196"/>
      <c r="MV151" s="196"/>
      <c r="MW151" s="196"/>
      <c r="MX151" s="196"/>
      <c r="MY151" s="196"/>
      <c r="MZ151" s="196"/>
      <c r="NA151" s="196"/>
      <c r="NB151" s="196"/>
      <c r="NC151" s="196"/>
      <c r="ND151" s="196"/>
      <c r="NE151" s="196"/>
      <c r="NF151" s="196"/>
      <c r="NG151" s="196"/>
      <c r="NH151" s="196"/>
      <c r="NI151" s="196"/>
      <c r="NJ151" s="196"/>
      <c r="NK151" s="196"/>
      <c r="NL151" s="196"/>
      <c r="NM151" s="196"/>
      <c r="NN151" s="196"/>
      <c r="NO151" s="196"/>
      <c r="NP151" s="196"/>
      <c r="NQ151" s="196"/>
      <c r="NR151" s="196"/>
      <c r="NS151" s="196"/>
      <c r="NT151" s="196"/>
      <c r="NU151" s="196"/>
      <c r="NV151" s="196"/>
      <c r="NW151" s="196"/>
      <c r="NX151" s="196"/>
      <c r="NY151" s="196"/>
      <c r="NZ151" s="196"/>
      <c r="OA151" s="196"/>
      <c r="OB151" s="196"/>
      <c r="OC151" s="196"/>
      <c r="OD151" s="196"/>
      <c r="OE151" s="196"/>
      <c r="OF151" s="196"/>
      <c r="OG151" s="196"/>
      <c r="OH151" s="196"/>
      <c r="OI151" s="196"/>
      <c r="OJ151" s="196"/>
      <c r="OK151" s="196"/>
      <c r="OL151" s="196"/>
      <c r="OM151" s="196"/>
      <c r="ON151" s="196"/>
      <c r="OO151" s="196"/>
      <c r="OP151" s="196"/>
      <c r="OQ151" s="196"/>
      <c r="OR151" s="196"/>
      <c r="OS151" s="196"/>
      <c r="OT151" s="196"/>
      <c r="OU151" s="196"/>
      <c r="OV151" s="196"/>
      <c r="OW151" s="196"/>
      <c r="OX151" s="196"/>
      <c r="OY151" s="196"/>
      <c r="OZ151" s="196"/>
      <c r="PA151" s="196"/>
      <c r="PB151" s="196"/>
      <c r="PC151" s="196"/>
      <c r="PD151" s="196"/>
      <c r="PE151" s="196"/>
      <c r="PF151" s="196"/>
      <c r="PG151" s="196"/>
      <c r="PH151" s="196"/>
      <c r="PI151" s="196"/>
      <c r="PJ151" s="196"/>
      <c r="PK151" s="196"/>
      <c r="PL151" s="196"/>
      <c r="PM151" s="196"/>
      <c r="PN151" s="196"/>
      <c r="PO151" s="196"/>
      <c r="PP151" s="196"/>
      <c r="PQ151" s="196"/>
      <c r="PR151" s="196"/>
      <c r="PS151" s="196"/>
      <c r="PT151" s="196"/>
      <c r="PU151" s="196"/>
      <c r="PV151" s="196"/>
      <c r="PW151" s="196"/>
      <c r="PX151" s="196"/>
      <c r="PY151" s="196"/>
      <c r="PZ151" s="196"/>
      <c r="QA151" s="196"/>
      <c r="QB151" s="196"/>
      <c r="QC151" s="196"/>
      <c r="QD151" s="196"/>
      <c r="QE151" s="196"/>
      <c r="QF151" s="196"/>
      <c r="QG151" s="196"/>
      <c r="QH151" s="196"/>
      <c r="QI151" s="196"/>
      <c r="QJ151" s="196"/>
      <c r="QK151" s="196"/>
      <c r="QL151" s="196"/>
      <c r="QM151" s="196"/>
      <c r="QN151" s="196"/>
      <c r="QO151" s="196"/>
      <c r="QP151" s="196"/>
      <c r="QQ151" s="196"/>
      <c r="QR151" s="196"/>
      <c r="QS151" s="196"/>
      <c r="QT151" s="196"/>
      <c r="QU151" s="196"/>
      <c r="QV151" s="196"/>
      <c r="QW151" s="196"/>
      <c r="QX151" s="196"/>
      <c r="QY151" s="196"/>
      <c r="QZ151" s="196"/>
      <c r="RA151" s="196"/>
      <c r="RB151" s="196"/>
      <c r="RC151" s="196"/>
      <c r="RD151" s="196"/>
      <c r="RE151" s="196"/>
      <c r="RF151" s="196"/>
      <c r="RG151" s="196"/>
      <c r="RH151" s="196"/>
      <c r="RI151" s="196"/>
      <c r="RJ151" s="196"/>
      <c r="RK151" s="196"/>
      <c r="RL151" s="196"/>
      <c r="RM151" s="196"/>
      <c r="RN151" s="196"/>
      <c r="RO151" s="196"/>
      <c r="RP151" s="196"/>
      <c r="RQ151" s="196"/>
      <c r="RR151" s="196"/>
      <c r="RS151" s="196"/>
      <c r="RT151" s="196"/>
      <c r="RU151" s="196"/>
      <c r="RV151" s="196"/>
      <c r="RW151" s="196"/>
      <c r="RX151" s="196"/>
      <c r="RY151" s="196"/>
      <c r="RZ151" s="196"/>
      <c r="SA151" s="196"/>
      <c r="SB151" s="196"/>
      <c r="SC151" s="196"/>
      <c r="SD151" s="196"/>
      <c r="SE151" s="196"/>
      <c r="SF151" s="196"/>
      <c r="SG151" s="196"/>
      <c r="SH151" s="196"/>
      <c r="SI151" s="196"/>
      <c r="SJ151" s="196"/>
      <c r="SK151" s="196"/>
      <c r="SL151" s="196"/>
      <c r="SM151" s="196"/>
      <c r="SN151" s="196"/>
      <c r="SO151" s="196"/>
      <c r="SP151" s="196"/>
      <c r="SQ151" s="196"/>
      <c r="SR151" s="196"/>
      <c r="SS151" s="196"/>
      <c r="ST151" s="196"/>
      <c r="SU151" s="196"/>
      <c r="SV151" s="196"/>
      <c r="SW151" s="196"/>
      <c r="SX151" s="196"/>
      <c r="SY151" s="196"/>
      <c r="SZ151" s="196"/>
      <c r="TA151" s="196"/>
      <c r="TB151" s="196"/>
      <c r="TC151" s="196"/>
      <c r="TD151" s="196"/>
      <c r="TE151" s="196"/>
      <c r="TF151" s="196"/>
      <c r="TG151" s="196"/>
      <c r="TH151" s="196"/>
      <c r="TI151" s="196"/>
      <c r="TJ151" s="196"/>
      <c r="TK151" s="196"/>
      <c r="TL151" s="196"/>
      <c r="TM151" s="196"/>
      <c r="TN151" s="196"/>
      <c r="TO151" s="196"/>
      <c r="TP151" s="196"/>
      <c r="TQ151" s="196"/>
      <c r="TR151" s="196"/>
      <c r="TS151" s="196"/>
      <c r="TT151" s="196"/>
      <c r="TU151" s="196"/>
      <c r="TV151" s="196"/>
      <c r="TW151" s="196"/>
      <c r="TX151" s="196"/>
      <c r="TY151" s="196"/>
      <c r="TZ151" s="196"/>
      <c r="UA151" s="196"/>
      <c r="UB151" s="196"/>
      <c r="UC151" s="196"/>
      <c r="UD151" s="196"/>
      <c r="UE151" s="196"/>
      <c r="UF151" s="196"/>
      <c r="UG151" s="196"/>
      <c r="UH151" s="196"/>
      <c r="UI151" s="196"/>
      <c r="UJ151" s="196"/>
      <c r="UK151" s="196"/>
      <c r="UL151" s="196"/>
      <c r="UM151" s="196"/>
      <c r="UN151" s="196"/>
      <c r="UO151" s="196"/>
      <c r="UP151" s="196"/>
      <c r="UQ151" s="196"/>
      <c r="UR151" s="196"/>
      <c r="US151" s="196"/>
      <c r="UT151" s="196"/>
      <c r="UU151" s="196"/>
      <c r="UV151" s="196"/>
      <c r="UW151" s="196"/>
      <c r="UX151" s="196"/>
      <c r="UY151" s="196"/>
      <c r="UZ151" s="196"/>
      <c r="VA151" s="196"/>
      <c r="VB151" s="196"/>
      <c r="VC151" s="196"/>
      <c r="VD151" s="196"/>
      <c r="VE151" s="196"/>
      <c r="VF151" s="196"/>
      <c r="VG151" s="196"/>
      <c r="VH151" s="196"/>
      <c r="VI151" s="196"/>
      <c r="VJ151" s="196"/>
      <c r="VK151" s="196"/>
      <c r="VL151" s="196"/>
      <c r="VM151" s="196"/>
      <c r="VN151" s="196"/>
      <c r="VO151" s="196"/>
      <c r="VP151" s="196"/>
      <c r="VQ151" s="196"/>
      <c r="VR151" s="196"/>
      <c r="VS151" s="196"/>
      <c r="VT151" s="196"/>
      <c r="VU151" s="196"/>
      <c r="VV151" s="196"/>
      <c r="VW151" s="196"/>
      <c r="VX151" s="196"/>
      <c r="VY151" s="196"/>
      <c r="VZ151" s="196"/>
      <c r="WA151" s="196"/>
      <c r="WB151" s="196"/>
      <c r="WC151" s="196"/>
      <c r="WD151" s="196"/>
      <c r="WE151" s="196"/>
      <c r="WF151" s="196"/>
      <c r="WG151" s="196"/>
      <c r="WH151" s="196"/>
      <c r="WI151" s="196"/>
      <c r="WJ151" s="196"/>
      <c r="WK151" s="196"/>
      <c r="WL151" s="196"/>
      <c r="WM151" s="196"/>
      <c r="WN151" s="196"/>
      <c r="WO151" s="196"/>
      <c r="WP151" s="196"/>
      <c r="WQ151" s="196"/>
      <c r="WR151" s="196"/>
      <c r="WS151" s="196"/>
      <c r="WT151" s="196"/>
      <c r="WU151" s="196"/>
      <c r="WV151" s="196"/>
      <c r="WW151" s="196"/>
      <c r="WX151" s="196"/>
      <c r="WY151" s="196"/>
      <c r="WZ151" s="196"/>
      <c r="XA151" s="196"/>
      <c r="XB151" s="196"/>
      <c r="XC151" s="196"/>
      <c r="XD151" s="196"/>
      <c r="XE151" s="196"/>
      <c r="XF151" s="196"/>
      <c r="XG151" s="196"/>
      <c r="XH151" s="196"/>
      <c r="XI151" s="196"/>
      <c r="XJ151" s="196"/>
      <c r="XK151" s="196"/>
      <c r="XL151" s="196"/>
      <c r="XM151" s="196"/>
      <c r="XN151" s="196"/>
      <c r="XO151" s="196"/>
      <c r="XP151" s="196"/>
      <c r="XQ151" s="196"/>
      <c r="XR151" s="196"/>
      <c r="XS151" s="196"/>
      <c r="XT151" s="196"/>
      <c r="XU151" s="196"/>
      <c r="XV151" s="196"/>
      <c r="XW151" s="196"/>
      <c r="XX151" s="196"/>
      <c r="XY151" s="196"/>
      <c r="XZ151" s="196"/>
      <c r="YA151" s="196"/>
      <c r="YB151" s="196"/>
      <c r="YC151" s="196"/>
      <c r="YD151" s="196"/>
      <c r="YE151" s="196"/>
      <c r="YF151" s="196"/>
      <c r="YG151" s="196"/>
      <c r="YH151" s="196"/>
      <c r="YI151" s="196"/>
      <c r="YJ151" s="196"/>
      <c r="YK151" s="196"/>
      <c r="YL151" s="196"/>
      <c r="YM151" s="196"/>
      <c r="YN151" s="196"/>
      <c r="YO151" s="196"/>
      <c r="YP151" s="196"/>
      <c r="YQ151" s="196"/>
      <c r="YR151" s="196"/>
      <c r="YS151" s="196"/>
      <c r="YT151" s="196"/>
      <c r="YU151" s="196"/>
      <c r="YV151" s="196"/>
      <c r="YW151" s="196"/>
      <c r="YX151" s="196"/>
      <c r="YY151" s="196"/>
      <c r="YZ151" s="196"/>
      <c r="ZA151" s="196"/>
      <c r="ZB151" s="196"/>
      <c r="ZC151" s="196"/>
      <c r="ZD151" s="196"/>
      <c r="ZE151" s="196"/>
      <c r="ZF151" s="196"/>
      <c r="ZG151" s="196"/>
      <c r="ZH151" s="196"/>
      <c r="ZI151" s="196"/>
      <c r="ZJ151" s="196"/>
      <c r="ZK151" s="196"/>
      <c r="ZL151" s="196"/>
      <c r="ZM151" s="196"/>
      <c r="ZN151" s="196"/>
      <c r="ZO151" s="196"/>
      <c r="ZP151" s="196"/>
      <c r="ZQ151" s="196"/>
      <c r="ZR151" s="196"/>
      <c r="ZS151" s="196"/>
      <c r="ZT151" s="196"/>
      <c r="ZU151" s="196"/>
      <c r="ZV151" s="196"/>
      <c r="ZW151" s="196"/>
      <c r="ZX151" s="196"/>
      <c r="ZY151" s="196"/>
      <c r="ZZ151" s="196"/>
      <c r="AAA151" s="196"/>
      <c r="AAB151" s="196"/>
      <c r="AAC151" s="196"/>
      <c r="AAD151" s="196"/>
      <c r="AAE151" s="196"/>
      <c r="AAF151" s="196"/>
      <c r="AAG151" s="196"/>
      <c r="AAH151" s="196"/>
      <c r="AAI151" s="196"/>
      <c r="AAJ151" s="196"/>
      <c r="AAK151" s="196"/>
      <c r="AAL151" s="196"/>
      <c r="AAM151" s="196"/>
      <c r="AAN151" s="196"/>
      <c r="AAO151" s="196"/>
      <c r="AAP151" s="196"/>
      <c r="AAQ151" s="196"/>
      <c r="AAR151" s="196"/>
      <c r="AAS151" s="196"/>
      <c r="AAT151" s="196"/>
      <c r="AAU151" s="196"/>
      <c r="AAV151" s="196"/>
      <c r="AAW151" s="196"/>
      <c r="AAX151" s="196"/>
      <c r="AAY151" s="196"/>
      <c r="AAZ151" s="196"/>
      <c r="ABA151" s="196"/>
      <c r="ABB151" s="196"/>
      <c r="ABC151" s="196"/>
      <c r="ABD151" s="196"/>
      <c r="ABE151" s="196"/>
      <c r="ABF151" s="196"/>
      <c r="ABG151" s="196"/>
      <c r="ABH151" s="196"/>
      <c r="ABI151" s="196"/>
      <c r="ABJ151" s="196"/>
      <c r="ABK151" s="196"/>
      <c r="ABL151" s="196"/>
      <c r="ABM151" s="196"/>
      <c r="ABN151" s="196"/>
      <c r="ABO151" s="196"/>
      <c r="ABP151" s="196"/>
      <c r="ABQ151" s="196"/>
      <c r="ABR151" s="196"/>
      <c r="ABS151" s="196"/>
      <c r="ABT151" s="196"/>
      <c r="ABU151" s="196"/>
      <c r="ABV151" s="196"/>
      <c r="ABW151" s="196"/>
      <c r="ABX151" s="196"/>
      <c r="ABY151" s="196"/>
      <c r="ABZ151" s="196"/>
      <c r="ACA151" s="196"/>
      <c r="ACB151" s="196"/>
      <c r="ACC151" s="196"/>
      <c r="ACD151" s="196"/>
      <c r="ACE151" s="196"/>
      <c r="ACF151" s="196"/>
      <c r="ACG151" s="196"/>
      <c r="ACH151" s="196"/>
      <c r="ACI151" s="196"/>
      <c r="ACJ151" s="196"/>
      <c r="ACK151" s="196"/>
      <c r="ACL151" s="196"/>
      <c r="ACM151" s="196"/>
      <c r="ACN151" s="196"/>
      <c r="ACO151" s="196"/>
      <c r="ACP151" s="196"/>
      <c r="ACQ151" s="196"/>
      <c r="ACR151" s="196"/>
      <c r="ACS151" s="196"/>
      <c r="ACT151" s="196"/>
      <c r="ACU151" s="196"/>
      <c r="ACV151" s="196"/>
      <c r="ACW151" s="196"/>
      <c r="ACX151" s="196"/>
      <c r="ACY151" s="196"/>
      <c r="ACZ151" s="196"/>
      <c r="ADA151" s="196"/>
      <c r="ADB151" s="196"/>
      <c r="ADC151" s="196"/>
      <c r="ADD151" s="196"/>
      <c r="ADE151" s="196"/>
      <c r="ADF151" s="196"/>
      <c r="ADG151" s="196"/>
      <c r="ADH151" s="196"/>
      <c r="ADI151" s="196"/>
      <c r="ADJ151" s="196"/>
      <c r="ADK151" s="196"/>
      <c r="ADL151" s="196"/>
      <c r="ADM151" s="196"/>
      <c r="ADN151" s="196"/>
      <c r="ADO151" s="196"/>
      <c r="ADP151" s="196"/>
      <c r="ADQ151" s="196"/>
      <c r="ADR151" s="196"/>
      <c r="ADS151" s="196"/>
      <c r="ADT151" s="196"/>
      <c r="ADU151" s="196"/>
      <c r="ADV151" s="196"/>
      <c r="ADW151" s="196"/>
      <c r="ADX151" s="196"/>
      <c r="ADY151" s="196"/>
      <c r="ADZ151" s="196"/>
      <c r="AEA151" s="196"/>
      <c r="AEB151" s="196"/>
      <c r="AEC151" s="196"/>
      <c r="AED151" s="196"/>
      <c r="AEE151" s="196"/>
      <c r="AEF151" s="196"/>
      <c r="AEG151" s="196"/>
      <c r="AEH151" s="196"/>
      <c r="AEI151" s="196"/>
      <c r="AEJ151" s="196"/>
      <c r="AEK151" s="196"/>
      <c r="AEL151" s="196"/>
      <c r="AEM151" s="196"/>
      <c r="AEN151" s="196"/>
      <c r="AEO151" s="196"/>
      <c r="AEP151" s="196"/>
      <c r="AEQ151" s="196"/>
      <c r="AER151" s="196"/>
      <c r="AES151" s="196"/>
      <c r="AET151" s="196"/>
      <c r="AEU151" s="196"/>
      <c r="AEV151" s="196"/>
      <c r="AEW151" s="196"/>
      <c r="AEX151" s="196"/>
      <c r="AEY151" s="196"/>
      <c r="AEZ151" s="196"/>
      <c r="AFA151" s="196"/>
      <c r="AFB151" s="196"/>
      <c r="AFC151" s="196"/>
      <c r="AFD151" s="196"/>
      <c r="AFE151" s="196"/>
      <c r="AFF151" s="196"/>
      <c r="AFG151" s="196"/>
      <c r="AFH151" s="196"/>
      <c r="AFI151" s="196"/>
      <c r="AFJ151" s="196"/>
      <c r="AFK151" s="196"/>
      <c r="AFL151" s="196"/>
      <c r="AFM151" s="196"/>
      <c r="AFN151" s="196"/>
      <c r="AFO151" s="196"/>
      <c r="AFP151" s="196"/>
      <c r="AFQ151" s="196"/>
      <c r="AFR151" s="196"/>
      <c r="AFS151" s="196"/>
      <c r="AFT151" s="196"/>
      <c r="AFU151" s="196"/>
      <c r="AFV151" s="196"/>
      <c r="AFW151" s="196"/>
      <c r="AFX151" s="196"/>
      <c r="AFY151" s="196"/>
      <c r="AFZ151" s="196"/>
      <c r="AGA151" s="196"/>
      <c r="AGB151" s="196"/>
      <c r="AGC151" s="196"/>
      <c r="AGD151" s="196"/>
      <c r="AGE151" s="196"/>
      <c r="AGF151" s="196"/>
      <c r="AGG151" s="196"/>
      <c r="AGH151" s="196"/>
      <c r="AGI151" s="196"/>
      <c r="AGJ151" s="196"/>
      <c r="AGK151" s="196"/>
      <c r="AGL151" s="196"/>
      <c r="AGM151" s="196"/>
      <c r="AGN151" s="196"/>
      <c r="AGO151" s="196"/>
      <c r="AGP151" s="196"/>
      <c r="AGQ151" s="196"/>
      <c r="AGR151" s="196"/>
      <c r="AGS151" s="196"/>
      <c r="AGT151" s="196"/>
      <c r="AGU151" s="196"/>
      <c r="AGV151" s="196"/>
      <c r="AGW151" s="196"/>
      <c r="AGX151" s="196"/>
      <c r="AGY151" s="196"/>
      <c r="AGZ151" s="196"/>
      <c r="AHA151" s="196"/>
      <c r="AHB151" s="196"/>
      <c r="AHC151" s="196"/>
      <c r="AHD151" s="196"/>
      <c r="AHE151" s="196"/>
      <c r="AHF151" s="196"/>
      <c r="AHG151" s="196"/>
      <c r="AHH151" s="196"/>
      <c r="AHI151" s="196"/>
      <c r="AHJ151" s="196"/>
      <c r="AHK151" s="196"/>
      <c r="AHL151" s="196"/>
      <c r="AHM151" s="196"/>
      <c r="AHN151" s="196"/>
      <c r="AHO151" s="196"/>
      <c r="AHP151" s="196"/>
      <c r="AHQ151" s="196"/>
      <c r="AHR151" s="196"/>
      <c r="AHS151" s="196"/>
      <c r="AHT151" s="196"/>
      <c r="AHU151" s="196"/>
      <c r="AHV151" s="196"/>
      <c r="AHW151" s="196"/>
      <c r="AHX151" s="196"/>
      <c r="AHY151" s="196"/>
      <c r="AHZ151" s="196"/>
      <c r="AIA151" s="196"/>
      <c r="AIB151" s="196"/>
      <c r="AIC151" s="196"/>
      <c r="AID151" s="196"/>
      <c r="AIE151" s="196"/>
      <c r="AIF151" s="196"/>
      <c r="AIG151" s="196"/>
      <c r="AIH151" s="196"/>
      <c r="AII151" s="196"/>
      <c r="AIJ151" s="196"/>
      <c r="AIK151" s="196"/>
      <c r="AIL151" s="196"/>
      <c r="AIM151" s="196"/>
      <c r="AIN151" s="196"/>
      <c r="AIO151" s="196"/>
      <c r="AIP151" s="196"/>
      <c r="AIQ151" s="196"/>
      <c r="AIR151" s="196"/>
      <c r="AIS151" s="196"/>
      <c r="AIT151" s="196"/>
      <c r="AIU151" s="196"/>
      <c r="AIV151" s="196"/>
      <c r="AIW151" s="196"/>
      <c r="AIX151" s="196"/>
      <c r="AIY151" s="196"/>
      <c r="AIZ151" s="196"/>
      <c r="AJA151" s="196"/>
      <c r="AJB151" s="196"/>
      <c r="AJC151" s="196"/>
      <c r="AJD151" s="196"/>
      <c r="AJE151" s="196"/>
      <c r="AJF151" s="196"/>
      <c r="AJG151" s="196"/>
      <c r="AJH151" s="196"/>
      <c r="AJI151" s="196"/>
      <c r="AJJ151" s="196"/>
      <c r="AJK151" s="196"/>
      <c r="AJL151" s="196"/>
      <c r="AJM151" s="196"/>
      <c r="AJN151" s="196"/>
      <c r="AJO151" s="196"/>
      <c r="AJP151" s="196"/>
      <c r="AJQ151" s="196"/>
      <c r="AJR151" s="196"/>
      <c r="AJS151" s="196"/>
      <c r="AJT151" s="196"/>
      <c r="AJU151" s="196"/>
      <c r="AJV151" s="196"/>
      <c r="AJW151" s="196"/>
      <c r="AJX151" s="196"/>
      <c r="AJY151" s="196"/>
      <c r="AJZ151" s="196"/>
      <c r="AKA151" s="196"/>
      <c r="AKB151" s="196"/>
      <c r="AKC151" s="196"/>
      <c r="AKD151" s="196"/>
      <c r="AKE151" s="196"/>
      <c r="AKF151" s="196"/>
      <c r="AKG151" s="196"/>
      <c r="AKH151" s="196"/>
      <c r="AKI151" s="196"/>
      <c r="AKJ151" s="196"/>
      <c r="AKK151" s="196"/>
      <c r="AKL151" s="196"/>
      <c r="AKM151" s="196"/>
      <c r="AKN151" s="196"/>
      <c r="AKO151" s="196"/>
      <c r="AKP151" s="196"/>
      <c r="AKQ151" s="196"/>
      <c r="AKR151" s="196"/>
      <c r="AKS151" s="196"/>
      <c r="AKT151" s="196"/>
      <c r="AKU151" s="196"/>
      <c r="AKV151" s="196"/>
      <c r="AKW151" s="196"/>
      <c r="AKX151" s="196"/>
      <c r="AKY151" s="196"/>
      <c r="AKZ151" s="196"/>
      <c r="ALA151" s="196"/>
      <c r="ALB151" s="196"/>
      <c r="ALC151" s="196"/>
      <c r="ALD151" s="196"/>
      <c r="ALE151" s="196"/>
      <c r="ALF151" s="196"/>
      <c r="ALG151" s="196"/>
      <c r="ALH151" s="196"/>
      <c r="ALI151" s="196"/>
      <c r="ALJ151" s="196"/>
      <c r="ALK151" s="196"/>
      <c r="ALL151" s="196"/>
      <c r="ALM151" s="196"/>
      <c r="ALN151" s="196"/>
      <c r="ALO151" s="196"/>
      <c r="ALP151" s="196"/>
      <c r="ALQ151" s="196"/>
      <c r="ALR151" s="196"/>
      <c r="ALS151" s="196"/>
      <c r="ALT151" s="196"/>
      <c r="ALU151" s="196"/>
      <c r="ALV151" s="196"/>
      <c r="ALW151" s="196"/>
      <c r="ALX151" s="196"/>
      <c r="ALY151" s="196"/>
      <c r="ALZ151" s="196"/>
      <c r="AMA151" s="196"/>
      <c r="AMB151" s="196"/>
      <c r="AMC151" s="196"/>
      <c r="AMD151" s="196"/>
      <c r="AME151" s="196"/>
      <c r="AMF151" s="196"/>
      <c r="AMG151" s="196"/>
      <c r="AMH151" s="196"/>
      <c r="AMI151" s="196"/>
      <c r="AMJ151" s="196"/>
    </row>
    <row r="152" customFormat="false" ht="15.75" hidden="false" customHeight="true" outlineLevel="0" collapsed="false">
      <c r="A152" s="196"/>
      <c r="B152" s="14" t="s">
        <v>139</v>
      </c>
      <c r="C152" s="14"/>
      <c r="D152" s="15" t="s">
        <v>2</v>
      </c>
      <c r="E152" s="15" t="s">
        <v>3</v>
      </c>
      <c r="F152" s="16" t="s">
        <v>4</v>
      </c>
      <c r="G152" s="10"/>
      <c r="H152" s="24"/>
      <c r="I152" s="256"/>
      <c r="J152" s="206"/>
      <c r="K152" s="206"/>
      <c r="L152" s="20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6"/>
      <c r="AU152" s="196"/>
      <c r="AV152" s="196"/>
      <c r="AW152" s="196"/>
      <c r="AX152" s="196"/>
      <c r="AY152" s="196"/>
      <c r="AZ152" s="196"/>
      <c r="BA152" s="196"/>
      <c r="BB152" s="196"/>
      <c r="BC152" s="196"/>
      <c r="BD152" s="196"/>
      <c r="BE152" s="196"/>
      <c r="BF152" s="196"/>
      <c r="BG152" s="196"/>
      <c r="BH152" s="196"/>
      <c r="BI152" s="196"/>
      <c r="BJ152" s="196"/>
      <c r="BK152" s="196"/>
      <c r="BL152" s="196"/>
      <c r="BM152" s="196"/>
      <c r="BN152" s="196"/>
      <c r="BO152" s="196"/>
      <c r="BP152" s="196"/>
      <c r="BQ152" s="196"/>
      <c r="BR152" s="196"/>
      <c r="BS152" s="196"/>
      <c r="BT152" s="196"/>
      <c r="BU152" s="196"/>
      <c r="BV152" s="196"/>
      <c r="BW152" s="196"/>
      <c r="BX152" s="196"/>
      <c r="BY152" s="196"/>
      <c r="BZ152" s="196"/>
      <c r="CA152" s="196"/>
      <c r="CB152" s="196"/>
      <c r="CC152" s="196"/>
      <c r="CD152" s="196"/>
      <c r="CE152" s="196"/>
      <c r="CF152" s="196"/>
      <c r="CG152" s="196"/>
      <c r="CH152" s="196"/>
      <c r="CI152" s="196"/>
      <c r="CJ152" s="196"/>
      <c r="CK152" s="196"/>
      <c r="CL152" s="196"/>
      <c r="CM152" s="196"/>
      <c r="CN152" s="196"/>
      <c r="CO152" s="196"/>
      <c r="CP152" s="196"/>
      <c r="CQ152" s="196"/>
      <c r="CR152" s="196"/>
      <c r="CS152" s="196"/>
      <c r="CT152" s="196"/>
      <c r="CU152" s="196"/>
      <c r="CV152" s="196"/>
      <c r="CW152" s="196"/>
      <c r="CX152" s="196"/>
      <c r="CY152" s="196"/>
      <c r="CZ152" s="196"/>
      <c r="DA152" s="196"/>
      <c r="DB152" s="196"/>
      <c r="DC152" s="196"/>
      <c r="DD152" s="196"/>
      <c r="DE152" s="196"/>
      <c r="DF152" s="196"/>
      <c r="DG152" s="196"/>
      <c r="DH152" s="196"/>
      <c r="DI152" s="196"/>
      <c r="DJ152" s="196"/>
      <c r="DK152" s="196"/>
      <c r="DL152" s="196"/>
      <c r="DM152" s="196"/>
      <c r="DN152" s="196"/>
      <c r="DO152" s="196"/>
      <c r="DP152" s="196"/>
      <c r="DQ152" s="196"/>
      <c r="DR152" s="196"/>
      <c r="DS152" s="196"/>
      <c r="DT152" s="196"/>
      <c r="DU152" s="196"/>
      <c r="DV152" s="196"/>
      <c r="DW152" s="196"/>
      <c r="DX152" s="196"/>
      <c r="DY152" s="196"/>
      <c r="DZ152" s="196"/>
      <c r="EA152" s="196"/>
      <c r="EB152" s="196"/>
      <c r="EC152" s="196"/>
      <c r="ED152" s="196"/>
      <c r="EE152" s="196"/>
      <c r="EF152" s="196"/>
      <c r="EG152" s="196"/>
      <c r="EH152" s="196"/>
      <c r="EI152" s="196"/>
      <c r="EJ152" s="196"/>
      <c r="EK152" s="196"/>
      <c r="EL152" s="196"/>
      <c r="EM152" s="196"/>
      <c r="EN152" s="196"/>
      <c r="EO152" s="196"/>
      <c r="EP152" s="196"/>
      <c r="EQ152" s="196"/>
      <c r="ER152" s="196"/>
      <c r="ES152" s="196"/>
      <c r="ET152" s="196"/>
      <c r="EU152" s="196"/>
      <c r="EV152" s="196"/>
      <c r="EW152" s="196"/>
      <c r="EX152" s="196"/>
      <c r="EY152" s="196"/>
      <c r="EZ152" s="196"/>
      <c r="FA152" s="196"/>
      <c r="FB152" s="196"/>
      <c r="FC152" s="196"/>
      <c r="FD152" s="196"/>
      <c r="FE152" s="196"/>
      <c r="FF152" s="196"/>
      <c r="FG152" s="196"/>
      <c r="FH152" s="196"/>
      <c r="FI152" s="196"/>
      <c r="FJ152" s="196"/>
      <c r="FK152" s="196"/>
      <c r="FL152" s="196"/>
      <c r="FM152" s="196"/>
      <c r="FN152" s="196"/>
      <c r="FO152" s="196"/>
      <c r="FP152" s="196"/>
      <c r="FQ152" s="196"/>
      <c r="FR152" s="196"/>
      <c r="FS152" s="196"/>
      <c r="FT152" s="196"/>
      <c r="FU152" s="196"/>
      <c r="FV152" s="196"/>
      <c r="FW152" s="196"/>
      <c r="FX152" s="196"/>
      <c r="FY152" s="196"/>
      <c r="FZ152" s="196"/>
      <c r="GA152" s="196"/>
      <c r="GB152" s="196"/>
      <c r="GC152" s="196"/>
      <c r="GD152" s="196"/>
      <c r="GE152" s="196"/>
      <c r="GF152" s="196"/>
      <c r="GG152" s="196"/>
      <c r="GH152" s="196"/>
      <c r="GI152" s="196"/>
      <c r="GJ152" s="196"/>
      <c r="GK152" s="196"/>
      <c r="GL152" s="196"/>
      <c r="GM152" s="196"/>
      <c r="GN152" s="196"/>
      <c r="GO152" s="196"/>
      <c r="GP152" s="196"/>
      <c r="GQ152" s="196"/>
      <c r="GR152" s="196"/>
      <c r="GS152" s="196"/>
      <c r="GT152" s="196"/>
      <c r="GU152" s="196"/>
      <c r="GV152" s="196"/>
      <c r="GW152" s="196"/>
      <c r="GX152" s="196"/>
      <c r="GY152" s="196"/>
      <c r="GZ152" s="196"/>
      <c r="HA152" s="196"/>
      <c r="HB152" s="196"/>
      <c r="HC152" s="196"/>
      <c r="HD152" s="196"/>
      <c r="HE152" s="196"/>
      <c r="HF152" s="196"/>
      <c r="HG152" s="196"/>
      <c r="HH152" s="196"/>
      <c r="HI152" s="196"/>
      <c r="HJ152" s="196"/>
      <c r="HK152" s="196"/>
      <c r="HL152" s="196"/>
      <c r="HM152" s="196"/>
      <c r="HN152" s="196"/>
      <c r="HO152" s="196"/>
      <c r="HP152" s="196"/>
      <c r="HQ152" s="196"/>
      <c r="HR152" s="196"/>
      <c r="HS152" s="196"/>
      <c r="HT152" s="196"/>
      <c r="HU152" s="196"/>
      <c r="HV152" s="196"/>
      <c r="HW152" s="196"/>
      <c r="HX152" s="196"/>
      <c r="HY152" s="196"/>
      <c r="HZ152" s="196"/>
      <c r="IA152" s="196"/>
      <c r="IB152" s="196"/>
      <c r="IC152" s="196"/>
      <c r="ID152" s="196"/>
      <c r="IE152" s="196"/>
      <c r="IF152" s="196"/>
      <c r="IG152" s="196"/>
      <c r="IH152" s="196"/>
      <c r="II152" s="196"/>
      <c r="IJ152" s="196"/>
      <c r="IK152" s="196"/>
      <c r="IL152" s="196"/>
      <c r="IM152" s="196"/>
      <c r="IN152" s="196"/>
      <c r="IO152" s="196"/>
      <c r="IP152" s="196"/>
      <c r="IQ152" s="196"/>
      <c r="IR152" s="196"/>
      <c r="IS152" s="196"/>
      <c r="IT152" s="196"/>
      <c r="IU152" s="196"/>
      <c r="IV152" s="196"/>
      <c r="IW152" s="196"/>
      <c r="IX152" s="196"/>
      <c r="IY152" s="196"/>
      <c r="IZ152" s="196"/>
      <c r="JA152" s="196"/>
      <c r="JB152" s="196"/>
      <c r="JC152" s="196"/>
      <c r="JD152" s="196"/>
      <c r="JE152" s="196"/>
      <c r="JF152" s="196"/>
      <c r="JG152" s="196"/>
      <c r="JH152" s="196"/>
      <c r="JI152" s="196"/>
      <c r="JJ152" s="196"/>
      <c r="JK152" s="196"/>
      <c r="JL152" s="196"/>
      <c r="JM152" s="196"/>
      <c r="JN152" s="196"/>
      <c r="JO152" s="196"/>
      <c r="JP152" s="196"/>
      <c r="JQ152" s="196"/>
      <c r="JR152" s="196"/>
      <c r="JS152" s="196"/>
      <c r="JT152" s="196"/>
      <c r="JU152" s="196"/>
      <c r="JV152" s="196"/>
      <c r="JW152" s="196"/>
      <c r="JX152" s="196"/>
      <c r="JY152" s="196"/>
      <c r="JZ152" s="196"/>
      <c r="KA152" s="196"/>
      <c r="KB152" s="196"/>
      <c r="KC152" s="196"/>
      <c r="KD152" s="196"/>
      <c r="KE152" s="196"/>
      <c r="KF152" s="196"/>
      <c r="KG152" s="196"/>
      <c r="KH152" s="196"/>
      <c r="KI152" s="196"/>
      <c r="KJ152" s="196"/>
      <c r="KK152" s="196"/>
      <c r="KL152" s="196"/>
      <c r="KM152" s="196"/>
      <c r="KN152" s="196"/>
      <c r="KO152" s="196"/>
      <c r="KP152" s="196"/>
      <c r="KQ152" s="196"/>
      <c r="KR152" s="196"/>
      <c r="KS152" s="196"/>
      <c r="KT152" s="196"/>
      <c r="KU152" s="196"/>
      <c r="KV152" s="196"/>
      <c r="KW152" s="196"/>
      <c r="KX152" s="196"/>
      <c r="KY152" s="196"/>
      <c r="KZ152" s="196"/>
      <c r="LA152" s="196"/>
      <c r="LB152" s="196"/>
      <c r="LC152" s="196"/>
      <c r="LD152" s="196"/>
      <c r="LE152" s="196"/>
      <c r="LF152" s="196"/>
      <c r="LG152" s="196"/>
      <c r="LH152" s="196"/>
      <c r="LI152" s="196"/>
      <c r="LJ152" s="196"/>
      <c r="LK152" s="196"/>
      <c r="LL152" s="196"/>
      <c r="LM152" s="196"/>
      <c r="LN152" s="196"/>
      <c r="LO152" s="196"/>
      <c r="LP152" s="196"/>
      <c r="LQ152" s="196"/>
      <c r="LR152" s="196"/>
      <c r="LS152" s="196"/>
      <c r="LT152" s="196"/>
      <c r="LU152" s="196"/>
      <c r="LV152" s="196"/>
      <c r="LW152" s="196"/>
      <c r="LX152" s="196"/>
      <c r="LY152" s="196"/>
      <c r="LZ152" s="196"/>
      <c r="MA152" s="196"/>
      <c r="MB152" s="196"/>
      <c r="MC152" s="196"/>
      <c r="MD152" s="196"/>
      <c r="ME152" s="196"/>
      <c r="MF152" s="196"/>
      <c r="MG152" s="196"/>
      <c r="MH152" s="196"/>
      <c r="MI152" s="196"/>
      <c r="MJ152" s="196"/>
      <c r="MK152" s="196"/>
      <c r="ML152" s="196"/>
      <c r="MM152" s="196"/>
      <c r="MN152" s="196"/>
      <c r="MO152" s="196"/>
      <c r="MP152" s="196"/>
      <c r="MQ152" s="196"/>
      <c r="MR152" s="196"/>
      <c r="MS152" s="196"/>
      <c r="MT152" s="196"/>
      <c r="MU152" s="196"/>
      <c r="MV152" s="196"/>
      <c r="MW152" s="196"/>
      <c r="MX152" s="196"/>
      <c r="MY152" s="196"/>
      <c r="MZ152" s="196"/>
      <c r="NA152" s="196"/>
      <c r="NB152" s="196"/>
      <c r="NC152" s="196"/>
      <c r="ND152" s="196"/>
      <c r="NE152" s="196"/>
      <c r="NF152" s="196"/>
      <c r="NG152" s="196"/>
      <c r="NH152" s="196"/>
      <c r="NI152" s="196"/>
      <c r="NJ152" s="196"/>
      <c r="NK152" s="196"/>
      <c r="NL152" s="196"/>
      <c r="NM152" s="196"/>
      <c r="NN152" s="196"/>
      <c r="NO152" s="196"/>
      <c r="NP152" s="196"/>
      <c r="NQ152" s="196"/>
      <c r="NR152" s="196"/>
      <c r="NS152" s="196"/>
      <c r="NT152" s="196"/>
      <c r="NU152" s="196"/>
      <c r="NV152" s="196"/>
      <c r="NW152" s="196"/>
      <c r="NX152" s="196"/>
      <c r="NY152" s="196"/>
      <c r="NZ152" s="196"/>
      <c r="OA152" s="196"/>
      <c r="OB152" s="196"/>
      <c r="OC152" s="196"/>
      <c r="OD152" s="196"/>
      <c r="OE152" s="196"/>
      <c r="OF152" s="196"/>
      <c r="OG152" s="196"/>
      <c r="OH152" s="196"/>
      <c r="OI152" s="196"/>
      <c r="OJ152" s="196"/>
      <c r="OK152" s="196"/>
      <c r="OL152" s="196"/>
      <c r="OM152" s="196"/>
      <c r="ON152" s="196"/>
      <c r="OO152" s="196"/>
      <c r="OP152" s="196"/>
      <c r="OQ152" s="196"/>
      <c r="OR152" s="196"/>
      <c r="OS152" s="196"/>
      <c r="OT152" s="196"/>
      <c r="OU152" s="196"/>
      <c r="OV152" s="196"/>
      <c r="OW152" s="196"/>
      <c r="OX152" s="196"/>
      <c r="OY152" s="196"/>
      <c r="OZ152" s="196"/>
      <c r="PA152" s="196"/>
      <c r="PB152" s="196"/>
      <c r="PC152" s="196"/>
      <c r="PD152" s="196"/>
      <c r="PE152" s="196"/>
      <c r="PF152" s="196"/>
      <c r="PG152" s="196"/>
      <c r="PH152" s="196"/>
      <c r="PI152" s="196"/>
      <c r="PJ152" s="196"/>
      <c r="PK152" s="196"/>
      <c r="PL152" s="196"/>
      <c r="PM152" s="196"/>
      <c r="PN152" s="196"/>
      <c r="PO152" s="196"/>
      <c r="PP152" s="196"/>
      <c r="PQ152" s="196"/>
      <c r="PR152" s="196"/>
      <c r="PS152" s="196"/>
      <c r="PT152" s="196"/>
      <c r="PU152" s="196"/>
      <c r="PV152" s="196"/>
      <c r="PW152" s="196"/>
      <c r="PX152" s="196"/>
      <c r="PY152" s="196"/>
      <c r="PZ152" s="196"/>
      <c r="QA152" s="196"/>
      <c r="QB152" s="196"/>
      <c r="QC152" s="196"/>
      <c r="QD152" s="196"/>
      <c r="QE152" s="196"/>
      <c r="QF152" s="196"/>
      <c r="QG152" s="196"/>
      <c r="QH152" s="196"/>
      <c r="QI152" s="196"/>
      <c r="QJ152" s="196"/>
      <c r="QK152" s="196"/>
      <c r="QL152" s="196"/>
      <c r="QM152" s="196"/>
      <c r="QN152" s="196"/>
      <c r="QO152" s="196"/>
      <c r="QP152" s="196"/>
      <c r="QQ152" s="196"/>
      <c r="QR152" s="196"/>
      <c r="QS152" s="196"/>
      <c r="QT152" s="196"/>
      <c r="QU152" s="196"/>
      <c r="QV152" s="196"/>
      <c r="QW152" s="196"/>
      <c r="QX152" s="196"/>
      <c r="QY152" s="196"/>
      <c r="QZ152" s="196"/>
      <c r="RA152" s="196"/>
      <c r="RB152" s="196"/>
      <c r="RC152" s="196"/>
      <c r="RD152" s="196"/>
      <c r="RE152" s="196"/>
      <c r="RF152" s="196"/>
      <c r="RG152" s="196"/>
      <c r="RH152" s="196"/>
      <c r="RI152" s="196"/>
      <c r="RJ152" s="196"/>
      <c r="RK152" s="196"/>
      <c r="RL152" s="196"/>
      <c r="RM152" s="196"/>
      <c r="RN152" s="196"/>
      <c r="RO152" s="196"/>
      <c r="RP152" s="196"/>
      <c r="RQ152" s="196"/>
      <c r="RR152" s="196"/>
      <c r="RS152" s="196"/>
      <c r="RT152" s="196"/>
      <c r="RU152" s="196"/>
      <c r="RV152" s="196"/>
      <c r="RW152" s="196"/>
      <c r="RX152" s="196"/>
      <c r="RY152" s="196"/>
      <c r="RZ152" s="196"/>
      <c r="SA152" s="196"/>
      <c r="SB152" s="196"/>
      <c r="SC152" s="196"/>
      <c r="SD152" s="196"/>
      <c r="SE152" s="196"/>
      <c r="SF152" s="196"/>
      <c r="SG152" s="196"/>
      <c r="SH152" s="196"/>
      <c r="SI152" s="196"/>
      <c r="SJ152" s="196"/>
      <c r="SK152" s="196"/>
      <c r="SL152" s="196"/>
      <c r="SM152" s="196"/>
      <c r="SN152" s="196"/>
      <c r="SO152" s="196"/>
      <c r="SP152" s="196"/>
      <c r="SQ152" s="196"/>
      <c r="SR152" s="196"/>
      <c r="SS152" s="196"/>
      <c r="ST152" s="196"/>
      <c r="SU152" s="196"/>
      <c r="SV152" s="196"/>
      <c r="SW152" s="196"/>
      <c r="SX152" s="196"/>
      <c r="SY152" s="196"/>
      <c r="SZ152" s="196"/>
      <c r="TA152" s="196"/>
      <c r="TB152" s="196"/>
      <c r="TC152" s="196"/>
      <c r="TD152" s="196"/>
      <c r="TE152" s="196"/>
      <c r="TF152" s="196"/>
      <c r="TG152" s="196"/>
      <c r="TH152" s="196"/>
      <c r="TI152" s="196"/>
      <c r="TJ152" s="196"/>
      <c r="TK152" s="196"/>
      <c r="TL152" s="196"/>
      <c r="TM152" s="196"/>
      <c r="TN152" s="196"/>
      <c r="TO152" s="196"/>
      <c r="TP152" s="196"/>
      <c r="TQ152" s="196"/>
      <c r="TR152" s="196"/>
      <c r="TS152" s="196"/>
      <c r="TT152" s="196"/>
      <c r="TU152" s="196"/>
      <c r="TV152" s="196"/>
      <c r="TW152" s="196"/>
      <c r="TX152" s="196"/>
      <c r="TY152" s="196"/>
      <c r="TZ152" s="196"/>
      <c r="UA152" s="196"/>
      <c r="UB152" s="196"/>
      <c r="UC152" s="196"/>
      <c r="UD152" s="196"/>
      <c r="UE152" s="196"/>
      <c r="UF152" s="196"/>
      <c r="UG152" s="196"/>
      <c r="UH152" s="196"/>
      <c r="UI152" s="196"/>
      <c r="UJ152" s="196"/>
      <c r="UK152" s="196"/>
      <c r="UL152" s="196"/>
      <c r="UM152" s="196"/>
      <c r="UN152" s="196"/>
      <c r="UO152" s="196"/>
      <c r="UP152" s="196"/>
      <c r="UQ152" s="196"/>
      <c r="UR152" s="196"/>
      <c r="US152" s="196"/>
      <c r="UT152" s="196"/>
      <c r="UU152" s="196"/>
      <c r="UV152" s="196"/>
      <c r="UW152" s="196"/>
      <c r="UX152" s="196"/>
      <c r="UY152" s="196"/>
      <c r="UZ152" s="196"/>
      <c r="VA152" s="196"/>
      <c r="VB152" s="196"/>
      <c r="VC152" s="196"/>
      <c r="VD152" s="196"/>
      <c r="VE152" s="196"/>
      <c r="VF152" s="196"/>
      <c r="VG152" s="196"/>
      <c r="VH152" s="196"/>
      <c r="VI152" s="196"/>
      <c r="VJ152" s="196"/>
      <c r="VK152" s="196"/>
      <c r="VL152" s="196"/>
      <c r="VM152" s="196"/>
      <c r="VN152" s="196"/>
      <c r="VO152" s="196"/>
      <c r="VP152" s="196"/>
      <c r="VQ152" s="196"/>
      <c r="VR152" s="196"/>
      <c r="VS152" s="196"/>
      <c r="VT152" s="196"/>
      <c r="VU152" s="196"/>
      <c r="VV152" s="196"/>
      <c r="VW152" s="196"/>
      <c r="VX152" s="196"/>
      <c r="VY152" s="196"/>
      <c r="VZ152" s="196"/>
      <c r="WA152" s="196"/>
      <c r="WB152" s="196"/>
      <c r="WC152" s="196"/>
      <c r="WD152" s="196"/>
      <c r="WE152" s="196"/>
      <c r="WF152" s="196"/>
      <c r="WG152" s="196"/>
      <c r="WH152" s="196"/>
      <c r="WI152" s="196"/>
      <c r="WJ152" s="196"/>
      <c r="WK152" s="196"/>
      <c r="WL152" s="196"/>
      <c r="WM152" s="196"/>
      <c r="WN152" s="196"/>
      <c r="WO152" s="196"/>
      <c r="WP152" s="196"/>
      <c r="WQ152" s="196"/>
      <c r="WR152" s="196"/>
      <c r="WS152" s="196"/>
      <c r="WT152" s="196"/>
      <c r="WU152" s="196"/>
      <c r="WV152" s="196"/>
      <c r="WW152" s="196"/>
      <c r="WX152" s="196"/>
      <c r="WY152" s="196"/>
      <c r="WZ152" s="196"/>
      <c r="XA152" s="196"/>
      <c r="XB152" s="196"/>
      <c r="XC152" s="196"/>
      <c r="XD152" s="196"/>
      <c r="XE152" s="196"/>
      <c r="XF152" s="196"/>
      <c r="XG152" s="196"/>
      <c r="XH152" s="196"/>
      <c r="XI152" s="196"/>
      <c r="XJ152" s="196"/>
      <c r="XK152" s="196"/>
      <c r="XL152" s="196"/>
      <c r="XM152" s="196"/>
      <c r="XN152" s="196"/>
      <c r="XO152" s="196"/>
      <c r="XP152" s="196"/>
      <c r="XQ152" s="196"/>
      <c r="XR152" s="196"/>
      <c r="XS152" s="196"/>
      <c r="XT152" s="196"/>
      <c r="XU152" s="196"/>
      <c r="XV152" s="196"/>
      <c r="XW152" s="196"/>
      <c r="XX152" s="196"/>
      <c r="XY152" s="196"/>
      <c r="XZ152" s="196"/>
      <c r="YA152" s="196"/>
      <c r="YB152" s="196"/>
      <c r="YC152" s="196"/>
      <c r="YD152" s="196"/>
      <c r="YE152" s="196"/>
      <c r="YF152" s="196"/>
      <c r="YG152" s="196"/>
      <c r="YH152" s="196"/>
      <c r="YI152" s="196"/>
      <c r="YJ152" s="196"/>
      <c r="YK152" s="196"/>
      <c r="YL152" s="196"/>
      <c r="YM152" s="196"/>
      <c r="YN152" s="196"/>
      <c r="YO152" s="196"/>
      <c r="YP152" s="196"/>
      <c r="YQ152" s="196"/>
      <c r="YR152" s="196"/>
      <c r="YS152" s="196"/>
      <c r="YT152" s="196"/>
      <c r="YU152" s="196"/>
      <c r="YV152" s="196"/>
      <c r="YW152" s="196"/>
      <c r="YX152" s="196"/>
      <c r="YY152" s="196"/>
      <c r="YZ152" s="196"/>
      <c r="ZA152" s="196"/>
      <c r="ZB152" s="196"/>
      <c r="ZC152" s="196"/>
      <c r="ZD152" s="196"/>
      <c r="ZE152" s="196"/>
      <c r="ZF152" s="196"/>
      <c r="ZG152" s="196"/>
      <c r="ZH152" s="196"/>
      <c r="ZI152" s="196"/>
      <c r="ZJ152" s="196"/>
      <c r="ZK152" s="196"/>
      <c r="ZL152" s="196"/>
      <c r="ZM152" s="196"/>
      <c r="ZN152" s="196"/>
      <c r="ZO152" s="196"/>
      <c r="ZP152" s="196"/>
      <c r="ZQ152" s="196"/>
      <c r="ZR152" s="196"/>
      <c r="ZS152" s="196"/>
      <c r="ZT152" s="196"/>
      <c r="ZU152" s="196"/>
      <c r="ZV152" s="196"/>
      <c r="ZW152" s="196"/>
      <c r="ZX152" s="196"/>
      <c r="ZY152" s="196"/>
      <c r="ZZ152" s="196"/>
      <c r="AAA152" s="196"/>
      <c r="AAB152" s="196"/>
      <c r="AAC152" s="196"/>
      <c r="AAD152" s="196"/>
      <c r="AAE152" s="196"/>
      <c r="AAF152" s="196"/>
      <c r="AAG152" s="196"/>
      <c r="AAH152" s="196"/>
      <c r="AAI152" s="196"/>
      <c r="AAJ152" s="196"/>
      <c r="AAK152" s="196"/>
      <c r="AAL152" s="196"/>
      <c r="AAM152" s="196"/>
      <c r="AAN152" s="196"/>
      <c r="AAO152" s="196"/>
      <c r="AAP152" s="196"/>
      <c r="AAQ152" s="196"/>
      <c r="AAR152" s="196"/>
      <c r="AAS152" s="196"/>
      <c r="AAT152" s="196"/>
      <c r="AAU152" s="196"/>
      <c r="AAV152" s="196"/>
      <c r="AAW152" s="196"/>
      <c r="AAX152" s="196"/>
      <c r="AAY152" s="196"/>
      <c r="AAZ152" s="196"/>
      <c r="ABA152" s="196"/>
      <c r="ABB152" s="196"/>
      <c r="ABC152" s="196"/>
      <c r="ABD152" s="196"/>
      <c r="ABE152" s="196"/>
      <c r="ABF152" s="196"/>
      <c r="ABG152" s="196"/>
      <c r="ABH152" s="196"/>
      <c r="ABI152" s="196"/>
      <c r="ABJ152" s="196"/>
      <c r="ABK152" s="196"/>
      <c r="ABL152" s="196"/>
      <c r="ABM152" s="196"/>
      <c r="ABN152" s="196"/>
      <c r="ABO152" s="196"/>
      <c r="ABP152" s="196"/>
      <c r="ABQ152" s="196"/>
      <c r="ABR152" s="196"/>
      <c r="ABS152" s="196"/>
      <c r="ABT152" s="196"/>
      <c r="ABU152" s="196"/>
      <c r="ABV152" s="196"/>
      <c r="ABW152" s="196"/>
      <c r="ABX152" s="196"/>
      <c r="ABY152" s="196"/>
      <c r="ABZ152" s="196"/>
      <c r="ACA152" s="196"/>
      <c r="ACB152" s="196"/>
      <c r="ACC152" s="196"/>
      <c r="ACD152" s="196"/>
      <c r="ACE152" s="196"/>
      <c r="ACF152" s="196"/>
      <c r="ACG152" s="196"/>
      <c r="ACH152" s="196"/>
      <c r="ACI152" s="196"/>
      <c r="ACJ152" s="196"/>
      <c r="ACK152" s="196"/>
      <c r="ACL152" s="196"/>
      <c r="ACM152" s="196"/>
      <c r="ACN152" s="196"/>
      <c r="ACO152" s="196"/>
      <c r="ACP152" s="196"/>
      <c r="ACQ152" s="196"/>
      <c r="ACR152" s="196"/>
      <c r="ACS152" s="196"/>
      <c r="ACT152" s="196"/>
      <c r="ACU152" s="196"/>
      <c r="ACV152" s="196"/>
      <c r="ACW152" s="196"/>
      <c r="ACX152" s="196"/>
      <c r="ACY152" s="196"/>
      <c r="ACZ152" s="196"/>
      <c r="ADA152" s="196"/>
      <c r="ADB152" s="196"/>
      <c r="ADC152" s="196"/>
      <c r="ADD152" s="196"/>
      <c r="ADE152" s="196"/>
      <c r="ADF152" s="196"/>
      <c r="ADG152" s="196"/>
      <c r="ADH152" s="196"/>
      <c r="ADI152" s="196"/>
      <c r="ADJ152" s="196"/>
      <c r="ADK152" s="196"/>
      <c r="ADL152" s="196"/>
      <c r="ADM152" s="196"/>
      <c r="ADN152" s="196"/>
      <c r="ADO152" s="196"/>
      <c r="ADP152" s="196"/>
      <c r="ADQ152" s="196"/>
      <c r="ADR152" s="196"/>
      <c r="ADS152" s="196"/>
      <c r="ADT152" s="196"/>
      <c r="ADU152" s="196"/>
      <c r="ADV152" s="196"/>
      <c r="ADW152" s="196"/>
      <c r="ADX152" s="196"/>
      <c r="ADY152" s="196"/>
      <c r="ADZ152" s="196"/>
      <c r="AEA152" s="196"/>
      <c r="AEB152" s="196"/>
      <c r="AEC152" s="196"/>
      <c r="AED152" s="196"/>
      <c r="AEE152" s="196"/>
      <c r="AEF152" s="196"/>
      <c r="AEG152" s="196"/>
      <c r="AEH152" s="196"/>
      <c r="AEI152" s="196"/>
      <c r="AEJ152" s="196"/>
      <c r="AEK152" s="196"/>
      <c r="AEL152" s="196"/>
      <c r="AEM152" s="196"/>
      <c r="AEN152" s="196"/>
      <c r="AEO152" s="196"/>
      <c r="AEP152" s="196"/>
      <c r="AEQ152" s="196"/>
      <c r="AER152" s="196"/>
      <c r="AES152" s="196"/>
      <c r="AET152" s="196"/>
      <c r="AEU152" s="196"/>
      <c r="AEV152" s="196"/>
      <c r="AEW152" s="196"/>
      <c r="AEX152" s="196"/>
      <c r="AEY152" s="196"/>
      <c r="AEZ152" s="196"/>
      <c r="AFA152" s="196"/>
      <c r="AFB152" s="196"/>
      <c r="AFC152" s="196"/>
      <c r="AFD152" s="196"/>
      <c r="AFE152" s="196"/>
      <c r="AFF152" s="196"/>
      <c r="AFG152" s="196"/>
      <c r="AFH152" s="196"/>
      <c r="AFI152" s="196"/>
      <c r="AFJ152" s="196"/>
      <c r="AFK152" s="196"/>
      <c r="AFL152" s="196"/>
      <c r="AFM152" s="196"/>
      <c r="AFN152" s="196"/>
      <c r="AFO152" s="196"/>
      <c r="AFP152" s="196"/>
      <c r="AFQ152" s="196"/>
      <c r="AFR152" s="196"/>
      <c r="AFS152" s="196"/>
      <c r="AFT152" s="196"/>
      <c r="AFU152" s="196"/>
      <c r="AFV152" s="196"/>
      <c r="AFW152" s="196"/>
      <c r="AFX152" s="196"/>
      <c r="AFY152" s="196"/>
      <c r="AFZ152" s="196"/>
      <c r="AGA152" s="196"/>
      <c r="AGB152" s="196"/>
      <c r="AGC152" s="196"/>
      <c r="AGD152" s="196"/>
      <c r="AGE152" s="196"/>
      <c r="AGF152" s="196"/>
      <c r="AGG152" s="196"/>
      <c r="AGH152" s="196"/>
      <c r="AGI152" s="196"/>
      <c r="AGJ152" s="196"/>
      <c r="AGK152" s="196"/>
      <c r="AGL152" s="196"/>
      <c r="AGM152" s="196"/>
      <c r="AGN152" s="196"/>
      <c r="AGO152" s="196"/>
      <c r="AGP152" s="196"/>
      <c r="AGQ152" s="196"/>
      <c r="AGR152" s="196"/>
      <c r="AGS152" s="196"/>
      <c r="AGT152" s="196"/>
      <c r="AGU152" s="196"/>
      <c r="AGV152" s="196"/>
      <c r="AGW152" s="196"/>
      <c r="AGX152" s="196"/>
      <c r="AGY152" s="196"/>
      <c r="AGZ152" s="196"/>
      <c r="AHA152" s="196"/>
      <c r="AHB152" s="196"/>
      <c r="AHC152" s="196"/>
      <c r="AHD152" s="196"/>
      <c r="AHE152" s="196"/>
      <c r="AHF152" s="196"/>
      <c r="AHG152" s="196"/>
      <c r="AHH152" s="196"/>
      <c r="AHI152" s="196"/>
      <c r="AHJ152" s="196"/>
      <c r="AHK152" s="196"/>
      <c r="AHL152" s="196"/>
      <c r="AHM152" s="196"/>
      <c r="AHN152" s="196"/>
      <c r="AHO152" s="196"/>
      <c r="AHP152" s="196"/>
      <c r="AHQ152" s="196"/>
      <c r="AHR152" s="196"/>
      <c r="AHS152" s="196"/>
      <c r="AHT152" s="196"/>
      <c r="AHU152" s="196"/>
      <c r="AHV152" s="196"/>
      <c r="AHW152" s="196"/>
      <c r="AHX152" s="196"/>
      <c r="AHY152" s="196"/>
      <c r="AHZ152" s="196"/>
      <c r="AIA152" s="196"/>
      <c r="AIB152" s="196"/>
      <c r="AIC152" s="196"/>
      <c r="AID152" s="196"/>
      <c r="AIE152" s="196"/>
      <c r="AIF152" s="196"/>
      <c r="AIG152" s="196"/>
      <c r="AIH152" s="196"/>
      <c r="AII152" s="196"/>
      <c r="AIJ152" s="196"/>
      <c r="AIK152" s="196"/>
      <c r="AIL152" s="196"/>
      <c r="AIM152" s="196"/>
      <c r="AIN152" s="196"/>
      <c r="AIO152" s="196"/>
      <c r="AIP152" s="196"/>
      <c r="AIQ152" s="196"/>
      <c r="AIR152" s="196"/>
      <c r="AIS152" s="196"/>
      <c r="AIT152" s="196"/>
      <c r="AIU152" s="196"/>
      <c r="AIV152" s="196"/>
      <c r="AIW152" s="196"/>
      <c r="AIX152" s="196"/>
      <c r="AIY152" s="196"/>
      <c r="AIZ152" s="196"/>
      <c r="AJA152" s="196"/>
      <c r="AJB152" s="196"/>
      <c r="AJC152" s="196"/>
      <c r="AJD152" s="196"/>
      <c r="AJE152" s="196"/>
      <c r="AJF152" s="196"/>
      <c r="AJG152" s="196"/>
      <c r="AJH152" s="196"/>
      <c r="AJI152" s="196"/>
      <c r="AJJ152" s="196"/>
      <c r="AJK152" s="196"/>
      <c r="AJL152" s="196"/>
      <c r="AJM152" s="196"/>
      <c r="AJN152" s="196"/>
      <c r="AJO152" s="196"/>
      <c r="AJP152" s="196"/>
      <c r="AJQ152" s="196"/>
      <c r="AJR152" s="196"/>
      <c r="AJS152" s="196"/>
      <c r="AJT152" s="196"/>
      <c r="AJU152" s="196"/>
      <c r="AJV152" s="196"/>
      <c r="AJW152" s="196"/>
      <c r="AJX152" s="196"/>
      <c r="AJY152" s="196"/>
      <c r="AJZ152" s="196"/>
      <c r="AKA152" s="196"/>
      <c r="AKB152" s="196"/>
      <c r="AKC152" s="196"/>
      <c r="AKD152" s="196"/>
      <c r="AKE152" s="196"/>
      <c r="AKF152" s="196"/>
      <c r="AKG152" s="196"/>
      <c r="AKH152" s="196"/>
      <c r="AKI152" s="196"/>
      <c r="AKJ152" s="196"/>
      <c r="AKK152" s="196"/>
      <c r="AKL152" s="196"/>
      <c r="AKM152" s="196"/>
      <c r="AKN152" s="196"/>
      <c r="AKO152" s="196"/>
      <c r="AKP152" s="196"/>
      <c r="AKQ152" s="196"/>
      <c r="AKR152" s="196"/>
      <c r="AKS152" s="196"/>
      <c r="AKT152" s="196"/>
      <c r="AKU152" s="196"/>
      <c r="AKV152" s="196"/>
      <c r="AKW152" s="196"/>
      <c r="AKX152" s="196"/>
      <c r="AKY152" s="196"/>
      <c r="AKZ152" s="196"/>
      <c r="ALA152" s="196"/>
      <c r="ALB152" s="196"/>
      <c r="ALC152" s="196"/>
      <c r="ALD152" s="196"/>
      <c r="ALE152" s="196"/>
      <c r="ALF152" s="196"/>
      <c r="ALG152" s="196"/>
      <c r="ALH152" s="196"/>
      <c r="ALI152" s="196"/>
      <c r="ALJ152" s="196"/>
      <c r="ALK152" s="196"/>
      <c r="ALL152" s="196"/>
      <c r="ALM152" s="196"/>
      <c r="ALN152" s="196"/>
      <c r="ALO152" s="196"/>
      <c r="ALP152" s="196"/>
      <c r="ALQ152" s="196"/>
      <c r="ALR152" s="196"/>
      <c r="ALS152" s="196"/>
      <c r="ALT152" s="196"/>
      <c r="ALU152" s="196"/>
      <c r="ALV152" s="196"/>
      <c r="ALW152" s="196"/>
      <c r="ALX152" s="196"/>
      <c r="ALY152" s="196"/>
      <c r="ALZ152" s="196"/>
      <c r="AMA152" s="196"/>
      <c r="AMB152" s="196"/>
      <c r="AMC152" s="196"/>
      <c r="AMD152" s="196"/>
      <c r="AME152" s="196"/>
      <c r="AMF152" s="196"/>
      <c r="AMG152" s="196"/>
      <c r="AMH152" s="196"/>
      <c r="AMI152" s="196"/>
      <c r="AMJ152" s="196"/>
    </row>
    <row r="153" customFormat="false" ht="15.75" hidden="false" customHeight="true" outlineLevel="0" collapsed="false">
      <c r="A153" s="196"/>
      <c r="B153" s="210" t="s">
        <v>140</v>
      </c>
      <c r="C153" s="61" t="s">
        <v>36</v>
      </c>
      <c r="D153" s="61"/>
      <c r="E153" s="61"/>
      <c r="F153" s="211" t="n">
        <v>10</v>
      </c>
      <c r="G153" s="10"/>
      <c r="H153" s="257"/>
      <c r="I153" s="258"/>
      <c r="J153" s="258"/>
      <c r="K153" s="258"/>
      <c r="L153" s="259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  <c r="AS153" s="196"/>
      <c r="AT153" s="196"/>
      <c r="AU153" s="196"/>
      <c r="AV153" s="196"/>
      <c r="AW153" s="196"/>
      <c r="AX153" s="196"/>
      <c r="AY153" s="196"/>
      <c r="AZ153" s="196"/>
      <c r="BA153" s="196"/>
      <c r="BB153" s="196"/>
      <c r="BC153" s="196"/>
      <c r="BD153" s="196"/>
      <c r="BE153" s="196"/>
      <c r="BF153" s="196"/>
      <c r="BG153" s="196"/>
      <c r="BH153" s="196"/>
      <c r="BI153" s="196"/>
      <c r="BJ153" s="196"/>
      <c r="BK153" s="196"/>
      <c r="BL153" s="196"/>
      <c r="BM153" s="196"/>
      <c r="BN153" s="196"/>
      <c r="BO153" s="196"/>
      <c r="BP153" s="196"/>
      <c r="BQ153" s="196"/>
      <c r="BR153" s="196"/>
      <c r="BS153" s="196"/>
      <c r="BT153" s="196"/>
      <c r="BU153" s="196"/>
      <c r="BV153" s="196"/>
      <c r="BW153" s="196"/>
      <c r="BX153" s="196"/>
      <c r="BY153" s="196"/>
      <c r="BZ153" s="196"/>
      <c r="CA153" s="196"/>
      <c r="CB153" s="196"/>
      <c r="CC153" s="196"/>
      <c r="CD153" s="196"/>
      <c r="CE153" s="196"/>
      <c r="CF153" s="196"/>
      <c r="CG153" s="196"/>
      <c r="CH153" s="196"/>
      <c r="CI153" s="196"/>
      <c r="CJ153" s="196"/>
      <c r="CK153" s="196"/>
      <c r="CL153" s="196"/>
      <c r="CM153" s="196"/>
      <c r="CN153" s="196"/>
      <c r="CO153" s="196"/>
      <c r="CP153" s="196"/>
      <c r="CQ153" s="196"/>
      <c r="CR153" s="196"/>
      <c r="CS153" s="196"/>
      <c r="CT153" s="196"/>
      <c r="CU153" s="196"/>
      <c r="CV153" s="196"/>
      <c r="CW153" s="196"/>
      <c r="CX153" s="196"/>
      <c r="CY153" s="196"/>
      <c r="CZ153" s="196"/>
      <c r="DA153" s="196"/>
      <c r="DB153" s="196"/>
      <c r="DC153" s="196"/>
      <c r="DD153" s="196"/>
      <c r="DE153" s="196"/>
      <c r="DF153" s="196"/>
      <c r="DG153" s="196"/>
      <c r="DH153" s="196"/>
      <c r="DI153" s="196"/>
      <c r="DJ153" s="196"/>
      <c r="DK153" s="196"/>
      <c r="DL153" s="196"/>
      <c r="DM153" s="196"/>
      <c r="DN153" s="196"/>
      <c r="DO153" s="196"/>
      <c r="DP153" s="196"/>
      <c r="DQ153" s="196"/>
      <c r="DR153" s="196"/>
      <c r="DS153" s="196"/>
      <c r="DT153" s="196"/>
      <c r="DU153" s="196"/>
      <c r="DV153" s="196"/>
      <c r="DW153" s="196"/>
      <c r="DX153" s="196"/>
      <c r="DY153" s="196"/>
      <c r="DZ153" s="196"/>
      <c r="EA153" s="196"/>
      <c r="EB153" s="196"/>
      <c r="EC153" s="196"/>
      <c r="ED153" s="196"/>
      <c r="EE153" s="196"/>
      <c r="EF153" s="196"/>
      <c r="EG153" s="196"/>
      <c r="EH153" s="196"/>
      <c r="EI153" s="196"/>
      <c r="EJ153" s="196"/>
      <c r="EK153" s="196"/>
      <c r="EL153" s="196"/>
      <c r="EM153" s="196"/>
      <c r="EN153" s="196"/>
      <c r="EO153" s="196"/>
      <c r="EP153" s="196"/>
      <c r="EQ153" s="196"/>
      <c r="ER153" s="196"/>
      <c r="ES153" s="196"/>
      <c r="ET153" s="196"/>
      <c r="EU153" s="196"/>
      <c r="EV153" s="196"/>
      <c r="EW153" s="196"/>
      <c r="EX153" s="196"/>
      <c r="EY153" s="196"/>
      <c r="EZ153" s="196"/>
      <c r="FA153" s="196"/>
      <c r="FB153" s="196"/>
      <c r="FC153" s="196"/>
      <c r="FD153" s="196"/>
      <c r="FE153" s="196"/>
      <c r="FF153" s="196"/>
      <c r="FG153" s="196"/>
      <c r="FH153" s="196"/>
      <c r="FI153" s="196"/>
      <c r="FJ153" s="196"/>
      <c r="FK153" s="196"/>
      <c r="FL153" s="196"/>
      <c r="FM153" s="196"/>
      <c r="FN153" s="196"/>
      <c r="FO153" s="196"/>
      <c r="FP153" s="196"/>
      <c r="FQ153" s="196"/>
      <c r="FR153" s="196"/>
      <c r="FS153" s="196"/>
      <c r="FT153" s="196"/>
      <c r="FU153" s="196"/>
      <c r="FV153" s="196"/>
      <c r="FW153" s="196"/>
      <c r="FX153" s="196"/>
      <c r="FY153" s="196"/>
      <c r="FZ153" s="196"/>
      <c r="GA153" s="196"/>
      <c r="GB153" s="196"/>
      <c r="GC153" s="196"/>
      <c r="GD153" s="196"/>
      <c r="GE153" s="196"/>
      <c r="GF153" s="196"/>
      <c r="GG153" s="196"/>
      <c r="GH153" s="196"/>
      <c r="GI153" s="196"/>
      <c r="GJ153" s="196"/>
      <c r="GK153" s="196"/>
      <c r="GL153" s="196"/>
      <c r="GM153" s="196"/>
      <c r="GN153" s="196"/>
      <c r="GO153" s="196"/>
      <c r="GP153" s="196"/>
      <c r="GQ153" s="196"/>
      <c r="GR153" s="196"/>
      <c r="GS153" s="196"/>
      <c r="GT153" s="196"/>
      <c r="GU153" s="196"/>
      <c r="GV153" s="196"/>
      <c r="GW153" s="196"/>
      <c r="GX153" s="196"/>
      <c r="GY153" s="196"/>
      <c r="GZ153" s="196"/>
      <c r="HA153" s="196"/>
      <c r="HB153" s="196"/>
      <c r="HC153" s="196"/>
      <c r="HD153" s="196"/>
      <c r="HE153" s="196"/>
      <c r="HF153" s="196"/>
      <c r="HG153" s="196"/>
      <c r="HH153" s="196"/>
      <c r="HI153" s="196"/>
      <c r="HJ153" s="196"/>
      <c r="HK153" s="196"/>
      <c r="HL153" s="196"/>
      <c r="HM153" s="196"/>
      <c r="HN153" s="196"/>
      <c r="HO153" s="196"/>
      <c r="HP153" s="196"/>
      <c r="HQ153" s="196"/>
      <c r="HR153" s="196"/>
      <c r="HS153" s="196"/>
      <c r="HT153" s="196"/>
      <c r="HU153" s="196"/>
      <c r="HV153" s="196"/>
      <c r="HW153" s="196"/>
      <c r="HX153" s="196"/>
      <c r="HY153" s="196"/>
      <c r="HZ153" s="196"/>
      <c r="IA153" s="196"/>
      <c r="IB153" s="196"/>
      <c r="IC153" s="196"/>
      <c r="ID153" s="196"/>
      <c r="IE153" s="196"/>
      <c r="IF153" s="196"/>
      <c r="IG153" s="196"/>
      <c r="IH153" s="196"/>
      <c r="II153" s="196"/>
      <c r="IJ153" s="196"/>
      <c r="IK153" s="196"/>
      <c r="IL153" s="196"/>
      <c r="IM153" s="196"/>
      <c r="IN153" s="196"/>
      <c r="IO153" s="196"/>
      <c r="IP153" s="196"/>
      <c r="IQ153" s="196"/>
      <c r="IR153" s="196"/>
      <c r="IS153" s="196"/>
      <c r="IT153" s="196"/>
      <c r="IU153" s="196"/>
      <c r="IV153" s="196"/>
      <c r="IW153" s="196"/>
      <c r="IX153" s="196"/>
      <c r="IY153" s="196"/>
      <c r="IZ153" s="196"/>
      <c r="JA153" s="196"/>
      <c r="JB153" s="196"/>
      <c r="JC153" s="196"/>
      <c r="JD153" s="196"/>
      <c r="JE153" s="196"/>
      <c r="JF153" s="196"/>
      <c r="JG153" s="196"/>
      <c r="JH153" s="196"/>
      <c r="JI153" s="196"/>
      <c r="JJ153" s="196"/>
      <c r="JK153" s="196"/>
      <c r="JL153" s="196"/>
      <c r="JM153" s="196"/>
      <c r="JN153" s="196"/>
      <c r="JO153" s="196"/>
      <c r="JP153" s="196"/>
      <c r="JQ153" s="196"/>
      <c r="JR153" s="196"/>
      <c r="JS153" s="196"/>
      <c r="JT153" s="196"/>
      <c r="JU153" s="196"/>
      <c r="JV153" s="196"/>
      <c r="JW153" s="196"/>
      <c r="JX153" s="196"/>
      <c r="JY153" s="196"/>
      <c r="JZ153" s="196"/>
      <c r="KA153" s="196"/>
      <c r="KB153" s="196"/>
      <c r="KC153" s="196"/>
      <c r="KD153" s="196"/>
      <c r="KE153" s="196"/>
      <c r="KF153" s="196"/>
      <c r="KG153" s="196"/>
      <c r="KH153" s="196"/>
      <c r="KI153" s="196"/>
      <c r="KJ153" s="196"/>
      <c r="KK153" s="196"/>
      <c r="KL153" s="196"/>
      <c r="KM153" s="196"/>
      <c r="KN153" s="196"/>
      <c r="KO153" s="196"/>
      <c r="KP153" s="196"/>
      <c r="KQ153" s="196"/>
      <c r="KR153" s="196"/>
      <c r="KS153" s="196"/>
      <c r="KT153" s="196"/>
      <c r="KU153" s="196"/>
      <c r="KV153" s="196"/>
      <c r="KW153" s="196"/>
      <c r="KX153" s="196"/>
      <c r="KY153" s="196"/>
      <c r="KZ153" s="196"/>
      <c r="LA153" s="196"/>
      <c r="LB153" s="196"/>
      <c r="LC153" s="196"/>
      <c r="LD153" s="196"/>
      <c r="LE153" s="196"/>
      <c r="LF153" s="196"/>
      <c r="LG153" s="196"/>
      <c r="LH153" s="196"/>
      <c r="LI153" s="196"/>
      <c r="LJ153" s="196"/>
      <c r="LK153" s="196"/>
      <c r="LL153" s="196"/>
      <c r="LM153" s="196"/>
      <c r="LN153" s="196"/>
      <c r="LO153" s="196"/>
      <c r="LP153" s="196"/>
      <c r="LQ153" s="196"/>
      <c r="LR153" s="196"/>
      <c r="LS153" s="196"/>
      <c r="LT153" s="196"/>
      <c r="LU153" s="196"/>
      <c r="LV153" s="196"/>
      <c r="LW153" s="196"/>
      <c r="LX153" s="196"/>
      <c r="LY153" s="196"/>
      <c r="LZ153" s="196"/>
      <c r="MA153" s="196"/>
      <c r="MB153" s="196"/>
      <c r="MC153" s="196"/>
      <c r="MD153" s="196"/>
      <c r="ME153" s="196"/>
      <c r="MF153" s="196"/>
      <c r="MG153" s="196"/>
      <c r="MH153" s="196"/>
      <c r="MI153" s="196"/>
      <c r="MJ153" s="196"/>
      <c r="MK153" s="196"/>
      <c r="ML153" s="196"/>
      <c r="MM153" s="196"/>
      <c r="MN153" s="196"/>
      <c r="MO153" s="196"/>
      <c r="MP153" s="196"/>
      <c r="MQ153" s="196"/>
      <c r="MR153" s="196"/>
      <c r="MS153" s="196"/>
      <c r="MT153" s="196"/>
      <c r="MU153" s="196"/>
      <c r="MV153" s="196"/>
      <c r="MW153" s="196"/>
      <c r="MX153" s="196"/>
      <c r="MY153" s="196"/>
      <c r="MZ153" s="196"/>
      <c r="NA153" s="196"/>
      <c r="NB153" s="196"/>
      <c r="NC153" s="196"/>
      <c r="ND153" s="196"/>
      <c r="NE153" s="196"/>
      <c r="NF153" s="196"/>
      <c r="NG153" s="196"/>
      <c r="NH153" s="196"/>
      <c r="NI153" s="196"/>
      <c r="NJ153" s="196"/>
      <c r="NK153" s="196"/>
      <c r="NL153" s="196"/>
      <c r="NM153" s="196"/>
      <c r="NN153" s="196"/>
      <c r="NO153" s="196"/>
      <c r="NP153" s="196"/>
      <c r="NQ153" s="196"/>
      <c r="NR153" s="196"/>
      <c r="NS153" s="196"/>
      <c r="NT153" s="196"/>
      <c r="NU153" s="196"/>
      <c r="NV153" s="196"/>
      <c r="NW153" s="196"/>
      <c r="NX153" s="196"/>
      <c r="NY153" s="196"/>
      <c r="NZ153" s="196"/>
      <c r="OA153" s="196"/>
      <c r="OB153" s="196"/>
      <c r="OC153" s="196"/>
      <c r="OD153" s="196"/>
      <c r="OE153" s="196"/>
      <c r="OF153" s="196"/>
      <c r="OG153" s="196"/>
      <c r="OH153" s="196"/>
      <c r="OI153" s="196"/>
      <c r="OJ153" s="196"/>
      <c r="OK153" s="196"/>
      <c r="OL153" s="196"/>
      <c r="OM153" s="196"/>
      <c r="ON153" s="196"/>
      <c r="OO153" s="196"/>
      <c r="OP153" s="196"/>
      <c r="OQ153" s="196"/>
      <c r="OR153" s="196"/>
      <c r="OS153" s="196"/>
      <c r="OT153" s="196"/>
      <c r="OU153" s="196"/>
      <c r="OV153" s="196"/>
      <c r="OW153" s="196"/>
      <c r="OX153" s="196"/>
      <c r="OY153" s="196"/>
      <c r="OZ153" s="196"/>
      <c r="PA153" s="196"/>
      <c r="PB153" s="196"/>
      <c r="PC153" s="196"/>
      <c r="PD153" s="196"/>
      <c r="PE153" s="196"/>
      <c r="PF153" s="196"/>
      <c r="PG153" s="196"/>
      <c r="PH153" s="196"/>
      <c r="PI153" s="196"/>
      <c r="PJ153" s="196"/>
      <c r="PK153" s="196"/>
      <c r="PL153" s="196"/>
      <c r="PM153" s="196"/>
      <c r="PN153" s="196"/>
      <c r="PO153" s="196"/>
      <c r="PP153" s="196"/>
      <c r="PQ153" s="196"/>
      <c r="PR153" s="196"/>
      <c r="PS153" s="196"/>
      <c r="PT153" s="196"/>
      <c r="PU153" s="196"/>
      <c r="PV153" s="196"/>
      <c r="PW153" s="196"/>
      <c r="PX153" s="196"/>
      <c r="PY153" s="196"/>
      <c r="PZ153" s="196"/>
      <c r="QA153" s="196"/>
      <c r="QB153" s="196"/>
      <c r="QC153" s="196"/>
      <c r="QD153" s="196"/>
      <c r="QE153" s="196"/>
      <c r="QF153" s="196"/>
      <c r="QG153" s="196"/>
      <c r="QH153" s="196"/>
      <c r="QI153" s="196"/>
      <c r="QJ153" s="196"/>
      <c r="QK153" s="196"/>
      <c r="QL153" s="196"/>
      <c r="QM153" s="196"/>
      <c r="QN153" s="196"/>
      <c r="QO153" s="196"/>
      <c r="QP153" s="196"/>
      <c r="QQ153" s="196"/>
      <c r="QR153" s="196"/>
      <c r="QS153" s="196"/>
      <c r="QT153" s="196"/>
      <c r="QU153" s="196"/>
      <c r="QV153" s="196"/>
      <c r="QW153" s="196"/>
      <c r="QX153" s="196"/>
      <c r="QY153" s="196"/>
      <c r="QZ153" s="196"/>
      <c r="RA153" s="196"/>
      <c r="RB153" s="196"/>
      <c r="RC153" s="196"/>
      <c r="RD153" s="196"/>
      <c r="RE153" s="196"/>
      <c r="RF153" s="196"/>
      <c r="RG153" s="196"/>
      <c r="RH153" s="196"/>
      <c r="RI153" s="196"/>
      <c r="RJ153" s="196"/>
      <c r="RK153" s="196"/>
      <c r="RL153" s="196"/>
      <c r="RM153" s="196"/>
      <c r="RN153" s="196"/>
      <c r="RO153" s="196"/>
      <c r="RP153" s="196"/>
      <c r="RQ153" s="196"/>
      <c r="RR153" s="196"/>
      <c r="RS153" s="196"/>
      <c r="RT153" s="196"/>
      <c r="RU153" s="196"/>
      <c r="RV153" s="196"/>
      <c r="RW153" s="196"/>
      <c r="RX153" s="196"/>
      <c r="RY153" s="196"/>
      <c r="RZ153" s="196"/>
      <c r="SA153" s="196"/>
      <c r="SB153" s="196"/>
      <c r="SC153" s="196"/>
      <c r="SD153" s="196"/>
      <c r="SE153" s="196"/>
      <c r="SF153" s="196"/>
      <c r="SG153" s="196"/>
      <c r="SH153" s="196"/>
      <c r="SI153" s="196"/>
      <c r="SJ153" s="196"/>
      <c r="SK153" s="196"/>
      <c r="SL153" s="196"/>
      <c r="SM153" s="196"/>
      <c r="SN153" s="196"/>
      <c r="SO153" s="196"/>
      <c r="SP153" s="196"/>
      <c r="SQ153" s="196"/>
      <c r="SR153" s="196"/>
      <c r="SS153" s="196"/>
      <c r="ST153" s="196"/>
      <c r="SU153" s="196"/>
      <c r="SV153" s="196"/>
      <c r="SW153" s="196"/>
      <c r="SX153" s="196"/>
      <c r="SY153" s="196"/>
      <c r="SZ153" s="196"/>
      <c r="TA153" s="196"/>
      <c r="TB153" s="196"/>
      <c r="TC153" s="196"/>
      <c r="TD153" s="196"/>
      <c r="TE153" s="196"/>
      <c r="TF153" s="196"/>
      <c r="TG153" s="196"/>
      <c r="TH153" s="196"/>
      <c r="TI153" s="196"/>
      <c r="TJ153" s="196"/>
      <c r="TK153" s="196"/>
      <c r="TL153" s="196"/>
      <c r="TM153" s="196"/>
      <c r="TN153" s="196"/>
      <c r="TO153" s="196"/>
      <c r="TP153" s="196"/>
      <c r="TQ153" s="196"/>
      <c r="TR153" s="196"/>
      <c r="TS153" s="196"/>
      <c r="TT153" s="196"/>
      <c r="TU153" s="196"/>
      <c r="TV153" s="196"/>
      <c r="TW153" s="196"/>
      <c r="TX153" s="196"/>
      <c r="TY153" s="196"/>
      <c r="TZ153" s="196"/>
      <c r="UA153" s="196"/>
      <c r="UB153" s="196"/>
      <c r="UC153" s="196"/>
      <c r="UD153" s="196"/>
      <c r="UE153" s="196"/>
      <c r="UF153" s="196"/>
      <c r="UG153" s="196"/>
      <c r="UH153" s="196"/>
      <c r="UI153" s="196"/>
      <c r="UJ153" s="196"/>
      <c r="UK153" s="196"/>
      <c r="UL153" s="196"/>
      <c r="UM153" s="196"/>
      <c r="UN153" s="196"/>
      <c r="UO153" s="196"/>
      <c r="UP153" s="196"/>
      <c r="UQ153" s="196"/>
      <c r="UR153" s="196"/>
      <c r="US153" s="196"/>
      <c r="UT153" s="196"/>
      <c r="UU153" s="196"/>
      <c r="UV153" s="196"/>
      <c r="UW153" s="196"/>
      <c r="UX153" s="196"/>
      <c r="UY153" s="196"/>
      <c r="UZ153" s="196"/>
      <c r="VA153" s="196"/>
      <c r="VB153" s="196"/>
      <c r="VC153" s="196"/>
      <c r="VD153" s="196"/>
      <c r="VE153" s="196"/>
      <c r="VF153" s="196"/>
      <c r="VG153" s="196"/>
      <c r="VH153" s="196"/>
      <c r="VI153" s="196"/>
      <c r="VJ153" s="196"/>
      <c r="VK153" s="196"/>
      <c r="VL153" s="196"/>
      <c r="VM153" s="196"/>
      <c r="VN153" s="196"/>
      <c r="VO153" s="196"/>
      <c r="VP153" s="196"/>
      <c r="VQ153" s="196"/>
      <c r="VR153" s="196"/>
      <c r="VS153" s="196"/>
      <c r="VT153" s="196"/>
      <c r="VU153" s="196"/>
      <c r="VV153" s="196"/>
      <c r="VW153" s="196"/>
      <c r="VX153" s="196"/>
      <c r="VY153" s="196"/>
      <c r="VZ153" s="196"/>
      <c r="WA153" s="196"/>
      <c r="WB153" s="196"/>
      <c r="WC153" s="196"/>
      <c r="WD153" s="196"/>
      <c r="WE153" s="196"/>
      <c r="WF153" s="196"/>
      <c r="WG153" s="196"/>
      <c r="WH153" s="196"/>
      <c r="WI153" s="196"/>
      <c r="WJ153" s="196"/>
      <c r="WK153" s="196"/>
      <c r="WL153" s="196"/>
      <c r="WM153" s="196"/>
      <c r="WN153" s="196"/>
      <c r="WO153" s="196"/>
      <c r="WP153" s="196"/>
      <c r="WQ153" s="196"/>
      <c r="WR153" s="196"/>
      <c r="WS153" s="196"/>
      <c r="WT153" s="196"/>
      <c r="WU153" s="196"/>
      <c r="WV153" s="196"/>
      <c r="WW153" s="196"/>
      <c r="WX153" s="196"/>
      <c r="WY153" s="196"/>
      <c r="WZ153" s="196"/>
      <c r="XA153" s="196"/>
      <c r="XB153" s="196"/>
      <c r="XC153" s="196"/>
      <c r="XD153" s="196"/>
      <c r="XE153" s="196"/>
      <c r="XF153" s="196"/>
      <c r="XG153" s="196"/>
      <c r="XH153" s="196"/>
      <c r="XI153" s="196"/>
      <c r="XJ153" s="196"/>
      <c r="XK153" s="196"/>
      <c r="XL153" s="196"/>
      <c r="XM153" s="196"/>
      <c r="XN153" s="196"/>
      <c r="XO153" s="196"/>
      <c r="XP153" s="196"/>
      <c r="XQ153" s="196"/>
      <c r="XR153" s="196"/>
      <c r="XS153" s="196"/>
      <c r="XT153" s="196"/>
      <c r="XU153" s="196"/>
      <c r="XV153" s="196"/>
      <c r="XW153" s="196"/>
      <c r="XX153" s="196"/>
      <c r="XY153" s="196"/>
      <c r="XZ153" s="196"/>
      <c r="YA153" s="196"/>
      <c r="YB153" s="196"/>
      <c r="YC153" s="196"/>
      <c r="YD153" s="196"/>
      <c r="YE153" s="196"/>
      <c r="YF153" s="196"/>
      <c r="YG153" s="196"/>
      <c r="YH153" s="196"/>
      <c r="YI153" s="196"/>
      <c r="YJ153" s="196"/>
      <c r="YK153" s="196"/>
      <c r="YL153" s="196"/>
      <c r="YM153" s="196"/>
      <c r="YN153" s="196"/>
      <c r="YO153" s="196"/>
      <c r="YP153" s="196"/>
      <c r="YQ153" s="196"/>
      <c r="YR153" s="196"/>
      <c r="YS153" s="196"/>
      <c r="YT153" s="196"/>
      <c r="YU153" s="196"/>
      <c r="YV153" s="196"/>
      <c r="YW153" s="196"/>
      <c r="YX153" s="196"/>
      <c r="YY153" s="196"/>
      <c r="YZ153" s="196"/>
      <c r="ZA153" s="196"/>
      <c r="ZB153" s="196"/>
      <c r="ZC153" s="196"/>
      <c r="ZD153" s="196"/>
      <c r="ZE153" s="196"/>
      <c r="ZF153" s="196"/>
      <c r="ZG153" s="196"/>
      <c r="ZH153" s="196"/>
      <c r="ZI153" s="196"/>
      <c r="ZJ153" s="196"/>
      <c r="ZK153" s="196"/>
      <c r="ZL153" s="196"/>
      <c r="ZM153" s="196"/>
      <c r="ZN153" s="196"/>
      <c r="ZO153" s="196"/>
      <c r="ZP153" s="196"/>
      <c r="ZQ153" s="196"/>
      <c r="ZR153" s="196"/>
      <c r="ZS153" s="196"/>
      <c r="ZT153" s="196"/>
      <c r="ZU153" s="196"/>
      <c r="ZV153" s="196"/>
      <c r="ZW153" s="196"/>
      <c r="ZX153" s="196"/>
      <c r="ZY153" s="196"/>
      <c r="ZZ153" s="196"/>
      <c r="AAA153" s="196"/>
      <c r="AAB153" s="196"/>
      <c r="AAC153" s="196"/>
      <c r="AAD153" s="196"/>
      <c r="AAE153" s="196"/>
      <c r="AAF153" s="196"/>
      <c r="AAG153" s="196"/>
      <c r="AAH153" s="196"/>
      <c r="AAI153" s="196"/>
      <c r="AAJ153" s="196"/>
      <c r="AAK153" s="196"/>
      <c r="AAL153" s="196"/>
      <c r="AAM153" s="196"/>
      <c r="AAN153" s="196"/>
      <c r="AAO153" s="196"/>
      <c r="AAP153" s="196"/>
      <c r="AAQ153" s="196"/>
      <c r="AAR153" s="196"/>
      <c r="AAS153" s="196"/>
      <c r="AAT153" s="196"/>
      <c r="AAU153" s="196"/>
      <c r="AAV153" s="196"/>
      <c r="AAW153" s="196"/>
      <c r="AAX153" s="196"/>
      <c r="AAY153" s="196"/>
      <c r="AAZ153" s="196"/>
      <c r="ABA153" s="196"/>
      <c r="ABB153" s="196"/>
      <c r="ABC153" s="196"/>
      <c r="ABD153" s="196"/>
      <c r="ABE153" s="196"/>
      <c r="ABF153" s="196"/>
      <c r="ABG153" s="196"/>
      <c r="ABH153" s="196"/>
      <c r="ABI153" s="196"/>
      <c r="ABJ153" s="196"/>
      <c r="ABK153" s="196"/>
      <c r="ABL153" s="196"/>
      <c r="ABM153" s="196"/>
      <c r="ABN153" s="196"/>
      <c r="ABO153" s="196"/>
      <c r="ABP153" s="196"/>
      <c r="ABQ153" s="196"/>
      <c r="ABR153" s="196"/>
      <c r="ABS153" s="196"/>
      <c r="ABT153" s="196"/>
      <c r="ABU153" s="196"/>
      <c r="ABV153" s="196"/>
      <c r="ABW153" s="196"/>
      <c r="ABX153" s="196"/>
      <c r="ABY153" s="196"/>
      <c r="ABZ153" s="196"/>
      <c r="ACA153" s="196"/>
      <c r="ACB153" s="196"/>
      <c r="ACC153" s="196"/>
      <c r="ACD153" s="196"/>
      <c r="ACE153" s="196"/>
      <c r="ACF153" s="196"/>
      <c r="ACG153" s="196"/>
      <c r="ACH153" s="196"/>
      <c r="ACI153" s="196"/>
      <c r="ACJ153" s="196"/>
      <c r="ACK153" s="196"/>
      <c r="ACL153" s="196"/>
      <c r="ACM153" s="196"/>
      <c r="ACN153" s="196"/>
      <c r="ACO153" s="196"/>
      <c r="ACP153" s="196"/>
      <c r="ACQ153" s="196"/>
      <c r="ACR153" s="196"/>
      <c r="ACS153" s="196"/>
      <c r="ACT153" s="196"/>
      <c r="ACU153" s="196"/>
      <c r="ACV153" s="196"/>
      <c r="ACW153" s="196"/>
      <c r="ACX153" s="196"/>
      <c r="ACY153" s="196"/>
      <c r="ACZ153" s="196"/>
      <c r="ADA153" s="196"/>
      <c r="ADB153" s="196"/>
      <c r="ADC153" s="196"/>
      <c r="ADD153" s="196"/>
      <c r="ADE153" s="196"/>
      <c r="ADF153" s="196"/>
      <c r="ADG153" s="196"/>
      <c r="ADH153" s="196"/>
      <c r="ADI153" s="196"/>
      <c r="ADJ153" s="196"/>
      <c r="ADK153" s="196"/>
      <c r="ADL153" s="196"/>
      <c r="ADM153" s="196"/>
      <c r="ADN153" s="196"/>
      <c r="ADO153" s="196"/>
      <c r="ADP153" s="196"/>
      <c r="ADQ153" s="196"/>
      <c r="ADR153" s="196"/>
      <c r="ADS153" s="196"/>
      <c r="ADT153" s="196"/>
      <c r="ADU153" s="196"/>
      <c r="ADV153" s="196"/>
      <c r="ADW153" s="196"/>
      <c r="ADX153" s="196"/>
      <c r="ADY153" s="196"/>
      <c r="ADZ153" s="196"/>
      <c r="AEA153" s="196"/>
      <c r="AEB153" s="196"/>
      <c r="AEC153" s="196"/>
      <c r="AED153" s="196"/>
      <c r="AEE153" s="196"/>
      <c r="AEF153" s="196"/>
      <c r="AEG153" s="196"/>
      <c r="AEH153" s="196"/>
      <c r="AEI153" s="196"/>
      <c r="AEJ153" s="196"/>
      <c r="AEK153" s="196"/>
      <c r="AEL153" s="196"/>
      <c r="AEM153" s="196"/>
      <c r="AEN153" s="196"/>
      <c r="AEO153" s="196"/>
      <c r="AEP153" s="196"/>
      <c r="AEQ153" s="196"/>
      <c r="AER153" s="196"/>
      <c r="AES153" s="196"/>
      <c r="AET153" s="196"/>
      <c r="AEU153" s="196"/>
      <c r="AEV153" s="196"/>
      <c r="AEW153" s="196"/>
      <c r="AEX153" s="196"/>
      <c r="AEY153" s="196"/>
      <c r="AEZ153" s="196"/>
      <c r="AFA153" s="196"/>
      <c r="AFB153" s="196"/>
      <c r="AFC153" s="196"/>
      <c r="AFD153" s="196"/>
      <c r="AFE153" s="196"/>
      <c r="AFF153" s="196"/>
      <c r="AFG153" s="196"/>
      <c r="AFH153" s="196"/>
      <c r="AFI153" s="196"/>
      <c r="AFJ153" s="196"/>
      <c r="AFK153" s="196"/>
      <c r="AFL153" s="196"/>
      <c r="AFM153" s="196"/>
      <c r="AFN153" s="196"/>
      <c r="AFO153" s="196"/>
      <c r="AFP153" s="196"/>
      <c r="AFQ153" s="196"/>
      <c r="AFR153" s="196"/>
      <c r="AFS153" s="196"/>
      <c r="AFT153" s="196"/>
      <c r="AFU153" s="196"/>
      <c r="AFV153" s="196"/>
      <c r="AFW153" s="196"/>
      <c r="AFX153" s="196"/>
      <c r="AFY153" s="196"/>
      <c r="AFZ153" s="196"/>
      <c r="AGA153" s="196"/>
      <c r="AGB153" s="196"/>
      <c r="AGC153" s="196"/>
      <c r="AGD153" s="196"/>
      <c r="AGE153" s="196"/>
      <c r="AGF153" s="196"/>
      <c r="AGG153" s="196"/>
      <c r="AGH153" s="196"/>
      <c r="AGI153" s="196"/>
      <c r="AGJ153" s="196"/>
      <c r="AGK153" s="196"/>
      <c r="AGL153" s="196"/>
      <c r="AGM153" s="196"/>
      <c r="AGN153" s="196"/>
      <c r="AGO153" s="196"/>
      <c r="AGP153" s="196"/>
      <c r="AGQ153" s="196"/>
      <c r="AGR153" s="196"/>
      <c r="AGS153" s="196"/>
      <c r="AGT153" s="196"/>
      <c r="AGU153" s="196"/>
      <c r="AGV153" s="196"/>
      <c r="AGW153" s="196"/>
      <c r="AGX153" s="196"/>
      <c r="AGY153" s="196"/>
      <c r="AGZ153" s="196"/>
      <c r="AHA153" s="196"/>
      <c r="AHB153" s="196"/>
      <c r="AHC153" s="196"/>
      <c r="AHD153" s="196"/>
      <c r="AHE153" s="196"/>
      <c r="AHF153" s="196"/>
      <c r="AHG153" s="196"/>
      <c r="AHH153" s="196"/>
      <c r="AHI153" s="196"/>
      <c r="AHJ153" s="196"/>
      <c r="AHK153" s="196"/>
      <c r="AHL153" s="196"/>
      <c r="AHM153" s="196"/>
      <c r="AHN153" s="196"/>
      <c r="AHO153" s="196"/>
      <c r="AHP153" s="196"/>
      <c r="AHQ153" s="196"/>
      <c r="AHR153" s="196"/>
      <c r="AHS153" s="196"/>
      <c r="AHT153" s="196"/>
      <c r="AHU153" s="196"/>
      <c r="AHV153" s="196"/>
      <c r="AHW153" s="196"/>
      <c r="AHX153" s="196"/>
      <c r="AHY153" s="196"/>
      <c r="AHZ153" s="196"/>
      <c r="AIA153" s="196"/>
      <c r="AIB153" s="196"/>
      <c r="AIC153" s="196"/>
      <c r="AID153" s="196"/>
      <c r="AIE153" s="196"/>
      <c r="AIF153" s="196"/>
      <c r="AIG153" s="196"/>
      <c r="AIH153" s="196"/>
      <c r="AII153" s="196"/>
      <c r="AIJ153" s="196"/>
      <c r="AIK153" s="196"/>
      <c r="AIL153" s="196"/>
      <c r="AIM153" s="196"/>
      <c r="AIN153" s="196"/>
      <c r="AIO153" s="196"/>
      <c r="AIP153" s="196"/>
      <c r="AIQ153" s="196"/>
      <c r="AIR153" s="196"/>
      <c r="AIS153" s="196"/>
      <c r="AIT153" s="196"/>
      <c r="AIU153" s="196"/>
      <c r="AIV153" s="196"/>
      <c r="AIW153" s="196"/>
      <c r="AIX153" s="196"/>
      <c r="AIY153" s="196"/>
      <c r="AIZ153" s="196"/>
      <c r="AJA153" s="196"/>
      <c r="AJB153" s="196"/>
      <c r="AJC153" s="196"/>
      <c r="AJD153" s="196"/>
      <c r="AJE153" s="196"/>
      <c r="AJF153" s="196"/>
      <c r="AJG153" s="196"/>
      <c r="AJH153" s="196"/>
      <c r="AJI153" s="196"/>
      <c r="AJJ153" s="196"/>
      <c r="AJK153" s="196"/>
      <c r="AJL153" s="196"/>
      <c r="AJM153" s="196"/>
      <c r="AJN153" s="196"/>
      <c r="AJO153" s="196"/>
      <c r="AJP153" s="196"/>
      <c r="AJQ153" s="196"/>
      <c r="AJR153" s="196"/>
      <c r="AJS153" s="196"/>
      <c r="AJT153" s="196"/>
      <c r="AJU153" s="196"/>
      <c r="AJV153" s="196"/>
      <c r="AJW153" s="196"/>
      <c r="AJX153" s="196"/>
      <c r="AJY153" s="196"/>
      <c r="AJZ153" s="196"/>
      <c r="AKA153" s="196"/>
      <c r="AKB153" s="196"/>
      <c r="AKC153" s="196"/>
      <c r="AKD153" s="196"/>
      <c r="AKE153" s="196"/>
      <c r="AKF153" s="196"/>
      <c r="AKG153" s="196"/>
      <c r="AKH153" s="196"/>
      <c r="AKI153" s="196"/>
      <c r="AKJ153" s="196"/>
      <c r="AKK153" s="196"/>
      <c r="AKL153" s="196"/>
      <c r="AKM153" s="196"/>
      <c r="AKN153" s="196"/>
      <c r="AKO153" s="196"/>
      <c r="AKP153" s="196"/>
      <c r="AKQ153" s="196"/>
      <c r="AKR153" s="196"/>
      <c r="AKS153" s="196"/>
      <c r="AKT153" s="196"/>
      <c r="AKU153" s="196"/>
      <c r="AKV153" s="196"/>
      <c r="AKW153" s="196"/>
      <c r="AKX153" s="196"/>
      <c r="AKY153" s="196"/>
      <c r="AKZ153" s="196"/>
      <c r="ALA153" s="196"/>
      <c r="ALB153" s="196"/>
      <c r="ALC153" s="196"/>
      <c r="ALD153" s="196"/>
      <c r="ALE153" s="196"/>
      <c r="ALF153" s="196"/>
      <c r="ALG153" s="196"/>
      <c r="ALH153" s="196"/>
      <c r="ALI153" s="196"/>
      <c r="ALJ153" s="196"/>
      <c r="ALK153" s="196"/>
      <c r="ALL153" s="196"/>
      <c r="ALM153" s="196"/>
      <c r="ALN153" s="196"/>
      <c r="ALO153" s="196"/>
      <c r="ALP153" s="196"/>
      <c r="ALQ153" s="196"/>
      <c r="ALR153" s="196"/>
      <c r="ALS153" s="196"/>
      <c r="ALT153" s="196"/>
      <c r="ALU153" s="196"/>
      <c r="ALV153" s="196"/>
      <c r="ALW153" s="196"/>
      <c r="ALX153" s="196"/>
      <c r="ALY153" s="196"/>
      <c r="ALZ153" s="196"/>
      <c r="AMA153" s="196"/>
      <c r="AMB153" s="196"/>
      <c r="AMC153" s="196"/>
      <c r="AMD153" s="196"/>
      <c r="AME153" s="196"/>
      <c r="AMF153" s="196"/>
      <c r="AMG153" s="196"/>
      <c r="AMH153" s="196"/>
      <c r="AMI153" s="196"/>
      <c r="AMJ153" s="196"/>
    </row>
    <row r="154" customFormat="false" ht="15.75" hidden="false" customHeight="true" outlineLevel="0" collapsed="false">
      <c r="A154" s="196"/>
      <c r="B154" s="210"/>
      <c r="C154" s="212" t="s">
        <v>141</v>
      </c>
      <c r="D154" s="213" t="s">
        <v>142</v>
      </c>
      <c r="E154" s="213" t="n">
        <v>1</v>
      </c>
      <c r="F154" s="211"/>
      <c r="G154" s="10"/>
      <c r="H154" s="257"/>
      <c r="I154" s="260"/>
      <c r="J154" s="8"/>
      <c r="K154" s="8"/>
      <c r="L154" s="259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  <c r="AY154" s="196"/>
      <c r="AZ154" s="196"/>
      <c r="BA154" s="196"/>
      <c r="BB154" s="196"/>
      <c r="BC154" s="196"/>
      <c r="BD154" s="196"/>
      <c r="BE154" s="196"/>
      <c r="BF154" s="196"/>
      <c r="BG154" s="196"/>
      <c r="BH154" s="196"/>
      <c r="BI154" s="196"/>
      <c r="BJ154" s="196"/>
      <c r="BK154" s="196"/>
      <c r="BL154" s="196"/>
      <c r="BM154" s="196"/>
      <c r="BN154" s="196"/>
      <c r="BO154" s="196"/>
      <c r="BP154" s="196"/>
      <c r="BQ154" s="196"/>
      <c r="BR154" s="196"/>
      <c r="BS154" s="196"/>
      <c r="BT154" s="196"/>
      <c r="BU154" s="196"/>
      <c r="BV154" s="196"/>
      <c r="BW154" s="196"/>
      <c r="BX154" s="196"/>
      <c r="BY154" s="196"/>
      <c r="BZ154" s="196"/>
      <c r="CA154" s="196"/>
      <c r="CB154" s="196"/>
      <c r="CC154" s="196"/>
      <c r="CD154" s="196"/>
      <c r="CE154" s="196"/>
      <c r="CF154" s="196"/>
      <c r="CG154" s="196"/>
      <c r="CH154" s="196"/>
      <c r="CI154" s="196"/>
      <c r="CJ154" s="196"/>
      <c r="CK154" s="196"/>
      <c r="CL154" s="196"/>
      <c r="CM154" s="196"/>
      <c r="CN154" s="196"/>
      <c r="CO154" s="196"/>
      <c r="CP154" s="196"/>
      <c r="CQ154" s="196"/>
      <c r="CR154" s="196"/>
      <c r="CS154" s="196"/>
      <c r="CT154" s="196"/>
      <c r="CU154" s="196"/>
      <c r="CV154" s="196"/>
      <c r="CW154" s="196"/>
      <c r="CX154" s="196"/>
      <c r="CY154" s="196"/>
      <c r="CZ154" s="196"/>
      <c r="DA154" s="196"/>
      <c r="DB154" s="196"/>
      <c r="DC154" s="196"/>
      <c r="DD154" s="196"/>
      <c r="DE154" s="196"/>
      <c r="DF154" s="196"/>
      <c r="DG154" s="196"/>
      <c r="DH154" s="196"/>
      <c r="DI154" s="196"/>
      <c r="DJ154" s="196"/>
      <c r="DK154" s="196"/>
      <c r="DL154" s="196"/>
      <c r="DM154" s="196"/>
      <c r="DN154" s="196"/>
      <c r="DO154" s="196"/>
      <c r="DP154" s="196"/>
      <c r="DQ154" s="196"/>
      <c r="DR154" s="196"/>
      <c r="DS154" s="196"/>
      <c r="DT154" s="196"/>
      <c r="DU154" s="196"/>
      <c r="DV154" s="196"/>
      <c r="DW154" s="196"/>
      <c r="DX154" s="196"/>
      <c r="DY154" s="196"/>
      <c r="DZ154" s="196"/>
      <c r="EA154" s="196"/>
      <c r="EB154" s="196"/>
      <c r="EC154" s="196"/>
      <c r="ED154" s="196"/>
      <c r="EE154" s="196"/>
      <c r="EF154" s="196"/>
      <c r="EG154" s="196"/>
      <c r="EH154" s="196"/>
      <c r="EI154" s="196"/>
      <c r="EJ154" s="196"/>
      <c r="EK154" s="196"/>
      <c r="EL154" s="196"/>
      <c r="EM154" s="196"/>
      <c r="EN154" s="196"/>
      <c r="EO154" s="196"/>
      <c r="EP154" s="196"/>
      <c r="EQ154" s="196"/>
      <c r="ER154" s="196"/>
      <c r="ES154" s="196"/>
      <c r="ET154" s="196"/>
      <c r="EU154" s="196"/>
      <c r="EV154" s="196"/>
      <c r="EW154" s="196"/>
      <c r="EX154" s="196"/>
      <c r="EY154" s="196"/>
      <c r="EZ154" s="196"/>
      <c r="FA154" s="196"/>
      <c r="FB154" s="196"/>
      <c r="FC154" s="196"/>
      <c r="FD154" s="196"/>
      <c r="FE154" s="196"/>
      <c r="FF154" s="196"/>
      <c r="FG154" s="196"/>
      <c r="FH154" s="196"/>
      <c r="FI154" s="196"/>
      <c r="FJ154" s="196"/>
      <c r="FK154" s="196"/>
      <c r="FL154" s="196"/>
      <c r="FM154" s="196"/>
      <c r="FN154" s="196"/>
      <c r="FO154" s="196"/>
      <c r="FP154" s="196"/>
      <c r="FQ154" s="196"/>
      <c r="FR154" s="196"/>
      <c r="FS154" s="196"/>
      <c r="FT154" s="196"/>
      <c r="FU154" s="196"/>
      <c r="FV154" s="196"/>
      <c r="FW154" s="196"/>
      <c r="FX154" s="196"/>
      <c r="FY154" s="196"/>
      <c r="FZ154" s="196"/>
      <c r="GA154" s="196"/>
      <c r="GB154" s="196"/>
      <c r="GC154" s="196"/>
      <c r="GD154" s="196"/>
      <c r="GE154" s="196"/>
      <c r="GF154" s="196"/>
      <c r="GG154" s="196"/>
      <c r="GH154" s="196"/>
      <c r="GI154" s="196"/>
      <c r="GJ154" s="196"/>
      <c r="GK154" s="196"/>
      <c r="GL154" s="196"/>
      <c r="GM154" s="196"/>
      <c r="GN154" s="196"/>
      <c r="GO154" s="196"/>
      <c r="GP154" s="196"/>
      <c r="GQ154" s="196"/>
      <c r="GR154" s="196"/>
      <c r="GS154" s="196"/>
      <c r="GT154" s="196"/>
      <c r="GU154" s="196"/>
      <c r="GV154" s="196"/>
      <c r="GW154" s="196"/>
      <c r="GX154" s="196"/>
      <c r="GY154" s="196"/>
      <c r="GZ154" s="196"/>
      <c r="HA154" s="196"/>
      <c r="HB154" s="196"/>
      <c r="HC154" s="196"/>
      <c r="HD154" s="196"/>
      <c r="HE154" s="196"/>
      <c r="HF154" s="196"/>
      <c r="HG154" s="196"/>
      <c r="HH154" s="196"/>
      <c r="HI154" s="196"/>
      <c r="HJ154" s="196"/>
      <c r="HK154" s="196"/>
      <c r="HL154" s="196"/>
      <c r="HM154" s="196"/>
      <c r="HN154" s="196"/>
      <c r="HO154" s="196"/>
      <c r="HP154" s="196"/>
      <c r="HQ154" s="196"/>
      <c r="HR154" s="196"/>
      <c r="HS154" s="196"/>
      <c r="HT154" s="196"/>
      <c r="HU154" s="196"/>
      <c r="HV154" s="196"/>
      <c r="HW154" s="196"/>
      <c r="HX154" s="196"/>
      <c r="HY154" s="196"/>
      <c r="HZ154" s="196"/>
      <c r="IA154" s="196"/>
      <c r="IB154" s="196"/>
      <c r="IC154" s="196"/>
      <c r="ID154" s="196"/>
      <c r="IE154" s="196"/>
      <c r="IF154" s="196"/>
      <c r="IG154" s="196"/>
      <c r="IH154" s="196"/>
      <c r="II154" s="196"/>
      <c r="IJ154" s="196"/>
      <c r="IK154" s="196"/>
      <c r="IL154" s="196"/>
      <c r="IM154" s="196"/>
      <c r="IN154" s="196"/>
      <c r="IO154" s="196"/>
      <c r="IP154" s="196"/>
      <c r="IQ154" s="196"/>
      <c r="IR154" s="196"/>
      <c r="IS154" s="196"/>
      <c r="IT154" s="196"/>
      <c r="IU154" s="196"/>
      <c r="IV154" s="196"/>
      <c r="IW154" s="196"/>
      <c r="IX154" s="196"/>
      <c r="IY154" s="196"/>
      <c r="IZ154" s="196"/>
      <c r="JA154" s="196"/>
      <c r="JB154" s="196"/>
      <c r="JC154" s="196"/>
      <c r="JD154" s="196"/>
      <c r="JE154" s="196"/>
      <c r="JF154" s="196"/>
      <c r="JG154" s="196"/>
      <c r="JH154" s="196"/>
      <c r="JI154" s="196"/>
      <c r="JJ154" s="196"/>
      <c r="JK154" s="196"/>
      <c r="JL154" s="196"/>
      <c r="JM154" s="196"/>
      <c r="JN154" s="196"/>
      <c r="JO154" s="196"/>
      <c r="JP154" s="196"/>
      <c r="JQ154" s="196"/>
      <c r="JR154" s="196"/>
      <c r="JS154" s="196"/>
      <c r="JT154" s="196"/>
      <c r="JU154" s="196"/>
      <c r="JV154" s="196"/>
      <c r="JW154" s="196"/>
      <c r="JX154" s="196"/>
      <c r="JY154" s="196"/>
      <c r="JZ154" s="196"/>
      <c r="KA154" s="196"/>
      <c r="KB154" s="196"/>
      <c r="KC154" s="196"/>
      <c r="KD154" s="196"/>
      <c r="KE154" s="196"/>
      <c r="KF154" s="196"/>
      <c r="KG154" s="196"/>
      <c r="KH154" s="196"/>
      <c r="KI154" s="196"/>
      <c r="KJ154" s="196"/>
      <c r="KK154" s="196"/>
      <c r="KL154" s="196"/>
      <c r="KM154" s="196"/>
      <c r="KN154" s="196"/>
      <c r="KO154" s="196"/>
      <c r="KP154" s="196"/>
      <c r="KQ154" s="196"/>
      <c r="KR154" s="196"/>
      <c r="KS154" s="196"/>
      <c r="KT154" s="196"/>
      <c r="KU154" s="196"/>
      <c r="KV154" s="196"/>
      <c r="KW154" s="196"/>
      <c r="KX154" s="196"/>
      <c r="KY154" s="196"/>
      <c r="KZ154" s="196"/>
      <c r="LA154" s="196"/>
      <c r="LB154" s="196"/>
      <c r="LC154" s="196"/>
      <c r="LD154" s="196"/>
      <c r="LE154" s="196"/>
      <c r="LF154" s="196"/>
      <c r="LG154" s="196"/>
      <c r="LH154" s="196"/>
      <c r="LI154" s="196"/>
      <c r="LJ154" s="196"/>
      <c r="LK154" s="196"/>
      <c r="LL154" s="196"/>
      <c r="LM154" s="196"/>
      <c r="LN154" s="196"/>
      <c r="LO154" s="196"/>
      <c r="LP154" s="196"/>
      <c r="LQ154" s="196"/>
      <c r="LR154" s="196"/>
      <c r="LS154" s="196"/>
      <c r="LT154" s="196"/>
      <c r="LU154" s="196"/>
      <c r="LV154" s="196"/>
      <c r="LW154" s="196"/>
      <c r="LX154" s="196"/>
      <c r="LY154" s="196"/>
      <c r="LZ154" s="196"/>
      <c r="MA154" s="196"/>
      <c r="MB154" s="196"/>
      <c r="MC154" s="196"/>
      <c r="MD154" s="196"/>
      <c r="ME154" s="196"/>
      <c r="MF154" s="196"/>
      <c r="MG154" s="196"/>
      <c r="MH154" s="196"/>
      <c r="MI154" s="196"/>
      <c r="MJ154" s="196"/>
      <c r="MK154" s="196"/>
      <c r="ML154" s="196"/>
      <c r="MM154" s="196"/>
      <c r="MN154" s="196"/>
      <c r="MO154" s="196"/>
      <c r="MP154" s="196"/>
      <c r="MQ154" s="196"/>
      <c r="MR154" s="196"/>
      <c r="MS154" s="196"/>
      <c r="MT154" s="196"/>
      <c r="MU154" s="196"/>
      <c r="MV154" s="196"/>
      <c r="MW154" s="196"/>
      <c r="MX154" s="196"/>
      <c r="MY154" s="196"/>
      <c r="MZ154" s="196"/>
      <c r="NA154" s="196"/>
      <c r="NB154" s="196"/>
      <c r="NC154" s="196"/>
      <c r="ND154" s="196"/>
      <c r="NE154" s="196"/>
      <c r="NF154" s="196"/>
      <c r="NG154" s="196"/>
      <c r="NH154" s="196"/>
      <c r="NI154" s="196"/>
      <c r="NJ154" s="196"/>
      <c r="NK154" s="196"/>
      <c r="NL154" s="196"/>
      <c r="NM154" s="196"/>
      <c r="NN154" s="196"/>
      <c r="NO154" s="196"/>
      <c r="NP154" s="196"/>
      <c r="NQ154" s="196"/>
      <c r="NR154" s="196"/>
      <c r="NS154" s="196"/>
      <c r="NT154" s="196"/>
      <c r="NU154" s="196"/>
      <c r="NV154" s="196"/>
      <c r="NW154" s="196"/>
      <c r="NX154" s="196"/>
      <c r="NY154" s="196"/>
      <c r="NZ154" s="196"/>
      <c r="OA154" s="196"/>
      <c r="OB154" s="196"/>
      <c r="OC154" s="196"/>
      <c r="OD154" s="196"/>
      <c r="OE154" s="196"/>
      <c r="OF154" s="196"/>
      <c r="OG154" s="196"/>
      <c r="OH154" s="196"/>
      <c r="OI154" s="196"/>
      <c r="OJ154" s="196"/>
      <c r="OK154" s="196"/>
      <c r="OL154" s="196"/>
      <c r="OM154" s="196"/>
      <c r="ON154" s="196"/>
      <c r="OO154" s="196"/>
      <c r="OP154" s="196"/>
      <c r="OQ154" s="196"/>
      <c r="OR154" s="196"/>
      <c r="OS154" s="196"/>
      <c r="OT154" s="196"/>
      <c r="OU154" s="196"/>
      <c r="OV154" s="196"/>
      <c r="OW154" s="196"/>
      <c r="OX154" s="196"/>
      <c r="OY154" s="196"/>
      <c r="OZ154" s="196"/>
      <c r="PA154" s="196"/>
      <c r="PB154" s="196"/>
      <c r="PC154" s="196"/>
      <c r="PD154" s="196"/>
      <c r="PE154" s="196"/>
      <c r="PF154" s="196"/>
      <c r="PG154" s="196"/>
      <c r="PH154" s="196"/>
      <c r="PI154" s="196"/>
      <c r="PJ154" s="196"/>
      <c r="PK154" s="196"/>
      <c r="PL154" s="196"/>
      <c r="PM154" s="196"/>
      <c r="PN154" s="196"/>
      <c r="PO154" s="196"/>
      <c r="PP154" s="196"/>
      <c r="PQ154" s="196"/>
      <c r="PR154" s="196"/>
      <c r="PS154" s="196"/>
      <c r="PT154" s="196"/>
      <c r="PU154" s="196"/>
      <c r="PV154" s="196"/>
      <c r="PW154" s="196"/>
      <c r="PX154" s="196"/>
      <c r="PY154" s="196"/>
      <c r="PZ154" s="196"/>
      <c r="QA154" s="196"/>
      <c r="QB154" s="196"/>
      <c r="QC154" s="196"/>
      <c r="QD154" s="196"/>
      <c r="QE154" s="196"/>
      <c r="QF154" s="196"/>
      <c r="QG154" s="196"/>
      <c r="QH154" s="196"/>
      <c r="QI154" s="196"/>
      <c r="QJ154" s="196"/>
      <c r="QK154" s="196"/>
      <c r="QL154" s="196"/>
      <c r="QM154" s="196"/>
      <c r="QN154" s="196"/>
      <c r="QO154" s="196"/>
      <c r="QP154" s="196"/>
      <c r="QQ154" s="196"/>
      <c r="QR154" s="196"/>
      <c r="QS154" s="196"/>
      <c r="QT154" s="196"/>
      <c r="QU154" s="196"/>
      <c r="QV154" s="196"/>
      <c r="QW154" s="196"/>
      <c r="QX154" s="196"/>
      <c r="QY154" s="196"/>
      <c r="QZ154" s="196"/>
      <c r="RA154" s="196"/>
      <c r="RB154" s="196"/>
      <c r="RC154" s="196"/>
      <c r="RD154" s="196"/>
      <c r="RE154" s="196"/>
      <c r="RF154" s="196"/>
      <c r="RG154" s="196"/>
      <c r="RH154" s="196"/>
      <c r="RI154" s="196"/>
      <c r="RJ154" s="196"/>
      <c r="RK154" s="196"/>
      <c r="RL154" s="196"/>
      <c r="RM154" s="196"/>
      <c r="RN154" s="196"/>
      <c r="RO154" s="196"/>
      <c r="RP154" s="196"/>
      <c r="RQ154" s="196"/>
      <c r="RR154" s="196"/>
      <c r="RS154" s="196"/>
      <c r="RT154" s="196"/>
      <c r="RU154" s="196"/>
      <c r="RV154" s="196"/>
      <c r="RW154" s="196"/>
      <c r="RX154" s="196"/>
      <c r="RY154" s="196"/>
      <c r="RZ154" s="196"/>
      <c r="SA154" s="196"/>
      <c r="SB154" s="196"/>
      <c r="SC154" s="196"/>
      <c r="SD154" s="196"/>
      <c r="SE154" s="196"/>
      <c r="SF154" s="196"/>
      <c r="SG154" s="196"/>
      <c r="SH154" s="196"/>
      <c r="SI154" s="196"/>
      <c r="SJ154" s="196"/>
      <c r="SK154" s="196"/>
      <c r="SL154" s="196"/>
      <c r="SM154" s="196"/>
      <c r="SN154" s="196"/>
      <c r="SO154" s="196"/>
      <c r="SP154" s="196"/>
      <c r="SQ154" s="196"/>
      <c r="SR154" s="196"/>
      <c r="SS154" s="196"/>
      <c r="ST154" s="196"/>
      <c r="SU154" s="196"/>
      <c r="SV154" s="196"/>
      <c r="SW154" s="196"/>
      <c r="SX154" s="196"/>
      <c r="SY154" s="196"/>
      <c r="SZ154" s="196"/>
      <c r="TA154" s="196"/>
      <c r="TB154" s="196"/>
      <c r="TC154" s="196"/>
      <c r="TD154" s="196"/>
      <c r="TE154" s="196"/>
      <c r="TF154" s="196"/>
      <c r="TG154" s="196"/>
      <c r="TH154" s="196"/>
      <c r="TI154" s="196"/>
      <c r="TJ154" s="196"/>
      <c r="TK154" s="196"/>
      <c r="TL154" s="196"/>
      <c r="TM154" s="196"/>
      <c r="TN154" s="196"/>
      <c r="TO154" s="196"/>
      <c r="TP154" s="196"/>
      <c r="TQ154" s="196"/>
      <c r="TR154" s="196"/>
      <c r="TS154" s="196"/>
      <c r="TT154" s="196"/>
      <c r="TU154" s="196"/>
      <c r="TV154" s="196"/>
      <c r="TW154" s="196"/>
      <c r="TX154" s="196"/>
      <c r="TY154" s="196"/>
      <c r="TZ154" s="196"/>
      <c r="UA154" s="196"/>
      <c r="UB154" s="196"/>
      <c r="UC154" s="196"/>
      <c r="UD154" s="196"/>
      <c r="UE154" s="196"/>
      <c r="UF154" s="196"/>
      <c r="UG154" s="196"/>
      <c r="UH154" s="196"/>
      <c r="UI154" s="196"/>
      <c r="UJ154" s="196"/>
      <c r="UK154" s="196"/>
      <c r="UL154" s="196"/>
      <c r="UM154" s="196"/>
      <c r="UN154" s="196"/>
      <c r="UO154" s="196"/>
      <c r="UP154" s="196"/>
      <c r="UQ154" s="196"/>
      <c r="UR154" s="196"/>
      <c r="US154" s="196"/>
      <c r="UT154" s="196"/>
      <c r="UU154" s="196"/>
      <c r="UV154" s="196"/>
      <c r="UW154" s="196"/>
      <c r="UX154" s="196"/>
      <c r="UY154" s="196"/>
      <c r="UZ154" s="196"/>
      <c r="VA154" s="196"/>
      <c r="VB154" s="196"/>
      <c r="VC154" s="196"/>
      <c r="VD154" s="196"/>
      <c r="VE154" s="196"/>
      <c r="VF154" s="196"/>
      <c r="VG154" s="196"/>
      <c r="VH154" s="196"/>
      <c r="VI154" s="196"/>
      <c r="VJ154" s="196"/>
      <c r="VK154" s="196"/>
      <c r="VL154" s="196"/>
      <c r="VM154" s="196"/>
      <c r="VN154" s="196"/>
      <c r="VO154" s="196"/>
      <c r="VP154" s="196"/>
      <c r="VQ154" s="196"/>
      <c r="VR154" s="196"/>
      <c r="VS154" s="196"/>
      <c r="VT154" s="196"/>
      <c r="VU154" s="196"/>
      <c r="VV154" s="196"/>
      <c r="VW154" s="196"/>
      <c r="VX154" s="196"/>
      <c r="VY154" s="196"/>
      <c r="VZ154" s="196"/>
      <c r="WA154" s="196"/>
      <c r="WB154" s="196"/>
      <c r="WC154" s="196"/>
      <c r="WD154" s="196"/>
      <c r="WE154" s="196"/>
      <c r="WF154" s="196"/>
      <c r="WG154" s="196"/>
      <c r="WH154" s="196"/>
      <c r="WI154" s="196"/>
      <c r="WJ154" s="196"/>
      <c r="WK154" s="196"/>
      <c r="WL154" s="196"/>
      <c r="WM154" s="196"/>
      <c r="WN154" s="196"/>
      <c r="WO154" s="196"/>
      <c r="WP154" s="196"/>
      <c r="WQ154" s="196"/>
      <c r="WR154" s="196"/>
      <c r="WS154" s="196"/>
      <c r="WT154" s="196"/>
      <c r="WU154" s="196"/>
      <c r="WV154" s="196"/>
      <c r="WW154" s="196"/>
      <c r="WX154" s="196"/>
      <c r="WY154" s="196"/>
      <c r="WZ154" s="196"/>
      <c r="XA154" s="196"/>
      <c r="XB154" s="196"/>
      <c r="XC154" s="196"/>
      <c r="XD154" s="196"/>
      <c r="XE154" s="196"/>
      <c r="XF154" s="196"/>
      <c r="XG154" s="196"/>
      <c r="XH154" s="196"/>
      <c r="XI154" s="196"/>
      <c r="XJ154" s="196"/>
      <c r="XK154" s="196"/>
      <c r="XL154" s="196"/>
      <c r="XM154" s="196"/>
      <c r="XN154" s="196"/>
      <c r="XO154" s="196"/>
      <c r="XP154" s="196"/>
      <c r="XQ154" s="196"/>
      <c r="XR154" s="196"/>
      <c r="XS154" s="196"/>
      <c r="XT154" s="196"/>
      <c r="XU154" s="196"/>
      <c r="XV154" s="196"/>
      <c r="XW154" s="196"/>
      <c r="XX154" s="196"/>
      <c r="XY154" s="196"/>
      <c r="XZ154" s="196"/>
      <c r="YA154" s="196"/>
      <c r="YB154" s="196"/>
      <c r="YC154" s="196"/>
      <c r="YD154" s="196"/>
      <c r="YE154" s="196"/>
      <c r="YF154" s="196"/>
      <c r="YG154" s="196"/>
      <c r="YH154" s="196"/>
      <c r="YI154" s="196"/>
      <c r="YJ154" s="196"/>
      <c r="YK154" s="196"/>
      <c r="YL154" s="196"/>
      <c r="YM154" s="196"/>
      <c r="YN154" s="196"/>
      <c r="YO154" s="196"/>
      <c r="YP154" s="196"/>
      <c r="YQ154" s="196"/>
      <c r="YR154" s="196"/>
      <c r="YS154" s="196"/>
      <c r="YT154" s="196"/>
      <c r="YU154" s="196"/>
      <c r="YV154" s="196"/>
      <c r="YW154" s="196"/>
      <c r="YX154" s="196"/>
      <c r="YY154" s="196"/>
      <c r="YZ154" s="196"/>
      <c r="ZA154" s="196"/>
      <c r="ZB154" s="196"/>
      <c r="ZC154" s="196"/>
      <c r="ZD154" s="196"/>
      <c r="ZE154" s="196"/>
      <c r="ZF154" s="196"/>
      <c r="ZG154" s="196"/>
      <c r="ZH154" s="196"/>
      <c r="ZI154" s="196"/>
      <c r="ZJ154" s="196"/>
      <c r="ZK154" s="196"/>
      <c r="ZL154" s="196"/>
      <c r="ZM154" s="196"/>
      <c r="ZN154" s="196"/>
      <c r="ZO154" s="196"/>
      <c r="ZP154" s="196"/>
      <c r="ZQ154" s="196"/>
      <c r="ZR154" s="196"/>
      <c r="ZS154" s="196"/>
      <c r="ZT154" s="196"/>
      <c r="ZU154" s="196"/>
      <c r="ZV154" s="196"/>
      <c r="ZW154" s="196"/>
      <c r="ZX154" s="196"/>
      <c r="ZY154" s="196"/>
      <c r="ZZ154" s="196"/>
      <c r="AAA154" s="196"/>
      <c r="AAB154" s="196"/>
      <c r="AAC154" s="196"/>
      <c r="AAD154" s="196"/>
      <c r="AAE154" s="196"/>
      <c r="AAF154" s="196"/>
      <c r="AAG154" s="196"/>
      <c r="AAH154" s="196"/>
      <c r="AAI154" s="196"/>
      <c r="AAJ154" s="196"/>
      <c r="AAK154" s="196"/>
      <c r="AAL154" s="196"/>
      <c r="AAM154" s="196"/>
      <c r="AAN154" s="196"/>
      <c r="AAO154" s="196"/>
      <c r="AAP154" s="196"/>
      <c r="AAQ154" s="196"/>
      <c r="AAR154" s="196"/>
      <c r="AAS154" s="196"/>
      <c r="AAT154" s="196"/>
      <c r="AAU154" s="196"/>
      <c r="AAV154" s="196"/>
      <c r="AAW154" s="196"/>
      <c r="AAX154" s="196"/>
      <c r="AAY154" s="196"/>
      <c r="AAZ154" s="196"/>
      <c r="ABA154" s="196"/>
      <c r="ABB154" s="196"/>
      <c r="ABC154" s="196"/>
      <c r="ABD154" s="196"/>
      <c r="ABE154" s="196"/>
      <c r="ABF154" s="196"/>
      <c r="ABG154" s="196"/>
      <c r="ABH154" s="196"/>
      <c r="ABI154" s="196"/>
      <c r="ABJ154" s="196"/>
      <c r="ABK154" s="196"/>
      <c r="ABL154" s="196"/>
      <c r="ABM154" s="196"/>
      <c r="ABN154" s="196"/>
      <c r="ABO154" s="196"/>
      <c r="ABP154" s="196"/>
      <c r="ABQ154" s="196"/>
      <c r="ABR154" s="196"/>
      <c r="ABS154" s="196"/>
      <c r="ABT154" s="196"/>
      <c r="ABU154" s="196"/>
      <c r="ABV154" s="196"/>
      <c r="ABW154" s="196"/>
      <c r="ABX154" s="196"/>
      <c r="ABY154" s="196"/>
      <c r="ABZ154" s="196"/>
      <c r="ACA154" s="196"/>
      <c r="ACB154" s="196"/>
      <c r="ACC154" s="196"/>
      <c r="ACD154" s="196"/>
      <c r="ACE154" s="196"/>
      <c r="ACF154" s="196"/>
      <c r="ACG154" s="196"/>
      <c r="ACH154" s="196"/>
      <c r="ACI154" s="196"/>
      <c r="ACJ154" s="196"/>
      <c r="ACK154" s="196"/>
      <c r="ACL154" s="196"/>
      <c r="ACM154" s="196"/>
      <c r="ACN154" s="196"/>
      <c r="ACO154" s="196"/>
      <c r="ACP154" s="196"/>
      <c r="ACQ154" s="196"/>
      <c r="ACR154" s="196"/>
      <c r="ACS154" s="196"/>
      <c r="ACT154" s="196"/>
      <c r="ACU154" s="196"/>
      <c r="ACV154" s="196"/>
      <c r="ACW154" s="196"/>
      <c r="ACX154" s="196"/>
      <c r="ACY154" s="196"/>
      <c r="ACZ154" s="196"/>
      <c r="ADA154" s="196"/>
      <c r="ADB154" s="196"/>
      <c r="ADC154" s="196"/>
      <c r="ADD154" s="196"/>
      <c r="ADE154" s="196"/>
      <c r="ADF154" s="196"/>
      <c r="ADG154" s="196"/>
      <c r="ADH154" s="196"/>
      <c r="ADI154" s="196"/>
      <c r="ADJ154" s="196"/>
      <c r="ADK154" s="196"/>
      <c r="ADL154" s="196"/>
      <c r="ADM154" s="196"/>
      <c r="ADN154" s="196"/>
      <c r="ADO154" s="196"/>
      <c r="ADP154" s="196"/>
      <c r="ADQ154" s="196"/>
      <c r="ADR154" s="196"/>
      <c r="ADS154" s="196"/>
      <c r="ADT154" s="196"/>
      <c r="ADU154" s="196"/>
      <c r="ADV154" s="196"/>
      <c r="ADW154" s="196"/>
      <c r="ADX154" s="196"/>
      <c r="ADY154" s="196"/>
      <c r="ADZ154" s="196"/>
      <c r="AEA154" s="196"/>
      <c r="AEB154" s="196"/>
      <c r="AEC154" s="196"/>
      <c r="AED154" s="196"/>
      <c r="AEE154" s="196"/>
      <c r="AEF154" s="196"/>
      <c r="AEG154" s="196"/>
      <c r="AEH154" s="196"/>
      <c r="AEI154" s="196"/>
      <c r="AEJ154" s="196"/>
      <c r="AEK154" s="196"/>
      <c r="AEL154" s="196"/>
      <c r="AEM154" s="196"/>
      <c r="AEN154" s="196"/>
      <c r="AEO154" s="196"/>
      <c r="AEP154" s="196"/>
      <c r="AEQ154" s="196"/>
      <c r="AER154" s="196"/>
      <c r="AES154" s="196"/>
      <c r="AET154" s="196"/>
      <c r="AEU154" s="196"/>
      <c r="AEV154" s="196"/>
      <c r="AEW154" s="196"/>
      <c r="AEX154" s="196"/>
      <c r="AEY154" s="196"/>
      <c r="AEZ154" s="196"/>
      <c r="AFA154" s="196"/>
      <c r="AFB154" s="196"/>
      <c r="AFC154" s="196"/>
      <c r="AFD154" s="196"/>
      <c r="AFE154" s="196"/>
      <c r="AFF154" s="196"/>
      <c r="AFG154" s="196"/>
      <c r="AFH154" s="196"/>
      <c r="AFI154" s="196"/>
      <c r="AFJ154" s="196"/>
      <c r="AFK154" s="196"/>
      <c r="AFL154" s="196"/>
      <c r="AFM154" s="196"/>
      <c r="AFN154" s="196"/>
      <c r="AFO154" s="196"/>
      <c r="AFP154" s="196"/>
      <c r="AFQ154" s="196"/>
      <c r="AFR154" s="196"/>
      <c r="AFS154" s="196"/>
      <c r="AFT154" s="196"/>
      <c r="AFU154" s="196"/>
      <c r="AFV154" s="196"/>
      <c r="AFW154" s="196"/>
      <c r="AFX154" s="196"/>
      <c r="AFY154" s="196"/>
      <c r="AFZ154" s="196"/>
      <c r="AGA154" s="196"/>
      <c r="AGB154" s="196"/>
      <c r="AGC154" s="196"/>
      <c r="AGD154" s="196"/>
      <c r="AGE154" s="196"/>
      <c r="AGF154" s="196"/>
      <c r="AGG154" s="196"/>
      <c r="AGH154" s="196"/>
      <c r="AGI154" s="196"/>
      <c r="AGJ154" s="196"/>
      <c r="AGK154" s="196"/>
      <c r="AGL154" s="196"/>
      <c r="AGM154" s="196"/>
      <c r="AGN154" s="196"/>
      <c r="AGO154" s="196"/>
      <c r="AGP154" s="196"/>
      <c r="AGQ154" s="196"/>
      <c r="AGR154" s="196"/>
      <c r="AGS154" s="196"/>
      <c r="AGT154" s="196"/>
      <c r="AGU154" s="196"/>
      <c r="AGV154" s="196"/>
      <c r="AGW154" s="196"/>
      <c r="AGX154" s="196"/>
      <c r="AGY154" s="196"/>
      <c r="AGZ154" s="196"/>
      <c r="AHA154" s="196"/>
      <c r="AHB154" s="196"/>
      <c r="AHC154" s="196"/>
      <c r="AHD154" s="196"/>
      <c r="AHE154" s="196"/>
      <c r="AHF154" s="196"/>
      <c r="AHG154" s="196"/>
      <c r="AHH154" s="196"/>
      <c r="AHI154" s="196"/>
      <c r="AHJ154" s="196"/>
      <c r="AHK154" s="196"/>
      <c r="AHL154" s="196"/>
      <c r="AHM154" s="196"/>
      <c r="AHN154" s="196"/>
      <c r="AHO154" s="196"/>
      <c r="AHP154" s="196"/>
      <c r="AHQ154" s="196"/>
      <c r="AHR154" s="196"/>
      <c r="AHS154" s="196"/>
      <c r="AHT154" s="196"/>
      <c r="AHU154" s="196"/>
      <c r="AHV154" s="196"/>
      <c r="AHW154" s="196"/>
      <c r="AHX154" s="196"/>
      <c r="AHY154" s="196"/>
      <c r="AHZ154" s="196"/>
      <c r="AIA154" s="196"/>
      <c r="AIB154" s="196"/>
      <c r="AIC154" s="196"/>
      <c r="AID154" s="196"/>
      <c r="AIE154" s="196"/>
      <c r="AIF154" s="196"/>
      <c r="AIG154" s="196"/>
      <c r="AIH154" s="196"/>
      <c r="AII154" s="196"/>
      <c r="AIJ154" s="196"/>
      <c r="AIK154" s="196"/>
      <c r="AIL154" s="196"/>
      <c r="AIM154" s="196"/>
      <c r="AIN154" s="196"/>
      <c r="AIO154" s="196"/>
      <c r="AIP154" s="196"/>
      <c r="AIQ154" s="196"/>
      <c r="AIR154" s="196"/>
      <c r="AIS154" s="196"/>
      <c r="AIT154" s="196"/>
      <c r="AIU154" s="196"/>
      <c r="AIV154" s="196"/>
      <c r="AIW154" s="196"/>
      <c r="AIX154" s="196"/>
      <c r="AIY154" s="196"/>
      <c r="AIZ154" s="196"/>
      <c r="AJA154" s="196"/>
      <c r="AJB154" s="196"/>
      <c r="AJC154" s="196"/>
      <c r="AJD154" s="196"/>
      <c r="AJE154" s="196"/>
      <c r="AJF154" s="196"/>
      <c r="AJG154" s="196"/>
      <c r="AJH154" s="196"/>
      <c r="AJI154" s="196"/>
      <c r="AJJ154" s="196"/>
      <c r="AJK154" s="196"/>
      <c r="AJL154" s="196"/>
      <c r="AJM154" s="196"/>
      <c r="AJN154" s="196"/>
      <c r="AJO154" s="196"/>
      <c r="AJP154" s="196"/>
      <c r="AJQ154" s="196"/>
      <c r="AJR154" s="196"/>
      <c r="AJS154" s="196"/>
      <c r="AJT154" s="196"/>
      <c r="AJU154" s="196"/>
      <c r="AJV154" s="196"/>
      <c r="AJW154" s="196"/>
      <c r="AJX154" s="196"/>
      <c r="AJY154" s="196"/>
      <c r="AJZ154" s="196"/>
      <c r="AKA154" s="196"/>
      <c r="AKB154" s="196"/>
      <c r="AKC154" s="196"/>
      <c r="AKD154" s="196"/>
      <c r="AKE154" s="196"/>
      <c r="AKF154" s="196"/>
      <c r="AKG154" s="196"/>
      <c r="AKH154" s="196"/>
      <c r="AKI154" s="196"/>
      <c r="AKJ154" s="196"/>
      <c r="AKK154" s="196"/>
      <c r="AKL154" s="196"/>
      <c r="AKM154" s="196"/>
      <c r="AKN154" s="196"/>
      <c r="AKO154" s="196"/>
      <c r="AKP154" s="196"/>
      <c r="AKQ154" s="196"/>
      <c r="AKR154" s="196"/>
      <c r="AKS154" s="196"/>
      <c r="AKT154" s="196"/>
      <c r="AKU154" s="196"/>
      <c r="AKV154" s="196"/>
      <c r="AKW154" s="196"/>
      <c r="AKX154" s="196"/>
      <c r="AKY154" s="196"/>
      <c r="AKZ154" s="196"/>
      <c r="ALA154" s="196"/>
      <c r="ALB154" s="196"/>
      <c r="ALC154" s="196"/>
      <c r="ALD154" s="196"/>
      <c r="ALE154" s="196"/>
      <c r="ALF154" s="196"/>
      <c r="ALG154" s="196"/>
      <c r="ALH154" s="196"/>
      <c r="ALI154" s="196"/>
      <c r="ALJ154" s="196"/>
      <c r="ALK154" s="196"/>
      <c r="ALL154" s="196"/>
      <c r="ALM154" s="196"/>
      <c r="ALN154" s="196"/>
      <c r="ALO154" s="196"/>
      <c r="ALP154" s="196"/>
      <c r="ALQ154" s="196"/>
      <c r="ALR154" s="196"/>
      <c r="ALS154" s="196"/>
      <c r="ALT154" s="196"/>
      <c r="ALU154" s="196"/>
      <c r="ALV154" s="196"/>
      <c r="ALW154" s="196"/>
      <c r="ALX154" s="196"/>
      <c r="ALY154" s="196"/>
      <c r="ALZ154" s="196"/>
      <c r="AMA154" s="196"/>
      <c r="AMB154" s="196"/>
      <c r="AMC154" s="196"/>
      <c r="AMD154" s="196"/>
      <c r="AME154" s="196"/>
      <c r="AMF154" s="196"/>
      <c r="AMG154" s="196"/>
      <c r="AMH154" s="196"/>
      <c r="AMI154" s="196"/>
      <c r="AMJ154" s="196"/>
    </row>
    <row r="155" customFormat="false" ht="15.75" hidden="false" customHeight="true" outlineLevel="0" collapsed="false">
      <c r="A155" s="196"/>
      <c r="B155" s="214"/>
      <c r="C155" s="173" t="s">
        <v>38</v>
      </c>
      <c r="D155" s="215"/>
      <c r="E155" s="216"/>
      <c r="F155" s="217" t="n">
        <v>10</v>
      </c>
      <c r="G155" s="10"/>
      <c r="H155" s="77"/>
      <c r="I155" s="261"/>
      <c r="J155" s="8"/>
      <c r="K155" s="78"/>
      <c r="L155" s="262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AU155" s="196"/>
      <c r="AV155" s="196"/>
      <c r="AW155" s="196"/>
      <c r="AX155" s="196"/>
      <c r="AY155" s="196"/>
      <c r="AZ155" s="196"/>
      <c r="BA155" s="196"/>
      <c r="BB155" s="196"/>
      <c r="BC155" s="196"/>
      <c r="BD155" s="196"/>
      <c r="BE155" s="196"/>
      <c r="BF155" s="196"/>
      <c r="BG155" s="196"/>
      <c r="BH155" s="196"/>
      <c r="BI155" s="196"/>
      <c r="BJ155" s="196"/>
      <c r="BK155" s="196"/>
      <c r="BL155" s="196"/>
      <c r="BM155" s="196"/>
      <c r="BN155" s="196"/>
      <c r="BO155" s="196"/>
      <c r="BP155" s="196"/>
      <c r="BQ155" s="196"/>
      <c r="BR155" s="196"/>
      <c r="BS155" s="196"/>
      <c r="BT155" s="196"/>
      <c r="BU155" s="196"/>
      <c r="BV155" s="196"/>
      <c r="BW155" s="196"/>
      <c r="BX155" s="196"/>
      <c r="BY155" s="196"/>
      <c r="BZ155" s="196"/>
      <c r="CA155" s="196"/>
      <c r="CB155" s="196"/>
      <c r="CC155" s="196"/>
      <c r="CD155" s="196"/>
      <c r="CE155" s="196"/>
      <c r="CF155" s="196"/>
      <c r="CG155" s="196"/>
      <c r="CH155" s="196"/>
      <c r="CI155" s="196"/>
      <c r="CJ155" s="196"/>
      <c r="CK155" s="196"/>
      <c r="CL155" s="196"/>
      <c r="CM155" s="196"/>
      <c r="CN155" s="196"/>
      <c r="CO155" s="196"/>
      <c r="CP155" s="196"/>
      <c r="CQ155" s="196"/>
      <c r="CR155" s="196"/>
      <c r="CS155" s="196"/>
      <c r="CT155" s="196"/>
      <c r="CU155" s="196"/>
      <c r="CV155" s="196"/>
      <c r="CW155" s="196"/>
      <c r="CX155" s="196"/>
      <c r="CY155" s="196"/>
      <c r="CZ155" s="196"/>
      <c r="DA155" s="196"/>
      <c r="DB155" s="196"/>
      <c r="DC155" s="196"/>
      <c r="DD155" s="196"/>
      <c r="DE155" s="196"/>
      <c r="DF155" s="196"/>
      <c r="DG155" s="196"/>
      <c r="DH155" s="196"/>
      <c r="DI155" s="196"/>
      <c r="DJ155" s="196"/>
      <c r="DK155" s="196"/>
      <c r="DL155" s="196"/>
      <c r="DM155" s="196"/>
      <c r="DN155" s="196"/>
      <c r="DO155" s="196"/>
      <c r="DP155" s="196"/>
      <c r="DQ155" s="196"/>
      <c r="DR155" s="196"/>
      <c r="DS155" s="196"/>
      <c r="DT155" s="196"/>
      <c r="DU155" s="196"/>
      <c r="DV155" s="196"/>
      <c r="DW155" s="196"/>
      <c r="DX155" s="196"/>
      <c r="DY155" s="196"/>
      <c r="DZ155" s="196"/>
      <c r="EA155" s="196"/>
      <c r="EB155" s="196"/>
      <c r="EC155" s="196"/>
      <c r="ED155" s="196"/>
      <c r="EE155" s="196"/>
      <c r="EF155" s="196"/>
      <c r="EG155" s="196"/>
      <c r="EH155" s="196"/>
      <c r="EI155" s="196"/>
      <c r="EJ155" s="196"/>
      <c r="EK155" s="196"/>
      <c r="EL155" s="196"/>
      <c r="EM155" s="196"/>
      <c r="EN155" s="196"/>
      <c r="EO155" s="196"/>
      <c r="EP155" s="196"/>
      <c r="EQ155" s="196"/>
      <c r="ER155" s="196"/>
      <c r="ES155" s="196"/>
      <c r="ET155" s="196"/>
      <c r="EU155" s="196"/>
      <c r="EV155" s="196"/>
      <c r="EW155" s="196"/>
      <c r="EX155" s="196"/>
      <c r="EY155" s="196"/>
      <c r="EZ155" s="196"/>
      <c r="FA155" s="196"/>
      <c r="FB155" s="196"/>
      <c r="FC155" s="196"/>
      <c r="FD155" s="196"/>
      <c r="FE155" s="196"/>
      <c r="FF155" s="196"/>
      <c r="FG155" s="196"/>
      <c r="FH155" s="196"/>
      <c r="FI155" s="196"/>
      <c r="FJ155" s="196"/>
      <c r="FK155" s="196"/>
      <c r="FL155" s="196"/>
      <c r="FM155" s="196"/>
      <c r="FN155" s="196"/>
      <c r="FO155" s="196"/>
      <c r="FP155" s="196"/>
      <c r="FQ155" s="196"/>
      <c r="FR155" s="196"/>
      <c r="FS155" s="196"/>
      <c r="FT155" s="196"/>
      <c r="FU155" s="196"/>
      <c r="FV155" s="196"/>
      <c r="FW155" s="196"/>
      <c r="FX155" s="196"/>
      <c r="FY155" s="196"/>
      <c r="FZ155" s="196"/>
      <c r="GA155" s="196"/>
      <c r="GB155" s="196"/>
      <c r="GC155" s="196"/>
      <c r="GD155" s="196"/>
      <c r="GE155" s="196"/>
      <c r="GF155" s="196"/>
      <c r="GG155" s="196"/>
      <c r="GH155" s="196"/>
      <c r="GI155" s="196"/>
      <c r="GJ155" s="196"/>
      <c r="GK155" s="196"/>
      <c r="GL155" s="196"/>
      <c r="GM155" s="196"/>
      <c r="GN155" s="196"/>
      <c r="GO155" s="196"/>
      <c r="GP155" s="196"/>
      <c r="GQ155" s="196"/>
      <c r="GR155" s="196"/>
      <c r="GS155" s="196"/>
      <c r="GT155" s="196"/>
      <c r="GU155" s="196"/>
      <c r="GV155" s="196"/>
      <c r="GW155" s="196"/>
      <c r="GX155" s="196"/>
      <c r="GY155" s="196"/>
      <c r="GZ155" s="196"/>
      <c r="HA155" s="196"/>
      <c r="HB155" s="196"/>
      <c r="HC155" s="196"/>
      <c r="HD155" s="196"/>
      <c r="HE155" s="196"/>
      <c r="HF155" s="196"/>
      <c r="HG155" s="196"/>
      <c r="HH155" s="196"/>
      <c r="HI155" s="196"/>
      <c r="HJ155" s="196"/>
      <c r="HK155" s="196"/>
      <c r="HL155" s="196"/>
      <c r="HM155" s="196"/>
      <c r="HN155" s="196"/>
      <c r="HO155" s="196"/>
      <c r="HP155" s="196"/>
      <c r="HQ155" s="196"/>
      <c r="HR155" s="196"/>
      <c r="HS155" s="196"/>
      <c r="HT155" s="196"/>
      <c r="HU155" s="196"/>
      <c r="HV155" s="196"/>
      <c r="HW155" s="196"/>
      <c r="HX155" s="196"/>
      <c r="HY155" s="196"/>
      <c r="HZ155" s="196"/>
      <c r="IA155" s="196"/>
      <c r="IB155" s="196"/>
      <c r="IC155" s="196"/>
      <c r="ID155" s="196"/>
      <c r="IE155" s="196"/>
      <c r="IF155" s="196"/>
      <c r="IG155" s="196"/>
      <c r="IH155" s="196"/>
      <c r="II155" s="196"/>
      <c r="IJ155" s="196"/>
      <c r="IK155" s="196"/>
      <c r="IL155" s="196"/>
      <c r="IM155" s="196"/>
      <c r="IN155" s="196"/>
      <c r="IO155" s="196"/>
      <c r="IP155" s="196"/>
      <c r="IQ155" s="196"/>
      <c r="IR155" s="196"/>
      <c r="IS155" s="196"/>
      <c r="IT155" s="196"/>
      <c r="IU155" s="196"/>
      <c r="IV155" s="196"/>
      <c r="IW155" s="196"/>
      <c r="IX155" s="196"/>
      <c r="IY155" s="196"/>
      <c r="IZ155" s="196"/>
      <c r="JA155" s="196"/>
      <c r="JB155" s="196"/>
      <c r="JC155" s="196"/>
      <c r="JD155" s="196"/>
      <c r="JE155" s="196"/>
      <c r="JF155" s="196"/>
      <c r="JG155" s="196"/>
      <c r="JH155" s="196"/>
      <c r="JI155" s="196"/>
      <c r="JJ155" s="196"/>
      <c r="JK155" s="196"/>
      <c r="JL155" s="196"/>
      <c r="JM155" s="196"/>
      <c r="JN155" s="196"/>
      <c r="JO155" s="196"/>
      <c r="JP155" s="196"/>
      <c r="JQ155" s="196"/>
      <c r="JR155" s="196"/>
      <c r="JS155" s="196"/>
      <c r="JT155" s="196"/>
      <c r="JU155" s="196"/>
      <c r="JV155" s="196"/>
      <c r="JW155" s="196"/>
      <c r="JX155" s="196"/>
      <c r="JY155" s="196"/>
      <c r="JZ155" s="196"/>
      <c r="KA155" s="196"/>
      <c r="KB155" s="196"/>
      <c r="KC155" s="196"/>
      <c r="KD155" s="196"/>
      <c r="KE155" s="196"/>
      <c r="KF155" s="196"/>
      <c r="KG155" s="196"/>
      <c r="KH155" s="196"/>
      <c r="KI155" s="196"/>
      <c r="KJ155" s="196"/>
      <c r="KK155" s="196"/>
      <c r="KL155" s="196"/>
      <c r="KM155" s="196"/>
      <c r="KN155" s="196"/>
      <c r="KO155" s="196"/>
      <c r="KP155" s="196"/>
      <c r="KQ155" s="196"/>
      <c r="KR155" s="196"/>
      <c r="KS155" s="196"/>
      <c r="KT155" s="196"/>
      <c r="KU155" s="196"/>
      <c r="KV155" s="196"/>
      <c r="KW155" s="196"/>
      <c r="KX155" s="196"/>
      <c r="KY155" s="196"/>
      <c r="KZ155" s="196"/>
      <c r="LA155" s="196"/>
      <c r="LB155" s="196"/>
      <c r="LC155" s="196"/>
      <c r="LD155" s="196"/>
      <c r="LE155" s="196"/>
      <c r="LF155" s="196"/>
      <c r="LG155" s="196"/>
      <c r="LH155" s="196"/>
      <c r="LI155" s="196"/>
      <c r="LJ155" s="196"/>
      <c r="LK155" s="196"/>
      <c r="LL155" s="196"/>
      <c r="LM155" s="196"/>
      <c r="LN155" s="196"/>
      <c r="LO155" s="196"/>
      <c r="LP155" s="196"/>
      <c r="LQ155" s="196"/>
      <c r="LR155" s="196"/>
      <c r="LS155" s="196"/>
      <c r="LT155" s="196"/>
      <c r="LU155" s="196"/>
      <c r="LV155" s="196"/>
      <c r="LW155" s="196"/>
      <c r="LX155" s="196"/>
      <c r="LY155" s="196"/>
      <c r="LZ155" s="196"/>
      <c r="MA155" s="196"/>
      <c r="MB155" s="196"/>
      <c r="MC155" s="196"/>
      <c r="MD155" s="196"/>
      <c r="ME155" s="196"/>
      <c r="MF155" s="196"/>
      <c r="MG155" s="196"/>
      <c r="MH155" s="196"/>
      <c r="MI155" s="196"/>
      <c r="MJ155" s="196"/>
      <c r="MK155" s="196"/>
      <c r="ML155" s="196"/>
      <c r="MM155" s="196"/>
      <c r="MN155" s="196"/>
      <c r="MO155" s="196"/>
      <c r="MP155" s="196"/>
      <c r="MQ155" s="196"/>
      <c r="MR155" s="196"/>
      <c r="MS155" s="196"/>
      <c r="MT155" s="196"/>
      <c r="MU155" s="196"/>
      <c r="MV155" s="196"/>
      <c r="MW155" s="196"/>
      <c r="MX155" s="196"/>
      <c r="MY155" s="196"/>
      <c r="MZ155" s="196"/>
      <c r="NA155" s="196"/>
      <c r="NB155" s="196"/>
      <c r="NC155" s="196"/>
      <c r="ND155" s="196"/>
      <c r="NE155" s="196"/>
      <c r="NF155" s="196"/>
      <c r="NG155" s="196"/>
      <c r="NH155" s="196"/>
      <c r="NI155" s="196"/>
      <c r="NJ155" s="196"/>
      <c r="NK155" s="196"/>
      <c r="NL155" s="196"/>
      <c r="NM155" s="196"/>
      <c r="NN155" s="196"/>
      <c r="NO155" s="196"/>
      <c r="NP155" s="196"/>
      <c r="NQ155" s="196"/>
      <c r="NR155" s="196"/>
      <c r="NS155" s="196"/>
      <c r="NT155" s="196"/>
      <c r="NU155" s="196"/>
      <c r="NV155" s="196"/>
      <c r="NW155" s="196"/>
      <c r="NX155" s="196"/>
      <c r="NY155" s="196"/>
      <c r="NZ155" s="196"/>
      <c r="OA155" s="196"/>
      <c r="OB155" s="196"/>
      <c r="OC155" s="196"/>
      <c r="OD155" s="196"/>
      <c r="OE155" s="196"/>
      <c r="OF155" s="196"/>
      <c r="OG155" s="196"/>
      <c r="OH155" s="196"/>
      <c r="OI155" s="196"/>
      <c r="OJ155" s="196"/>
      <c r="OK155" s="196"/>
      <c r="OL155" s="196"/>
      <c r="OM155" s="196"/>
      <c r="ON155" s="196"/>
      <c r="OO155" s="196"/>
      <c r="OP155" s="196"/>
      <c r="OQ155" s="196"/>
      <c r="OR155" s="196"/>
      <c r="OS155" s="196"/>
      <c r="OT155" s="196"/>
      <c r="OU155" s="196"/>
      <c r="OV155" s="196"/>
      <c r="OW155" s="196"/>
      <c r="OX155" s="196"/>
      <c r="OY155" s="196"/>
      <c r="OZ155" s="196"/>
      <c r="PA155" s="196"/>
      <c r="PB155" s="196"/>
      <c r="PC155" s="196"/>
      <c r="PD155" s="196"/>
      <c r="PE155" s="196"/>
      <c r="PF155" s="196"/>
      <c r="PG155" s="196"/>
      <c r="PH155" s="196"/>
      <c r="PI155" s="196"/>
      <c r="PJ155" s="196"/>
      <c r="PK155" s="196"/>
      <c r="PL155" s="196"/>
      <c r="PM155" s="196"/>
      <c r="PN155" s="196"/>
      <c r="PO155" s="196"/>
      <c r="PP155" s="196"/>
      <c r="PQ155" s="196"/>
      <c r="PR155" s="196"/>
      <c r="PS155" s="196"/>
      <c r="PT155" s="196"/>
      <c r="PU155" s="196"/>
      <c r="PV155" s="196"/>
      <c r="PW155" s="196"/>
      <c r="PX155" s="196"/>
      <c r="PY155" s="196"/>
      <c r="PZ155" s="196"/>
      <c r="QA155" s="196"/>
      <c r="QB155" s="196"/>
      <c r="QC155" s="196"/>
      <c r="QD155" s="196"/>
      <c r="QE155" s="196"/>
      <c r="QF155" s="196"/>
      <c r="QG155" s="196"/>
      <c r="QH155" s="196"/>
      <c r="QI155" s="196"/>
      <c r="QJ155" s="196"/>
      <c r="QK155" s="196"/>
      <c r="QL155" s="196"/>
      <c r="QM155" s="196"/>
      <c r="QN155" s="196"/>
      <c r="QO155" s="196"/>
      <c r="QP155" s="196"/>
      <c r="QQ155" s="196"/>
      <c r="QR155" s="196"/>
      <c r="QS155" s="196"/>
      <c r="QT155" s="196"/>
      <c r="QU155" s="196"/>
      <c r="QV155" s="196"/>
      <c r="QW155" s="196"/>
      <c r="QX155" s="196"/>
      <c r="QY155" s="196"/>
      <c r="QZ155" s="196"/>
      <c r="RA155" s="196"/>
      <c r="RB155" s="196"/>
      <c r="RC155" s="196"/>
      <c r="RD155" s="196"/>
      <c r="RE155" s="196"/>
      <c r="RF155" s="196"/>
      <c r="RG155" s="196"/>
      <c r="RH155" s="196"/>
      <c r="RI155" s="196"/>
      <c r="RJ155" s="196"/>
      <c r="RK155" s="196"/>
      <c r="RL155" s="196"/>
      <c r="RM155" s="196"/>
      <c r="RN155" s="196"/>
      <c r="RO155" s="196"/>
      <c r="RP155" s="196"/>
      <c r="RQ155" s="196"/>
      <c r="RR155" s="196"/>
      <c r="RS155" s="196"/>
      <c r="RT155" s="196"/>
      <c r="RU155" s="196"/>
      <c r="RV155" s="196"/>
      <c r="RW155" s="196"/>
      <c r="RX155" s="196"/>
      <c r="RY155" s="196"/>
      <c r="RZ155" s="196"/>
      <c r="SA155" s="196"/>
      <c r="SB155" s="196"/>
      <c r="SC155" s="196"/>
      <c r="SD155" s="196"/>
      <c r="SE155" s="196"/>
      <c r="SF155" s="196"/>
      <c r="SG155" s="196"/>
      <c r="SH155" s="196"/>
      <c r="SI155" s="196"/>
      <c r="SJ155" s="196"/>
      <c r="SK155" s="196"/>
      <c r="SL155" s="196"/>
      <c r="SM155" s="196"/>
      <c r="SN155" s="196"/>
      <c r="SO155" s="196"/>
      <c r="SP155" s="196"/>
      <c r="SQ155" s="196"/>
      <c r="SR155" s="196"/>
      <c r="SS155" s="196"/>
      <c r="ST155" s="196"/>
      <c r="SU155" s="196"/>
      <c r="SV155" s="196"/>
      <c r="SW155" s="196"/>
      <c r="SX155" s="196"/>
      <c r="SY155" s="196"/>
      <c r="SZ155" s="196"/>
      <c r="TA155" s="196"/>
      <c r="TB155" s="196"/>
      <c r="TC155" s="196"/>
      <c r="TD155" s="196"/>
      <c r="TE155" s="196"/>
      <c r="TF155" s="196"/>
      <c r="TG155" s="196"/>
      <c r="TH155" s="196"/>
      <c r="TI155" s="196"/>
      <c r="TJ155" s="196"/>
      <c r="TK155" s="196"/>
      <c r="TL155" s="196"/>
      <c r="TM155" s="196"/>
      <c r="TN155" s="196"/>
      <c r="TO155" s="196"/>
      <c r="TP155" s="196"/>
      <c r="TQ155" s="196"/>
      <c r="TR155" s="196"/>
      <c r="TS155" s="196"/>
      <c r="TT155" s="196"/>
      <c r="TU155" s="196"/>
      <c r="TV155" s="196"/>
      <c r="TW155" s="196"/>
      <c r="TX155" s="196"/>
      <c r="TY155" s="196"/>
      <c r="TZ155" s="196"/>
      <c r="UA155" s="196"/>
      <c r="UB155" s="196"/>
      <c r="UC155" s="196"/>
      <c r="UD155" s="196"/>
      <c r="UE155" s="196"/>
      <c r="UF155" s="196"/>
      <c r="UG155" s="196"/>
      <c r="UH155" s="196"/>
      <c r="UI155" s="196"/>
      <c r="UJ155" s="196"/>
      <c r="UK155" s="196"/>
      <c r="UL155" s="196"/>
      <c r="UM155" s="196"/>
      <c r="UN155" s="196"/>
      <c r="UO155" s="196"/>
      <c r="UP155" s="196"/>
      <c r="UQ155" s="196"/>
      <c r="UR155" s="196"/>
      <c r="US155" s="196"/>
      <c r="UT155" s="196"/>
      <c r="UU155" s="196"/>
      <c r="UV155" s="196"/>
      <c r="UW155" s="196"/>
      <c r="UX155" s="196"/>
      <c r="UY155" s="196"/>
      <c r="UZ155" s="196"/>
      <c r="VA155" s="196"/>
      <c r="VB155" s="196"/>
      <c r="VC155" s="196"/>
      <c r="VD155" s="196"/>
      <c r="VE155" s="196"/>
      <c r="VF155" s="196"/>
      <c r="VG155" s="196"/>
      <c r="VH155" s="196"/>
      <c r="VI155" s="196"/>
      <c r="VJ155" s="196"/>
      <c r="VK155" s="196"/>
      <c r="VL155" s="196"/>
      <c r="VM155" s="196"/>
      <c r="VN155" s="196"/>
      <c r="VO155" s="196"/>
      <c r="VP155" s="196"/>
      <c r="VQ155" s="196"/>
      <c r="VR155" s="196"/>
      <c r="VS155" s="196"/>
      <c r="VT155" s="196"/>
      <c r="VU155" s="196"/>
      <c r="VV155" s="196"/>
      <c r="VW155" s="196"/>
      <c r="VX155" s="196"/>
      <c r="VY155" s="196"/>
      <c r="VZ155" s="196"/>
      <c r="WA155" s="196"/>
      <c r="WB155" s="196"/>
      <c r="WC155" s="196"/>
      <c r="WD155" s="196"/>
      <c r="WE155" s="196"/>
      <c r="WF155" s="196"/>
      <c r="WG155" s="196"/>
      <c r="WH155" s="196"/>
      <c r="WI155" s="196"/>
      <c r="WJ155" s="196"/>
      <c r="WK155" s="196"/>
      <c r="WL155" s="196"/>
      <c r="WM155" s="196"/>
      <c r="WN155" s="196"/>
      <c r="WO155" s="196"/>
      <c r="WP155" s="196"/>
      <c r="WQ155" s="196"/>
      <c r="WR155" s="196"/>
      <c r="WS155" s="196"/>
      <c r="WT155" s="196"/>
      <c r="WU155" s="196"/>
      <c r="WV155" s="196"/>
      <c r="WW155" s="196"/>
      <c r="WX155" s="196"/>
      <c r="WY155" s="196"/>
      <c r="WZ155" s="196"/>
      <c r="XA155" s="196"/>
      <c r="XB155" s="196"/>
      <c r="XC155" s="196"/>
      <c r="XD155" s="196"/>
      <c r="XE155" s="196"/>
      <c r="XF155" s="196"/>
      <c r="XG155" s="196"/>
      <c r="XH155" s="196"/>
      <c r="XI155" s="196"/>
      <c r="XJ155" s="196"/>
      <c r="XK155" s="196"/>
      <c r="XL155" s="196"/>
      <c r="XM155" s="196"/>
      <c r="XN155" s="196"/>
      <c r="XO155" s="196"/>
      <c r="XP155" s="196"/>
      <c r="XQ155" s="196"/>
      <c r="XR155" s="196"/>
      <c r="XS155" s="196"/>
      <c r="XT155" s="196"/>
      <c r="XU155" s="196"/>
      <c r="XV155" s="196"/>
      <c r="XW155" s="196"/>
      <c r="XX155" s="196"/>
      <c r="XY155" s="196"/>
      <c r="XZ155" s="196"/>
      <c r="YA155" s="196"/>
      <c r="YB155" s="196"/>
      <c r="YC155" s="196"/>
      <c r="YD155" s="196"/>
      <c r="YE155" s="196"/>
      <c r="YF155" s="196"/>
      <c r="YG155" s="196"/>
      <c r="YH155" s="196"/>
      <c r="YI155" s="196"/>
      <c r="YJ155" s="196"/>
      <c r="YK155" s="196"/>
      <c r="YL155" s="196"/>
      <c r="YM155" s="196"/>
      <c r="YN155" s="196"/>
      <c r="YO155" s="196"/>
      <c r="YP155" s="196"/>
      <c r="YQ155" s="196"/>
      <c r="YR155" s="196"/>
      <c r="YS155" s="196"/>
      <c r="YT155" s="196"/>
      <c r="YU155" s="196"/>
      <c r="YV155" s="196"/>
      <c r="YW155" s="196"/>
      <c r="YX155" s="196"/>
      <c r="YY155" s="196"/>
      <c r="YZ155" s="196"/>
      <c r="ZA155" s="196"/>
      <c r="ZB155" s="196"/>
      <c r="ZC155" s="196"/>
      <c r="ZD155" s="196"/>
      <c r="ZE155" s="196"/>
      <c r="ZF155" s="196"/>
      <c r="ZG155" s="196"/>
      <c r="ZH155" s="196"/>
      <c r="ZI155" s="196"/>
      <c r="ZJ155" s="196"/>
      <c r="ZK155" s="196"/>
      <c r="ZL155" s="196"/>
      <c r="ZM155" s="196"/>
      <c r="ZN155" s="196"/>
      <c r="ZO155" s="196"/>
      <c r="ZP155" s="196"/>
      <c r="ZQ155" s="196"/>
      <c r="ZR155" s="196"/>
      <c r="ZS155" s="196"/>
      <c r="ZT155" s="196"/>
      <c r="ZU155" s="196"/>
      <c r="ZV155" s="196"/>
      <c r="ZW155" s="196"/>
      <c r="ZX155" s="196"/>
      <c r="ZY155" s="196"/>
      <c r="ZZ155" s="196"/>
      <c r="AAA155" s="196"/>
      <c r="AAB155" s="196"/>
      <c r="AAC155" s="196"/>
      <c r="AAD155" s="196"/>
      <c r="AAE155" s="196"/>
      <c r="AAF155" s="196"/>
      <c r="AAG155" s="196"/>
      <c r="AAH155" s="196"/>
      <c r="AAI155" s="196"/>
      <c r="AAJ155" s="196"/>
      <c r="AAK155" s="196"/>
      <c r="AAL155" s="196"/>
      <c r="AAM155" s="196"/>
      <c r="AAN155" s="196"/>
      <c r="AAO155" s="196"/>
      <c r="AAP155" s="196"/>
      <c r="AAQ155" s="196"/>
      <c r="AAR155" s="196"/>
      <c r="AAS155" s="196"/>
      <c r="AAT155" s="196"/>
      <c r="AAU155" s="196"/>
      <c r="AAV155" s="196"/>
      <c r="AAW155" s="196"/>
      <c r="AAX155" s="196"/>
      <c r="AAY155" s="196"/>
      <c r="AAZ155" s="196"/>
      <c r="ABA155" s="196"/>
      <c r="ABB155" s="196"/>
      <c r="ABC155" s="196"/>
      <c r="ABD155" s="196"/>
      <c r="ABE155" s="196"/>
      <c r="ABF155" s="196"/>
      <c r="ABG155" s="196"/>
      <c r="ABH155" s="196"/>
      <c r="ABI155" s="196"/>
      <c r="ABJ155" s="196"/>
      <c r="ABK155" s="196"/>
      <c r="ABL155" s="196"/>
      <c r="ABM155" s="196"/>
      <c r="ABN155" s="196"/>
      <c r="ABO155" s="196"/>
      <c r="ABP155" s="196"/>
      <c r="ABQ155" s="196"/>
      <c r="ABR155" s="196"/>
      <c r="ABS155" s="196"/>
      <c r="ABT155" s="196"/>
      <c r="ABU155" s="196"/>
      <c r="ABV155" s="196"/>
      <c r="ABW155" s="196"/>
      <c r="ABX155" s="196"/>
      <c r="ABY155" s="196"/>
      <c r="ABZ155" s="196"/>
      <c r="ACA155" s="196"/>
      <c r="ACB155" s="196"/>
      <c r="ACC155" s="196"/>
      <c r="ACD155" s="196"/>
      <c r="ACE155" s="196"/>
      <c r="ACF155" s="196"/>
      <c r="ACG155" s="196"/>
      <c r="ACH155" s="196"/>
      <c r="ACI155" s="196"/>
      <c r="ACJ155" s="196"/>
      <c r="ACK155" s="196"/>
      <c r="ACL155" s="196"/>
      <c r="ACM155" s="196"/>
      <c r="ACN155" s="196"/>
      <c r="ACO155" s="196"/>
      <c r="ACP155" s="196"/>
      <c r="ACQ155" s="196"/>
      <c r="ACR155" s="196"/>
      <c r="ACS155" s="196"/>
      <c r="ACT155" s="196"/>
      <c r="ACU155" s="196"/>
      <c r="ACV155" s="196"/>
      <c r="ACW155" s="196"/>
      <c r="ACX155" s="196"/>
      <c r="ACY155" s="196"/>
      <c r="ACZ155" s="196"/>
      <c r="ADA155" s="196"/>
      <c r="ADB155" s="196"/>
      <c r="ADC155" s="196"/>
      <c r="ADD155" s="196"/>
      <c r="ADE155" s="196"/>
      <c r="ADF155" s="196"/>
      <c r="ADG155" s="196"/>
      <c r="ADH155" s="196"/>
      <c r="ADI155" s="196"/>
      <c r="ADJ155" s="196"/>
      <c r="ADK155" s="196"/>
      <c r="ADL155" s="196"/>
      <c r="ADM155" s="196"/>
      <c r="ADN155" s="196"/>
      <c r="ADO155" s="196"/>
      <c r="ADP155" s="196"/>
      <c r="ADQ155" s="196"/>
      <c r="ADR155" s="196"/>
      <c r="ADS155" s="196"/>
      <c r="ADT155" s="196"/>
      <c r="ADU155" s="196"/>
      <c r="ADV155" s="196"/>
      <c r="ADW155" s="196"/>
      <c r="ADX155" s="196"/>
      <c r="ADY155" s="196"/>
      <c r="ADZ155" s="196"/>
      <c r="AEA155" s="196"/>
      <c r="AEB155" s="196"/>
      <c r="AEC155" s="196"/>
      <c r="AED155" s="196"/>
      <c r="AEE155" s="196"/>
      <c r="AEF155" s="196"/>
      <c r="AEG155" s="196"/>
      <c r="AEH155" s="196"/>
      <c r="AEI155" s="196"/>
      <c r="AEJ155" s="196"/>
      <c r="AEK155" s="196"/>
      <c r="AEL155" s="196"/>
      <c r="AEM155" s="196"/>
      <c r="AEN155" s="196"/>
      <c r="AEO155" s="196"/>
      <c r="AEP155" s="196"/>
      <c r="AEQ155" s="196"/>
      <c r="AER155" s="196"/>
      <c r="AES155" s="196"/>
      <c r="AET155" s="196"/>
      <c r="AEU155" s="196"/>
      <c r="AEV155" s="196"/>
      <c r="AEW155" s="196"/>
      <c r="AEX155" s="196"/>
      <c r="AEY155" s="196"/>
      <c r="AEZ155" s="196"/>
      <c r="AFA155" s="196"/>
      <c r="AFB155" s="196"/>
      <c r="AFC155" s="196"/>
      <c r="AFD155" s="196"/>
      <c r="AFE155" s="196"/>
      <c r="AFF155" s="196"/>
      <c r="AFG155" s="196"/>
      <c r="AFH155" s="196"/>
      <c r="AFI155" s="196"/>
      <c r="AFJ155" s="196"/>
      <c r="AFK155" s="196"/>
      <c r="AFL155" s="196"/>
      <c r="AFM155" s="196"/>
      <c r="AFN155" s="196"/>
      <c r="AFO155" s="196"/>
      <c r="AFP155" s="196"/>
      <c r="AFQ155" s="196"/>
      <c r="AFR155" s="196"/>
      <c r="AFS155" s="196"/>
      <c r="AFT155" s="196"/>
      <c r="AFU155" s="196"/>
      <c r="AFV155" s="196"/>
      <c r="AFW155" s="196"/>
      <c r="AFX155" s="196"/>
      <c r="AFY155" s="196"/>
      <c r="AFZ155" s="196"/>
      <c r="AGA155" s="196"/>
      <c r="AGB155" s="196"/>
      <c r="AGC155" s="196"/>
      <c r="AGD155" s="196"/>
      <c r="AGE155" s="196"/>
      <c r="AGF155" s="196"/>
      <c r="AGG155" s="196"/>
      <c r="AGH155" s="196"/>
      <c r="AGI155" s="196"/>
      <c r="AGJ155" s="196"/>
      <c r="AGK155" s="196"/>
      <c r="AGL155" s="196"/>
      <c r="AGM155" s="196"/>
      <c r="AGN155" s="196"/>
      <c r="AGO155" s="196"/>
      <c r="AGP155" s="196"/>
      <c r="AGQ155" s="196"/>
      <c r="AGR155" s="196"/>
      <c r="AGS155" s="196"/>
      <c r="AGT155" s="196"/>
      <c r="AGU155" s="196"/>
      <c r="AGV155" s="196"/>
      <c r="AGW155" s="196"/>
      <c r="AGX155" s="196"/>
      <c r="AGY155" s="196"/>
      <c r="AGZ155" s="196"/>
      <c r="AHA155" s="196"/>
      <c r="AHB155" s="196"/>
      <c r="AHC155" s="196"/>
      <c r="AHD155" s="196"/>
      <c r="AHE155" s="196"/>
      <c r="AHF155" s="196"/>
      <c r="AHG155" s="196"/>
      <c r="AHH155" s="196"/>
      <c r="AHI155" s="196"/>
      <c r="AHJ155" s="196"/>
      <c r="AHK155" s="196"/>
      <c r="AHL155" s="196"/>
      <c r="AHM155" s="196"/>
      <c r="AHN155" s="196"/>
      <c r="AHO155" s="196"/>
      <c r="AHP155" s="196"/>
      <c r="AHQ155" s="196"/>
      <c r="AHR155" s="196"/>
      <c r="AHS155" s="196"/>
      <c r="AHT155" s="196"/>
      <c r="AHU155" s="196"/>
      <c r="AHV155" s="196"/>
      <c r="AHW155" s="196"/>
      <c r="AHX155" s="196"/>
      <c r="AHY155" s="196"/>
      <c r="AHZ155" s="196"/>
      <c r="AIA155" s="196"/>
      <c r="AIB155" s="196"/>
      <c r="AIC155" s="196"/>
      <c r="AID155" s="196"/>
      <c r="AIE155" s="196"/>
      <c r="AIF155" s="196"/>
      <c r="AIG155" s="196"/>
      <c r="AIH155" s="196"/>
      <c r="AII155" s="196"/>
      <c r="AIJ155" s="196"/>
      <c r="AIK155" s="196"/>
      <c r="AIL155" s="196"/>
      <c r="AIM155" s="196"/>
      <c r="AIN155" s="196"/>
      <c r="AIO155" s="196"/>
      <c r="AIP155" s="196"/>
      <c r="AIQ155" s="196"/>
      <c r="AIR155" s="196"/>
      <c r="AIS155" s="196"/>
      <c r="AIT155" s="196"/>
      <c r="AIU155" s="196"/>
      <c r="AIV155" s="196"/>
      <c r="AIW155" s="196"/>
      <c r="AIX155" s="196"/>
      <c r="AIY155" s="196"/>
      <c r="AIZ155" s="196"/>
      <c r="AJA155" s="196"/>
      <c r="AJB155" s="196"/>
      <c r="AJC155" s="196"/>
      <c r="AJD155" s="196"/>
      <c r="AJE155" s="196"/>
      <c r="AJF155" s="196"/>
      <c r="AJG155" s="196"/>
      <c r="AJH155" s="196"/>
      <c r="AJI155" s="196"/>
      <c r="AJJ155" s="196"/>
      <c r="AJK155" s="196"/>
      <c r="AJL155" s="196"/>
      <c r="AJM155" s="196"/>
      <c r="AJN155" s="196"/>
      <c r="AJO155" s="196"/>
      <c r="AJP155" s="196"/>
      <c r="AJQ155" s="196"/>
      <c r="AJR155" s="196"/>
      <c r="AJS155" s="196"/>
      <c r="AJT155" s="196"/>
      <c r="AJU155" s="196"/>
      <c r="AJV155" s="196"/>
      <c r="AJW155" s="196"/>
      <c r="AJX155" s="196"/>
      <c r="AJY155" s="196"/>
      <c r="AJZ155" s="196"/>
      <c r="AKA155" s="196"/>
      <c r="AKB155" s="196"/>
      <c r="AKC155" s="196"/>
      <c r="AKD155" s="196"/>
      <c r="AKE155" s="196"/>
      <c r="AKF155" s="196"/>
      <c r="AKG155" s="196"/>
      <c r="AKH155" s="196"/>
      <c r="AKI155" s="196"/>
      <c r="AKJ155" s="196"/>
      <c r="AKK155" s="196"/>
      <c r="AKL155" s="196"/>
      <c r="AKM155" s="196"/>
      <c r="AKN155" s="196"/>
      <c r="AKO155" s="196"/>
      <c r="AKP155" s="196"/>
      <c r="AKQ155" s="196"/>
      <c r="AKR155" s="196"/>
      <c r="AKS155" s="196"/>
      <c r="AKT155" s="196"/>
      <c r="AKU155" s="196"/>
      <c r="AKV155" s="196"/>
      <c r="AKW155" s="196"/>
      <c r="AKX155" s="196"/>
      <c r="AKY155" s="196"/>
      <c r="AKZ155" s="196"/>
      <c r="ALA155" s="196"/>
      <c r="ALB155" s="196"/>
      <c r="ALC155" s="196"/>
      <c r="ALD155" s="196"/>
      <c r="ALE155" s="196"/>
      <c r="ALF155" s="196"/>
      <c r="ALG155" s="196"/>
      <c r="ALH155" s="196"/>
      <c r="ALI155" s="196"/>
      <c r="ALJ155" s="196"/>
      <c r="ALK155" s="196"/>
      <c r="ALL155" s="196"/>
      <c r="ALM155" s="196"/>
      <c r="ALN155" s="196"/>
      <c r="ALO155" s="196"/>
      <c r="ALP155" s="196"/>
      <c r="ALQ155" s="196"/>
      <c r="ALR155" s="196"/>
      <c r="ALS155" s="196"/>
      <c r="ALT155" s="196"/>
      <c r="ALU155" s="196"/>
      <c r="ALV155" s="196"/>
      <c r="ALW155" s="196"/>
      <c r="ALX155" s="196"/>
      <c r="ALY155" s="196"/>
      <c r="ALZ155" s="196"/>
      <c r="AMA155" s="196"/>
      <c r="AMB155" s="196"/>
      <c r="AMC155" s="196"/>
      <c r="AMD155" s="196"/>
      <c r="AME155" s="196"/>
      <c r="AMF155" s="196"/>
      <c r="AMG155" s="196"/>
      <c r="AMH155" s="196"/>
      <c r="AMI155" s="196"/>
      <c r="AMJ155" s="196"/>
    </row>
    <row r="156" customFormat="false" ht="15.75" hidden="false" customHeight="true" outlineLevel="0" collapsed="false">
      <c r="A156" s="196"/>
      <c r="B156" s="72" t="s">
        <v>143</v>
      </c>
      <c r="C156" s="73" t="s">
        <v>137</v>
      </c>
      <c r="D156" s="74" t="n">
        <v>910</v>
      </c>
      <c r="E156" s="74"/>
      <c r="F156" s="157" t="n">
        <v>20</v>
      </c>
      <c r="G156" s="10"/>
      <c r="H156" s="206"/>
      <c r="I156" s="207"/>
      <c r="J156" s="208"/>
      <c r="K156" s="208"/>
      <c r="L156" s="209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  <c r="AY156" s="196"/>
      <c r="AZ156" s="196"/>
      <c r="BA156" s="196"/>
      <c r="BB156" s="196"/>
      <c r="BC156" s="196"/>
      <c r="BD156" s="196"/>
      <c r="BE156" s="196"/>
      <c r="BF156" s="196"/>
      <c r="BG156" s="196"/>
      <c r="BH156" s="196"/>
      <c r="BI156" s="196"/>
      <c r="BJ156" s="196"/>
      <c r="BK156" s="196"/>
      <c r="BL156" s="196"/>
      <c r="BM156" s="196"/>
      <c r="BN156" s="196"/>
      <c r="BO156" s="196"/>
      <c r="BP156" s="196"/>
      <c r="BQ156" s="196"/>
      <c r="BR156" s="196"/>
      <c r="BS156" s="196"/>
      <c r="BT156" s="196"/>
      <c r="BU156" s="196"/>
      <c r="BV156" s="196"/>
      <c r="BW156" s="196"/>
      <c r="BX156" s="196"/>
      <c r="BY156" s="196"/>
      <c r="BZ156" s="196"/>
      <c r="CA156" s="196"/>
      <c r="CB156" s="196"/>
      <c r="CC156" s="196"/>
      <c r="CD156" s="196"/>
      <c r="CE156" s="196"/>
      <c r="CF156" s="196"/>
      <c r="CG156" s="196"/>
      <c r="CH156" s="196"/>
      <c r="CI156" s="196"/>
      <c r="CJ156" s="196"/>
      <c r="CK156" s="196"/>
      <c r="CL156" s="196"/>
      <c r="CM156" s="196"/>
      <c r="CN156" s="196"/>
      <c r="CO156" s="196"/>
      <c r="CP156" s="196"/>
      <c r="CQ156" s="196"/>
      <c r="CR156" s="196"/>
      <c r="CS156" s="196"/>
      <c r="CT156" s="196"/>
      <c r="CU156" s="196"/>
      <c r="CV156" s="196"/>
      <c r="CW156" s="196"/>
      <c r="CX156" s="196"/>
      <c r="CY156" s="196"/>
      <c r="CZ156" s="196"/>
      <c r="DA156" s="196"/>
      <c r="DB156" s="196"/>
      <c r="DC156" s="196"/>
      <c r="DD156" s="196"/>
      <c r="DE156" s="196"/>
      <c r="DF156" s="196"/>
      <c r="DG156" s="196"/>
      <c r="DH156" s="196"/>
      <c r="DI156" s="196"/>
      <c r="DJ156" s="196"/>
      <c r="DK156" s="196"/>
      <c r="DL156" s="196"/>
      <c r="DM156" s="196"/>
      <c r="DN156" s="196"/>
      <c r="DO156" s="196"/>
      <c r="DP156" s="196"/>
      <c r="DQ156" s="196"/>
      <c r="DR156" s="196"/>
      <c r="DS156" s="196"/>
      <c r="DT156" s="196"/>
      <c r="DU156" s="196"/>
      <c r="DV156" s="196"/>
      <c r="DW156" s="196"/>
      <c r="DX156" s="196"/>
      <c r="DY156" s="196"/>
      <c r="DZ156" s="196"/>
      <c r="EA156" s="196"/>
      <c r="EB156" s="196"/>
      <c r="EC156" s="196"/>
      <c r="ED156" s="196"/>
      <c r="EE156" s="196"/>
      <c r="EF156" s="196"/>
      <c r="EG156" s="196"/>
      <c r="EH156" s="196"/>
      <c r="EI156" s="196"/>
      <c r="EJ156" s="196"/>
      <c r="EK156" s="196"/>
      <c r="EL156" s="196"/>
      <c r="EM156" s="196"/>
      <c r="EN156" s="196"/>
      <c r="EO156" s="196"/>
      <c r="EP156" s="196"/>
      <c r="EQ156" s="196"/>
      <c r="ER156" s="196"/>
      <c r="ES156" s="196"/>
      <c r="ET156" s="196"/>
      <c r="EU156" s="196"/>
      <c r="EV156" s="196"/>
      <c r="EW156" s="196"/>
      <c r="EX156" s="196"/>
      <c r="EY156" s="196"/>
      <c r="EZ156" s="196"/>
      <c r="FA156" s="196"/>
      <c r="FB156" s="196"/>
      <c r="FC156" s="196"/>
      <c r="FD156" s="196"/>
      <c r="FE156" s="196"/>
      <c r="FF156" s="196"/>
      <c r="FG156" s="196"/>
      <c r="FH156" s="196"/>
      <c r="FI156" s="196"/>
      <c r="FJ156" s="196"/>
      <c r="FK156" s="196"/>
      <c r="FL156" s="196"/>
      <c r="FM156" s="196"/>
      <c r="FN156" s="196"/>
      <c r="FO156" s="196"/>
      <c r="FP156" s="196"/>
      <c r="FQ156" s="196"/>
      <c r="FR156" s="196"/>
      <c r="FS156" s="196"/>
      <c r="FT156" s="196"/>
      <c r="FU156" s="196"/>
      <c r="FV156" s="196"/>
      <c r="FW156" s="196"/>
      <c r="FX156" s="196"/>
      <c r="FY156" s="196"/>
      <c r="FZ156" s="196"/>
      <c r="GA156" s="196"/>
      <c r="GB156" s="196"/>
      <c r="GC156" s="196"/>
      <c r="GD156" s="196"/>
      <c r="GE156" s="196"/>
      <c r="GF156" s="196"/>
      <c r="GG156" s="196"/>
      <c r="GH156" s="196"/>
      <c r="GI156" s="196"/>
      <c r="GJ156" s="196"/>
      <c r="GK156" s="196"/>
      <c r="GL156" s="196"/>
      <c r="GM156" s="196"/>
      <c r="GN156" s="196"/>
      <c r="GO156" s="196"/>
      <c r="GP156" s="196"/>
      <c r="GQ156" s="196"/>
      <c r="GR156" s="196"/>
      <c r="GS156" s="196"/>
      <c r="GT156" s="196"/>
      <c r="GU156" s="196"/>
      <c r="GV156" s="196"/>
      <c r="GW156" s="196"/>
      <c r="GX156" s="196"/>
      <c r="GY156" s="196"/>
      <c r="GZ156" s="196"/>
      <c r="HA156" s="196"/>
      <c r="HB156" s="196"/>
      <c r="HC156" s="196"/>
      <c r="HD156" s="196"/>
      <c r="HE156" s="196"/>
      <c r="HF156" s="196"/>
      <c r="HG156" s="196"/>
      <c r="HH156" s="196"/>
      <c r="HI156" s="196"/>
      <c r="HJ156" s="196"/>
      <c r="HK156" s="196"/>
      <c r="HL156" s="196"/>
      <c r="HM156" s="196"/>
      <c r="HN156" s="196"/>
      <c r="HO156" s="196"/>
      <c r="HP156" s="196"/>
      <c r="HQ156" s="196"/>
      <c r="HR156" s="196"/>
      <c r="HS156" s="196"/>
      <c r="HT156" s="196"/>
      <c r="HU156" s="196"/>
      <c r="HV156" s="196"/>
      <c r="HW156" s="196"/>
      <c r="HX156" s="196"/>
      <c r="HY156" s="196"/>
      <c r="HZ156" s="196"/>
      <c r="IA156" s="196"/>
      <c r="IB156" s="196"/>
      <c r="IC156" s="196"/>
      <c r="ID156" s="196"/>
      <c r="IE156" s="196"/>
      <c r="IF156" s="196"/>
      <c r="IG156" s="196"/>
      <c r="IH156" s="196"/>
      <c r="II156" s="196"/>
      <c r="IJ156" s="196"/>
      <c r="IK156" s="196"/>
      <c r="IL156" s="196"/>
      <c r="IM156" s="196"/>
      <c r="IN156" s="196"/>
      <c r="IO156" s="196"/>
      <c r="IP156" s="196"/>
      <c r="IQ156" s="196"/>
      <c r="IR156" s="196"/>
      <c r="IS156" s="196"/>
      <c r="IT156" s="196"/>
      <c r="IU156" s="196"/>
      <c r="IV156" s="196"/>
      <c r="IW156" s="196"/>
      <c r="IX156" s="196"/>
      <c r="IY156" s="196"/>
      <c r="IZ156" s="196"/>
      <c r="JA156" s="196"/>
      <c r="JB156" s="196"/>
      <c r="JC156" s="196"/>
      <c r="JD156" s="196"/>
      <c r="JE156" s="196"/>
      <c r="JF156" s="196"/>
      <c r="JG156" s="196"/>
      <c r="JH156" s="196"/>
      <c r="JI156" s="196"/>
      <c r="JJ156" s="196"/>
      <c r="JK156" s="196"/>
      <c r="JL156" s="196"/>
      <c r="JM156" s="196"/>
      <c r="JN156" s="196"/>
      <c r="JO156" s="196"/>
      <c r="JP156" s="196"/>
      <c r="JQ156" s="196"/>
      <c r="JR156" s="196"/>
      <c r="JS156" s="196"/>
      <c r="JT156" s="196"/>
      <c r="JU156" s="196"/>
      <c r="JV156" s="196"/>
      <c r="JW156" s="196"/>
      <c r="JX156" s="196"/>
      <c r="JY156" s="196"/>
      <c r="JZ156" s="196"/>
      <c r="KA156" s="196"/>
      <c r="KB156" s="196"/>
      <c r="KC156" s="196"/>
      <c r="KD156" s="196"/>
      <c r="KE156" s="196"/>
      <c r="KF156" s="196"/>
      <c r="KG156" s="196"/>
      <c r="KH156" s="196"/>
      <c r="KI156" s="196"/>
      <c r="KJ156" s="196"/>
      <c r="KK156" s="196"/>
      <c r="KL156" s="196"/>
      <c r="KM156" s="196"/>
      <c r="KN156" s="196"/>
      <c r="KO156" s="196"/>
      <c r="KP156" s="196"/>
      <c r="KQ156" s="196"/>
      <c r="KR156" s="196"/>
      <c r="KS156" s="196"/>
      <c r="KT156" s="196"/>
      <c r="KU156" s="196"/>
      <c r="KV156" s="196"/>
      <c r="KW156" s="196"/>
      <c r="KX156" s="196"/>
      <c r="KY156" s="196"/>
      <c r="KZ156" s="196"/>
      <c r="LA156" s="196"/>
      <c r="LB156" s="196"/>
      <c r="LC156" s="196"/>
      <c r="LD156" s="196"/>
      <c r="LE156" s="196"/>
      <c r="LF156" s="196"/>
      <c r="LG156" s="196"/>
      <c r="LH156" s="196"/>
      <c r="LI156" s="196"/>
      <c r="LJ156" s="196"/>
      <c r="LK156" s="196"/>
      <c r="LL156" s="196"/>
      <c r="LM156" s="196"/>
      <c r="LN156" s="196"/>
      <c r="LO156" s="196"/>
      <c r="LP156" s="196"/>
      <c r="LQ156" s="196"/>
      <c r="LR156" s="196"/>
      <c r="LS156" s="196"/>
      <c r="LT156" s="196"/>
      <c r="LU156" s="196"/>
      <c r="LV156" s="196"/>
      <c r="LW156" s="196"/>
      <c r="LX156" s="196"/>
      <c r="LY156" s="196"/>
      <c r="LZ156" s="196"/>
      <c r="MA156" s="196"/>
      <c r="MB156" s="196"/>
      <c r="MC156" s="196"/>
      <c r="MD156" s="196"/>
      <c r="ME156" s="196"/>
      <c r="MF156" s="196"/>
      <c r="MG156" s="196"/>
      <c r="MH156" s="196"/>
      <c r="MI156" s="196"/>
      <c r="MJ156" s="196"/>
      <c r="MK156" s="196"/>
      <c r="ML156" s="196"/>
      <c r="MM156" s="196"/>
      <c r="MN156" s="196"/>
      <c r="MO156" s="196"/>
      <c r="MP156" s="196"/>
      <c r="MQ156" s="196"/>
      <c r="MR156" s="196"/>
      <c r="MS156" s="196"/>
      <c r="MT156" s="196"/>
      <c r="MU156" s="196"/>
      <c r="MV156" s="196"/>
      <c r="MW156" s="196"/>
      <c r="MX156" s="196"/>
      <c r="MY156" s="196"/>
      <c r="MZ156" s="196"/>
      <c r="NA156" s="196"/>
      <c r="NB156" s="196"/>
      <c r="NC156" s="196"/>
      <c r="ND156" s="196"/>
      <c r="NE156" s="196"/>
      <c r="NF156" s="196"/>
      <c r="NG156" s="196"/>
      <c r="NH156" s="196"/>
      <c r="NI156" s="196"/>
      <c r="NJ156" s="196"/>
      <c r="NK156" s="196"/>
      <c r="NL156" s="196"/>
      <c r="NM156" s="196"/>
      <c r="NN156" s="196"/>
      <c r="NO156" s="196"/>
      <c r="NP156" s="196"/>
      <c r="NQ156" s="196"/>
      <c r="NR156" s="196"/>
      <c r="NS156" s="196"/>
      <c r="NT156" s="196"/>
      <c r="NU156" s="196"/>
      <c r="NV156" s="196"/>
      <c r="NW156" s="196"/>
      <c r="NX156" s="196"/>
      <c r="NY156" s="196"/>
      <c r="NZ156" s="196"/>
      <c r="OA156" s="196"/>
      <c r="OB156" s="196"/>
      <c r="OC156" s="196"/>
      <c r="OD156" s="196"/>
      <c r="OE156" s="196"/>
      <c r="OF156" s="196"/>
      <c r="OG156" s="196"/>
      <c r="OH156" s="196"/>
      <c r="OI156" s="196"/>
      <c r="OJ156" s="196"/>
      <c r="OK156" s="196"/>
      <c r="OL156" s="196"/>
      <c r="OM156" s="196"/>
      <c r="ON156" s="196"/>
      <c r="OO156" s="196"/>
      <c r="OP156" s="196"/>
      <c r="OQ156" s="196"/>
      <c r="OR156" s="196"/>
      <c r="OS156" s="196"/>
      <c r="OT156" s="196"/>
      <c r="OU156" s="196"/>
      <c r="OV156" s="196"/>
      <c r="OW156" s="196"/>
      <c r="OX156" s="196"/>
      <c r="OY156" s="196"/>
      <c r="OZ156" s="196"/>
      <c r="PA156" s="196"/>
      <c r="PB156" s="196"/>
      <c r="PC156" s="196"/>
      <c r="PD156" s="196"/>
      <c r="PE156" s="196"/>
      <c r="PF156" s="196"/>
      <c r="PG156" s="196"/>
      <c r="PH156" s="196"/>
      <c r="PI156" s="196"/>
      <c r="PJ156" s="196"/>
      <c r="PK156" s="196"/>
      <c r="PL156" s="196"/>
      <c r="PM156" s="196"/>
      <c r="PN156" s="196"/>
      <c r="PO156" s="196"/>
      <c r="PP156" s="196"/>
      <c r="PQ156" s="196"/>
      <c r="PR156" s="196"/>
      <c r="PS156" s="196"/>
      <c r="PT156" s="196"/>
      <c r="PU156" s="196"/>
      <c r="PV156" s="196"/>
      <c r="PW156" s="196"/>
      <c r="PX156" s="196"/>
      <c r="PY156" s="196"/>
      <c r="PZ156" s="196"/>
      <c r="QA156" s="196"/>
      <c r="QB156" s="196"/>
      <c r="QC156" s="196"/>
      <c r="QD156" s="196"/>
      <c r="QE156" s="196"/>
      <c r="QF156" s="196"/>
      <c r="QG156" s="196"/>
      <c r="QH156" s="196"/>
      <c r="QI156" s="196"/>
      <c r="QJ156" s="196"/>
      <c r="QK156" s="196"/>
      <c r="QL156" s="196"/>
      <c r="QM156" s="196"/>
      <c r="QN156" s="196"/>
      <c r="QO156" s="196"/>
      <c r="QP156" s="196"/>
      <c r="QQ156" s="196"/>
      <c r="QR156" s="196"/>
      <c r="QS156" s="196"/>
      <c r="QT156" s="196"/>
      <c r="QU156" s="196"/>
      <c r="QV156" s="196"/>
      <c r="QW156" s="196"/>
      <c r="QX156" s="196"/>
      <c r="QY156" s="196"/>
      <c r="QZ156" s="196"/>
      <c r="RA156" s="196"/>
      <c r="RB156" s="196"/>
      <c r="RC156" s="196"/>
      <c r="RD156" s="196"/>
      <c r="RE156" s="196"/>
      <c r="RF156" s="196"/>
      <c r="RG156" s="196"/>
      <c r="RH156" s="196"/>
      <c r="RI156" s="196"/>
      <c r="RJ156" s="196"/>
      <c r="RK156" s="196"/>
      <c r="RL156" s="196"/>
      <c r="RM156" s="196"/>
      <c r="RN156" s="196"/>
      <c r="RO156" s="196"/>
      <c r="RP156" s="196"/>
      <c r="RQ156" s="196"/>
      <c r="RR156" s="196"/>
      <c r="RS156" s="196"/>
      <c r="RT156" s="196"/>
      <c r="RU156" s="196"/>
      <c r="RV156" s="196"/>
      <c r="RW156" s="196"/>
      <c r="RX156" s="196"/>
      <c r="RY156" s="196"/>
      <c r="RZ156" s="196"/>
      <c r="SA156" s="196"/>
      <c r="SB156" s="196"/>
      <c r="SC156" s="196"/>
      <c r="SD156" s="196"/>
      <c r="SE156" s="196"/>
      <c r="SF156" s="196"/>
      <c r="SG156" s="196"/>
      <c r="SH156" s="196"/>
      <c r="SI156" s="196"/>
      <c r="SJ156" s="196"/>
      <c r="SK156" s="196"/>
      <c r="SL156" s="196"/>
      <c r="SM156" s="196"/>
      <c r="SN156" s="196"/>
      <c r="SO156" s="196"/>
      <c r="SP156" s="196"/>
      <c r="SQ156" s="196"/>
      <c r="SR156" s="196"/>
      <c r="SS156" s="196"/>
      <c r="ST156" s="196"/>
      <c r="SU156" s="196"/>
      <c r="SV156" s="196"/>
      <c r="SW156" s="196"/>
      <c r="SX156" s="196"/>
      <c r="SY156" s="196"/>
      <c r="SZ156" s="196"/>
      <c r="TA156" s="196"/>
      <c r="TB156" s="196"/>
      <c r="TC156" s="196"/>
      <c r="TD156" s="196"/>
      <c r="TE156" s="196"/>
      <c r="TF156" s="196"/>
      <c r="TG156" s="196"/>
      <c r="TH156" s="196"/>
      <c r="TI156" s="196"/>
      <c r="TJ156" s="196"/>
      <c r="TK156" s="196"/>
      <c r="TL156" s="196"/>
      <c r="TM156" s="196"/>
      <c r="TN156" s="196"/>
      <c r="TO156" s="196"/>
      <c r="TP156" s="196"/>
      <c r="TQ156" s="196"/>
      <c r="TR156" s="196"/>
      <c r="TS156" s="196"/>
      <c r="TT156" s="196"/>
      <c r="TU156" s="196"/>
      <c r="TV156" s="196"/>
      <c r="TW156" s="196"/>
      <c r="TX156" s="196"/>
      <c r="TY156" s="196"/>
      <c r="TZ156" s="196"/>
      <c r="UA156" s="196"/>
      <c r="UB156" s="196"/>
      <c r="UC156" s="196"/>
      <c r="UD156" s="196"/>
      <c r="UE156" s="196"/>
      <c r="UF156" s="196"/>
      <c r="UG156" s="196"/>
      <c r="UH156" s="196"/>
      <c r="UI156" s="196"/>
      <c r="UJ156" s="196"/>
      <c r="UK156" s="196"/>
      <c r="UL156" s="196"/>
      <c r="UM156" s="196"/>
      <c r="UN156" s="196"/>
      <c r="UO156" s="196"/>
      <c r="UP156" s="196"/>
      <c r="UQ156" s="196"/>
      <c r="UR156" s="196"/>
      <c r="US156" s="196"/>
      <c r="UT156" s="196"/>
      <c r="UU156" s="196"/>
      <c r="UV156" s="196"/>
      <c r="UW156" s="196"/>
      <c r="UX156" s="196"/>
      <c r="UY156" s="196"/>
      <c r="UZ156" s="196"/>
      <c r="VA156" s="196"/>
      <c r="VB156" s="196"/>
      <c r="VC156" s="196"/>
      <c r="VD156" s="196"/>
      <c r="VE156" s="196"/>
      <c r="VF156" s="196"/>
      <c r="VG156" s="196"/>
      <c r="VH156" s="196"/>
      <c r="VI156" s="196"/>
      <c r="VJ156" s="196"/>
      <c r="VK156" s="196"/>
      <c r="VL156" s="196"/>
      <c r="VM156" s="196"/>
      <c r="VN156" s="196"/>
      <c r="VO156" s="196"/>
      <c r="VP156" s="196"/>
      <c r="VQ156" s="196"/>
      <c r="VR156" s="196"/>
      <c r="VS156" s="196"/>
      <c r="VT156" s="196"/>
      <c r="VU156" s="196"/>
      <c r="VV156" s="196"/>
      <c r="VW156" s="196"/>
      <c r="VX156" s="196"/>
      <c r="VY156" s="196"/>
      <c r="VZ156" s="196"/>
      <c r="WA156" s="196"/>
      <c r="WB156" s="196"/>
      <c r="WC156" s="196"/>
      <c r="WD156" s="196"/>
      <c r="WE156" s="196"/>
      <c r="WF156" s="196"/>
      <c r="WG156" s="196"/>
      <c r="WH156" s="196"/>
      <c r="WI156" s="196"/>
      <c r="WJ156" s="196"/>
      <c r="WK156" s="196"/>
      <c r="WL156" s="196"/>
      <c r="WM156" s="196"/>
      <c r="WN156" s="196"/>
      <c r="WO156" s="196"/>
      <c r="WP156" s="196"/>
      <c r="WQ156" s="196"/>
      <c r="WR156" s="196"/>
      <c r="WS156" s="196"/>
      <c r="WT156" s="196"/>
      <c r="WU156" s="196"/>
      <c r="WV156" s="196"/>
      <c r="WW156" s="196"/>
      <c r="WX156" s="196"/>
      <c r="WY156" s="196"/>
      <c r="WZ156" s="196"/>
      <c r="XA156" s="196"/>
      <c r="XB156" s="196"/>
      <c r="XC156" s="196"/>
      <c r="XD156" s="196"/>
      <c r="XE156" s="196"/>
      <c r="XF156" s="196"/>
      <c r="XG156" s="196"/>
      <c r="XH156" s="196"/>
      <c r="XI156" s="196"/>
      <c r="XJ156" s="196"/>
      <c r="XK156" s="196"/>
      <c r="XL156" s="196"/>
      <c r="XM156" s="196"/>
      <c r="XN156" s="196"/>
      <c r="XO156" s="196"/>
      <c r="XP156" s="196"/>
      <c r="XQ156" s="196"/>
      <c r="XR156" s="196"/>
      <c r="XS156" s="196"/>
      <c r="XT156" s="196"/>
      <c r="XU156" s="196"/>
      <c r="XV156" s="196"/>
      <c r="XW156" s="196"/>
      <c r="XX156" s="196"/>
      <c r="XY156" s="196"/>
      <c r="XZ156" s="196"/>
      <c r="YA156" s="196"/>
      <c r="YB156" s="196"/>
      <c r="YC156" s="196"/>
      <c r="YD156" s="196"/>
      <c r="YE156" s="196"/>
      <c r="YF156" s="196"/>
      <c r="YG156" s="196"/>
      <c r="YH156" s="196"/>
      <c r="YI156" s="196"/>
      <c r="YJ156" s="196"/>
      <c r="YK156" s="196"/>
      <c r="YL156" s="196"/>
      <c r="YM156" s="196"/>
      <c r="YN156" s="196"/>
      <c r="YO156" s="196"/>
      <c r="YP156" s="196"/>
      <c r="YQ156" s="196"/>
      <c r="YR156" s="196"/>
      <c r="YS156" s="196"/>
      <c r="YT156" s="196"/>
      <c r="YU156" s="196"/>
      <c r="YV156" s="196"/>
      <c r="YW156" s="196"/>
      <c r="YX156" s="196"/>
      <c r="YY156" s="196"/>
      <c r="YZ156" s="196"/>
      <c r="ZA156" s="196"/>
      <c r="ZB156" s="196"/>
      <c r="ZC156" s="196"/>
      <c r="ZD156" s="196"/>
      <c r="ZE156" s="196"/>
      <c r="ZF156" s="196"/>
      <c r="ZG156" s="196"/>
      <c r="ZH156" s="196"/>
      <c r="ZI156" s="196"/>
      <c r="ZJ156" s="196"/>
      <c r="ZK156" s="196"/>
      <c r="ZL156" s="196"/>
      <c r="ZM156" s="196"/>
      <c r="ZN156" s="196"/>
      <c r="ZO156" s="196"/>
      <c r="ZP156" s="196"/>
      <c r="ZQ156" s="196"/>
      <c r="ZR156" s="196"/>
      <c r="ZS156" s="196"/>
      <c r="ZT156" s="196"/>
      <c r="ZU156" s="196"/>
      <c r="ZV156" s="196"/>
      <c r="ZW156" s="196"/>
      <c r="ZX156" s="196"/>
      <c r="ZY156" s="196"/>
      <c r="ZZ156" s="196"/>
      <c r="AAA156" s="196"/>
      <c r="AAB156" s="196"/>
      <c r="AAC156" s="196"/>
      <c r="AAD156" s="196"/>
      <c r="AAE156" s="196"/>
      <c r="AAF156" s="196"/>
      <c r="AAG156" s="196"/>
      <c r="AAH156" s="196"/>
      <c r="AAI156" s="196"/>
      <c r="AAJ156" s="196"/>
      <c r="AAK156" s="196"/>
      <c r="AAL156" s="196"/>
      <c r="AAM156" s="196"/>
      <c r="AAN156" s="196"/>
      <c r="AAO156" s="196"/>
      <c r="AAP156" s="196"/>
      <c r="AAQ156" s="196"/>
      <c r="AAR156" s="196"/>
      <c r="AAS156" s="196"/>
      <c r="AAT156" s="196"/>
      <c r="AAU156" s="196"/>
      <c r="AAV156" s="196"/>
      <c r="AAW156" s="196"/>
      <c r="AAX156" s="196"/>
      <c r="AAY156" s="196"/>
      <c r="AAZ156" s="196"/>
      <c r="ABA156" s="196"/>
      <c r="ABB156" s="196"/>
      <c r="ABC156" s="196"/>
      <c r="ABD156" s="196"/>
      <c r="ABE156" s="196"/>
      <c r="ABF156" s="196"/>
      <c r="ABG156" s="196"/>
      <c r="ABH156" s="196"/>
      <c r="ABI156" s="196"/>
      <c r="ABJ156" s="196"/>
      <c r="ABK156" s="196"/>
      <c r="ABL156" s="196"/>
      <c r="ABM156" s="196"/>
      <c r="ABN156" s="196"/>
      <c r="ABO156" s="196"/>
      <c r="ABP156" s="196"/>
      <c r="ABQ156" s="196"/>
      <c r="ABR156" s="196"/>
      <c r="ABS156" s="196"/>
      <c r="ABT156" s="196"/>
      <c r="ABU156" s="196"/>
      <c r="ABV156" s="196"/>
      <c r="ABW156" s="196"/>
      <c r="ABX156" s="196"/>
      <c r="ABY156" s="196"/>
      <c r="ABZ156" s="196"/>
      <c r="ACA156" s="196"/>
      <c r="ACB156" s="196"/>
      <c r="ACC156" s="196"/>
      <c r="ACD156" s="196"/>
      <c r="ACE156" s="196"/>
      <c r="ACF156" s="196"/>
      <c r="ACG156" s="196"/>
      <c r="ACH156" s="196"/>
      <c r="ACI156" s="196"/>
      <c r="ACJ156" s="196"/>
      <c r="ACK156" s="196"/>
      <c r="ACL156" s="196"/>
      <c r="ACM156" s="196"/>
      <c r="ACN156" s="196"/>
      <c r="ACO156" s="196"/>
      <c r="ACP156" s="196"/>
      <c r="ACQ156" s="196"/>
      <c r="ACR156" s="196"/>
      <c r="ACS156" s="196"/>
      <c r="ACT156" s="196"/>
      <c r="ACU156" s="196"/>
      <c r="ACV156" s="196"/>
      <c r="ACW156" s="196"/>
      <c r="ACX156" s="196"/>
      <c r="ACY156" s="196"/>
      <c r="ACZ156" s="196"/>
      <c r="ADA156" s="196"/>
      <c r="ADB156" s="196"/>
      <c r="ADC156" s="196"/>
      <c r="ADD156" s="196"/>
      <c r="ADE156" s="196"/>
      <c r="ADF156" s="196"/>
      <c r="ADG156" s="196"/>
      <c r="ADH156" s="196"/>
      <c r="ADI156" s="196"/>
      <c r="ADJ156" s="196"/>
      <c r="ADK156" s="196"/>
      <c r="ADL156" s="196"/>
      <c r="ADM156" s="196"/>
      <c r="ADN156" s="196"/>
      <c r="ADO156" s="196"/>
      <c r="ADP156" s="196"/>
      <c r="ADQ156" s="196"/>
      <c r="ADR156" s="196"/>
      <c r="ADS156" s="196"/>
      <c r="ADT156" s="196"/>
      <c r="ADU156" s="196"/>
      <c r="ADV156" s="196"/>
      <c r="ADW156" s="196"/>
      <c r="ADX156" s="196"/>
      <c r="ADY156" s="196"/>
      <c r="ADZ156" s="196"/>
      <c r="AEA156" s="196"/>
      <c r="AEB156" s="196"/>
      <c r="AEC156" s="196"/>
      <c r="AED156" s="196"/>
      <c r="AEE156" s="196"/>
      <c r="AEF156" s="196"/>
      <c r="AEG156" s="196"/>
      <c r="AEH156" s="196"/>
      <c r="AEI156" s="196"/>
      <c r="AEJ156" s="196"/>
      <c r="AEK156" s="196"/>
      <c r="AEL156" s="196"/>
      <c r="AEM156" s="196"/>
      <c r="AEN156" s="196"/>
      <c r="AEO156" s="196"/>
      <c r="AEP156" s="196"/>
      <c r="AEQ156" s="196"/>
      <c r="AER156" s="196"/>
      <c r="AES156" s="196"/>
      <c r="AET156" s="196"/>
      <c r="AEU156" s="196"/>
      <c r="AEV156" s="196"/>
      <c r="AEW156" s="196"/>
      <c r="AEX156" s="196"/>
      <c r="AEY156" s="196"/>
      <c r="AEZ156" s="196"/>
      <c r="AFA156" s="196"/>
      <c r="AFB156" s="196"/>
      <c r="AFC156" s="196"/>
      <c r="AFD156" s="196"/>
      <c r="AFE156" s="196"/>
      <c r="AFF156" s="196"/>
      <c r="AFG156" s="196"/>
      <c r="AFH156" s="196"/>
      <c r="AFI156" s="196"/>
      <c r="AFJ156" s="196"/>
      <c r="AFK156" s="196"/>
      <c r="AFL156" s="196"/>
      <c r="AFM156" s="196"/>
      <c r="AFN156" s="196"/>
      <c r="AFO156" s="196"/>
      <c r="AFP156" s="196"/>
      <c r="AFQ156" s="196"/>
      <c r="AFR156" s="196"/>
      <c r="AFS156" s="196"/>
      <c r="AFT156" s="196"/>
      <c r="AFU156" s="196"/>
      <c r="AFV156" s="196"/>
      <c r="AFW156" s="196"/>
      <c r="AFX156" s="196"/>
      <c r="AFY156" s="196"/>
      <c r="AFZ156" s="196"/>
      <c r="AGA156" s="196"/>
      <c r="AGB156" s="196"/>
      <c r="AGC156" s="196"/>
      <c r="AGD156" s="196"/>
      <c r="AGE156" s="196"/>
      <c r="AGF156" s="196"/>
      <c r="AGG156" s="196"/>
      <c r="AGH156" s="196"/>
      <c r="AGI156" s="196"/>
      <c r="AGJ156" s="196"/>
      <c r="AGK156" s="196"/>
      <c r="AGL156" s="196"/>
      <c r="AGM156" s="196"/>
      <c r="AGN156" s="196"/>
      <c r="AGO156" s="196"/>
      <c r="AGP156" s="196"/>
      <c r="AGQ156" s="196"/>
      <c r="AGR156" s="196"/>
      <c r="AGS156" s="196"/>
      <c r="AGT156" s="196"/>
      <c r="AGU156" s="196"/>
      <c r="AGV156" s="196"/>
      <c r="AGW156" s="196"/>
      <c r="AGX156" s="196"/>
      <c r="AGY156" s="196"/>
      <c r="AGZ156" s="196"/>
      <c r="AHA156" s="196"/>
      <c r="AHB156" s="196"/>
      <c r="AHC156" s="196"/>
      <c r="AHD156" s="196"/>
      <c r="AHE156" s="196"/>
      <c r="AHF156" s="196"/>
      <c r="AHG156" s="196"/>
      <c r="AHH156" s="196"/>
      <c r="AHI156" s="196"/>
      <c r="AHJ156" s="196"/>
      <c r="AHK156" s="196"/>
      <c r="AHL156" s="196"/>
      <c r="AHM156" s="196"/>
      <c r="AHN156" s="196"/>
      <c r="AHO156" s="196"/>
      <c r="AHP156" s="196"/>
      <c r="AHQ156" s="196"/>
      <c r="AHR156" s="196"/>
      <c r="AHS156" s="196"/>
      <c r="AHT156" s="196"/>
      <c r="AHU156" s="196"/>
      <c r="AHV156" s="196"/>
      <c r="AHW156" s="196"/>
      <c r="AHX156" s="196"/>
      <c r="AHY156" s="196"/>
      <c r="AHZ156" s="196"/>
      <c r="AIA156" s="196"/>
      <c r="AIB156" s="196"/>
      <c r="AIC156" s="196"/>
      <c r="AID156" s="196"/>
      <c r="AIE156" s="196"/>
      <c r="AIF156" s="196"/>
      <c r="AIG156" s="196"/>
      <c r="AIH156" s="196"/>
      <c r="AII156" s="196"/>
      <c r="AIJ156" s="196"/>
      <c r="AIK156" s="196"/>
      <c r="AIL156" s="196"/>
      <c r="AIM156" s="196"/>
      <c r="AIN156" s="196"/>
      <c r="AIO156" s="196"/>
      <c r="AIP156" s="196"/>
      <c r="AIQ156" s="196"/>
      <c r="AIR156" s="196"/>
      <c r="AIS156" s="196"/>
      <c r="AIT156" s="196"/>
      <c r="AIU156" s="196"/>
      <c r="AIV156" s="196"/>
      <c r="AIW156" s="196"/>
      <c r="AIX156" s="196"/>
      <c r="AIY156" s="196"/>
      <c r="AIZ156" s="196"/>
      <c r="AJA156" s="196"/>
      <c r="AJB156" s="196"/>
      <c r="AJC156" s="196"/>
      <c r="AJD156" s="196"/>
      <c r="AJE156" s="196"/>
      <c r="AJF156" s="196"/>
      <c r="AJG156" s="196"/>
      <c r="AJH156" s="196"/>
      <c r="AJI156" s="196"/>
      <c r="AJJ156" s="196"/>
      <c r="AJK156" s="196"/>
      <c r="AJL156" s="196"/>
      <c r="AJM156" s="196"/>
      <c r="AJN156" s="196"/>
      <c r="AJO156" s="196"/>
      <c r="AJP156" s="196"/>
      <c r="AJQ156" s="196"/>
      <c r="AJR156" s="196"/>
      <c r="AJS156" s="196"/>
      <c r="AJT156" s="196"/>
      <c r="AJU156" s="196"/>
      <c r="AJV156" s="196"/>
      <c r="AJW156" s="196"/>
      <c r="AJX156" s="196"/>
      <c r="AJY156" s="196"/>
      <c r="AJZ156" s="196"/>
      <c r="AKA156" s="196"/>
      <c r="AKB156" s="196"/>
      <c r="AKC156" s="196"/>
      <c r="AKD156" s="196"/>
      <c r="AKE156" s="196"/>
      <c r="AKF156" s="196"/>
      <c r="AKG156" s="196"/>
      <c r="AKH156" s="196"/>
      <c r="AKI156" s="196"/>
      <c r="AKJ156" s="196"/>
      <c r="AKK156" s="196"/>
      <c r="AKL156" s="196"/>
      <c r="AKM156" s="196"/>
      <c r="AKN156" s="196"/>
      <c r="AKO156" s="196"/>
      <c r="AKP156" s="196"/>
      <c r="AKQ156" s="196"/>
      <c r="AKR156" s="196"/>
      <c r="AKS156" s="196"/>
      <c r="AKT156" s="196"/>
      <c r="AKU156" s="196"/>
      <c r="AKV156" s="196"/>
      <c r="AKW156" s="196"/>
      <c r="AKX156" s="196"/>
      <c r="AKY156" s="196"/>
      <c r="AKZ156" s="196"/>
      <c r="ALA156" s="196"/>
      <c r="ALB156" s="196"/>
      <c r="ALC156" s="196"/>
      <c r="ALD156" s="196"/>
      <c r="ALE156" s="196"/>
      <c r="ALF156" s="196"/>
      <c r="ALG156" s="196"/>
      <c r="ALH156" s="196"/>
      <c r="ALI156" s="196"/>
      <c r="ALJ156" s="196"/>
      <c r="ALK156" s="196"/>
      <c r="ALL156" s="196"/>
      <c r="ALM156" s="196"/>
      <c r="ALN156" s="196"/>
      <c r="ALO156" s="196"/>
      <c r="ALP156" s="196"/>
      <c r="ALQ156" s="196"/>
      <c r="ALR156" s="196"/>
      <c r="ALS156" s="196"/>
      <c r="ALT156" s="196"/>
      <c r="ALU156" s="196"/>
      <c r="ALV156" s="196"/>
      <c r="ALW156" s="196"/>
      <c r="ALX156" s="196"/>
      <c r="ALY156" s="196"/>
      <c r="ALZ156" s="196"/>
      <c r="AMA156" s="196"/>
      <c r="AMB156" s="196"/>
      <c r="AMC156" s="196"/>
      <c r="AMD156" s="196"/>
      <c r="AME156" s="196"/>
      <c r="AMF156" s="196"/>
      <c r="AMG156" s="196"/>
      <c r="AMH156" s="196"/>
      <c r="AMI156" s="196"/>
      <c r="AMJ156" s="196"/>
    </row>
    <row r="157" customFormat="false" ht="15.75" hidden="false" customHeight="true" outlineLevel="0" collapsed="false">
      <c r="A157" s="196"/>
      <c r="B157" s="77"/>
      <c r="C157" s="77"/>
      <c r="D157" s="78"/>
      <c r="E157" s="78"/>
      <c r="F157" s="78"/>
      <c r="G157" s="10"/>
      <c r="H157" s="24"/>
      <c r="I157" s="230"/>
      <c r="J157" s="7"/>
      <c r="K157" s="7"/>
      <c r="L157" s="7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  <c r="AS157" s="196"/>
      <c r="AT157" s="196"/>
      <c r="AU157" s="196"/>
      <c r="AV157" s="196"/>
      <c r="AW157" s="196"/>
      <c r="AX157" s="196"/>
      <c r="AY157" s="196"/>
      <c r="AZ157" s="196"/>
      <c r="BA157" s="196"/>
      <c r="BB157" s="196"/>
      <c r="BC157" s="196"/>
      <c r="BD157" s="196"/>
      <c r="BE157" s="196"/>
      <c r="BF157" s="196"/>
      <c r="BG157" s="196"/>
      <c r="BH157" s="196"/>
      <c r="BI157" s="196"/>
      <c r="BJ157" s="196"/>
      <c r="BK157" s="196"/>
      <c r="BL157" s="196"/>
      <c r="BM157" s="196"/>
      <c r="BN157" s="196"/>
      <c r="BO157" s="196"/>
      <c r="BP157" s="196"/>
      <c r="BQ157" s="196"/>
      <c r="BR157" s="196"/>
      <c r="BS157" s="196"/>
      <c r="BT157" s="196"/>
      <c r="BU157" s="196"/>
      <c r="BV157" s="196"/>
      <c r="BW157" s="196"/>
      <c r="BX157" s="196"/>
      <c r="BY157" s="196"/>
      <c r="BZ157" s="196"/>
      <c r="CA157" s="196"/>
      <c r="CB157" s="196"/>
      <c r="CC157" s="196"/>
      <c r="CD157" s="196"/>
      <c r="CE157" s="196"/>
      <c r="CF157" s="196"/>
      <c r="CG157" s="196"/>
      <c r="CH157" s="196"/>
      <c r="CI157" s="196"/>
      <c r="CJ157" s="196"/>
      <c r="CK157" s="196"/>
      <c r="CL157" s="196"/>
      <c r="CM157" s="196"/>
      <c r="CN157" s="196"/>
      <c r="CO157" s="196"/>
      <c r="CP157" s="196"/>
      <c r="CQ157" s="196"/>
      <c r="CR157" s="196"/>
      <c r="CS157" s="196"/>
      <c r="CT157" s="196"/>
      <c r="CU157" s="196"/>
      <c r="CV157" s="196"/>
      <c r="CW157" s="196"/>
      <c r="CX157" s="196"/>
      <c r="CY157" s="196"/>
      <c r="CZ157" s="196"/>
      <c r="DA157" s="196"/>
      <c r="DB157" s="196"/>
      <c r="DC157" s="196"/>
      <c r="DD157" s="196"/>
      <c r="DE157" s="196"/>
      <c r="DF157" s="196"/>
      <c r="DG157" s="196"/>
      <c r="DH157" s="196"/>
      <c r="DI157" s="196"/>
      <c r="DJ157" s="196"/>
      <c r="DK157" s="196"/>
      <c r="DL157" s="196"/>
      <c r="DM157" s="196"/>
      <c r="DN157" s="196"/>
      <c r="DO157" s="196"/>
      <c r="DP157" s="196"/>
      <c r="DQ157" s="196"/>
      <c r="DR157" s="196"/>
      <c r="DS157" s="196"/>
      <c r="DT157" s="196"/>
      <c r="DU157" s="196"/>
      <c r="DV157" s="196"/>
      <c r="DW157" s="196"/>
      <c r="DX157" s="196"/>
      <c r="DY157" s="196"/>
      <c r="DZ157" s="196"/>
      <c r="EA157" s="196"/>
      <c r="EB157" s="196"/>
      <c r="EC157" s="196"/>
      <c r="ED157" s="196"/>
      <c r="EE157" s="196"/>
      <c r="EF157" s="196"/>
      <c r="EG157" s="196"/>
      <c r="EH157" s="196"/>
      <c r="EI157" s="196"/>
      <c r="EJ157" s="196"/>
      <c r="EK157" s="196"/>
      <c r="EL157" s="196"/>
      <c r="EM157" s="196"/>
      <c r="EN157" s="196"/>
      <c r="EO157" s="196"/>
      <c r="EP157" s="196"/>
      <c r="EQ157" s="196"/>
      <c r="ER157" s="196"/>
      <c r="ES157" s="196"/>
      <c r="ET157" s="196"/>
      <c r="EU157" s="196"/>
      <c r="EV157" s="196"/>
      <c r="EW157" s="196"/>
      <c r="EX157" s="196"/>
      <c r="EY157" s="196"/>
      <c r="EZ157" s="196"/>
      <c r="FA157" s="196"/>
      <c r="FB157" s="196"/>
      <c r="FC157" s="196"/>
      <c r="FD157" s="196"/>
      <c r="FE157" s="196"/>
      <c r="FF157" s="196"/>
      <c r="FG157" s="196"/>
      <c r="FH157" s="196"/>
      <c r="FI157" s="196"/>
      <c r="FJ157" s="196"/>
      <c r="FK157" s="196"/>
      <c r="FL157" s="196"/>
      <c r="FM157" s="196"/>
      <c r="FN157" s="196"/>
      <c r="FO157" s="196"/>
      <c r="FP157" s="196"/>
      <c r="FQ157" s="196"/>
      <c r="FR157" s="196"/>
      <c r="FS157" s="196"/>
      <c r="FT157" s="196"/>
      <c r="FU157" s="196"/>
      <c r="FV157" s="196"/>
      <c r="FW157" s="196"/>
      <c r="FX157" s="196"/>
      <c r="FY157" s="196"/>
      <c r="FZ157" s="196"/>
      <c r="GA157" s="196"/>
      <c r="GB157" s="196"/>
      <c r="GC157" s="196"/>
      <c r="GD157" s="196"/>
      <c r="GE157" s="196"/>
      <c r="GF157" s="196"/>
      <c r="GG157" s="196"/>
      <c r="GH157" s="196"/>
      <c r="GI157" s="196"/>
      <c r="GJ157" s="196"/>
      <c r="GK157" s="196"/>
      <c r="GL157" s="196"/>
      <c r="GM157" s="196"/>
      <c r="GN157" s="196"/>
      <c r="GO157" s="196"/>
      <c r="GP157" s="196"/>
      <c r="GQ157" s="196"/>
      <c r="GR157" s="196"/>
      <c r="GS157" s="196"/>
      <c r="GT157" s="196"/>
      <c r="GU157" s="196"/>
      <c r="GV157" s="196"/>
      <c r="GW157" s="196"/>
      <c r="GX157" s="196"/>
      <c r="GY157" s="196"/>
      <c r="GZ157" s="196"/>
      <c r="HA157" s="196"/>
      <c r="HB157" s="196"/>
      <c r="HC157" s="196"/>
      <c r="HD157" s="196"/>
      <c r="HE157" s="196"/>
      <c r="HF157" s="196"/>
      <c r="HG157" s="196"/>
      <c r="HH157" s="196"/>
      <c r="HI157" s="196"/>
      <c r="HJ157" s="196"/>
      <c r="HK157" s="196"/>
      <c r="HL157" s="196"/>
      <c r="HM157" s="196"/>
      <c r="HN157" s="196"/>
      <c r="HO157" s="196"/>
      <c r="HP157" s="196"/>
      <c r="HQ157" s="196"/>
      <c r="HR157" s="196"/>
      <c r="HS157" s="196"/>
      <c r="HT157" s="196"/>
      <c r="HU157" s="196"/>
      <c r="HV157" s="196"/>
      <c r="HW157" s="196"/>
      <c r="HX157" s="196"/>
      <c r="HY157" s="196"/>
      <c r="HZ157" s="196"/>
      <c r="IA157" s="196"/>
      <c r="IB157" s="196"/>
      <c r="IC157" s="196"/>
      <c r="ID157" s="196"/>
      <c r="IE157" s="196"/>
      <c r="IF157" s="196"/>
      <c r="IG157" s="196"/>
      <c r="IH157" s="196"/>
      <c r="II157" s="196"/>
      <c r="IJ157" s="196"/>
      <c r="IK157" s="196"/>
      <c r="IL157" s="196"/>
      <c r="IM157" s="196"/>
      <c r="IN157" s="196"/>
      <c r="IO157" s="196"/>
      <c r="IP157" s="196"/>
      <c r="IQ157" s="196"/>
      <c r="IR157" s="196"/>
      <c r="IS157" s="196"/>
      <c r="IT157" s="196"/>
      <c r="IU157" s="196"/>
      <c r="IV157" s="196"/>
      <c r="IW157" s="196"/>
      <c r="IX157" s="196"/>
      <c r="IY157" s="196"/>
      <c r="IZ157" s="196"/>
      <c r="JA157" s="196"/>
      <c r="JB157" s="196"/>
      <c r="JC157" s="196"/>
      <c r="JD157" s="196"/>
      <c r="JE157" s="196"/>
      <c r="JF157" s="196"/>
      <c r="JG157" s="196"/>
      <c r="JH157" s="196"/>
      <c r="JI157" s="196"/>
      <c r="JJ157" s="196"/>
      <c r="JK157" s="196"/>
      <c r="JL157" s="196"/>
      <c r="JM157" s="196"/>
      <c r="JN157" s="196"/>
      <c r="JO157" s="196"/>
      <c r="JP157" s="196"/>
      <c r="JQ157" s="196"/>
      <c r="JR157" s="196"/>
      <c r="JS157" s="196"/>
      <c r="JT157" s="196"/>
      <c r="JU157" s="196"/>
      <c r="JV157" s="196"/>
      <c r="JW157" s="196"/>
      <c r="JX157" s="196"/>
      <c r="JY157" s="196"/>
      <c r="JZ157" s="196"/>
      <c r="KA157" s="196"/>
      <c r="KB157" s="196"/>
      <c r="KC157" s="196"/>
      <c r="KD157" s="196"/>
      <c r="KE157" s="196"/>
      <c r="KF157" s="196"/>
      <c r="KG157" s="196"/>
      <c r="KH157" s="196"/>
      <c r="KI157" s="196"/>
      <c r="KJ157" s="196"/>
      <c r="KK157" s="196"/>
      <c r="KL157" s="196"/>
      <c r="KM157" s="196"/>
      <c r="KN157" s="196"/>
      <c r="KO157" s="196"/>
      <c r="KP157" s="196"/>
      <c r="KQ157" s="196"/>
      <c r="KR157" s="196"/>
      <c r="KS157" s="196"/>
      <c r="KT157" s="196"/>
      <c r="KU157" s="196"/>
      <c r="KV157" s="196"/>
      <c r="KW157" s="196"/>
      <c r="KX157" s="196"/>
      <c r="KY157" s="196"/>
      <c r="KZ157" s="196"/>
      <c r="LA157" s="196"/>
      <c r="LB157" s="196"/>
      <c r="LC157" s="196"/>
      <c r="LD157" s="196"/>
      <c r="LE157" s="196"/>
      <c r="LF157" s="196"/>
      <c r="LG157" s="196"/>
      <c r="LH157" s="196"/>
      <c r="LI157" s="196"/>
      <c r="LJ157" s="196"/>
      <c r="LK157" s="196"/>
      <c r="LL157" s="196"/>
      <c r="LM157" s="196"/>
      <c r="LN157" s="196"/>
      <c r="LO157" s="196"/>
      <c r="LP157" s="196"/>
      <c r="LQ157" s="196"/>
      <c r="LR157" s="196"/>
      <c r="LS157" s="196"/>
      <c r="LT157" s="196"/>
      <c r="LU157" s="196"/>
      <c r="LV157" s="196"/>
      <c r="LW157" s="196"/>
      <c r="LX157" s="196"/>
      <c r="LY157" s="196"/>
      <c r="LZ157" s="196"/>
      <c r="MA157" s="196"/>
      <c r="MB157" s="196"/>
      <c r="MC157" s="196"/>
      <c r="MD157" s="196"/>
      <c r="ME157" s="196"/>
      <c r="MF157" s="196"/>
      <c r="MG157" s="196"/>
      <c r="MH157" s="196"/>
      <c r="MI157" s="196"/>
      <c r="MJ157" s="196"/>
      <c r="MK157" s="196"/>
      <c r="ML157" s="196"/>
      <c r="MM157" s="196"/>
      <c r="MN157" s="196"/>
      <c r="MO157" s="196"/>
      <c r="MP157" s="196"/>
      <c r="MQ157" s="196"/>
      <c r="MR157" s="196"/>
      <c r="MS157" s="196"/>
      <c r="MT157" s="196"/>
      <c r="MU157" s="196"/>
      <c r="MV157" s="196"/>
      <c r="MW157" s="196"/>
      <c r="MX157" s="196"/>
      <c r="MY157" s="196"/>
      <c r="MZ157" s="196"/>
      <c r="NA157" s="196"/>
      <c r="NB157" s="196"/>
      <c r="NC157" s="196"/>
      <c r="ND157" s="196"/>
      <c r="NE157" s="196"/>
      <c r="NF157" s="196"/>
      <c r="NG157" s="196"/>
      <c r="NH157" s="196"/>
      <c r="NI157" s="196"/>
      <c r="NJ157" s="196"/>
      <c r="NK157" s="196"/>
      <c r="NL157" s="196"/>
      <c r="NM157" s="196"/>
      <c r="NN157" s="196"/>
      <c r="NO157" s="196"/>
      <c r="NP157" s="196"/>
      <c r="NQ157" s="196"/>
      <c r="NR157" s="196"/>
      <c r="NS157" s="196"/>
      <c r="NT157" s="196"/>
      <c r="NU157" s="196"/>
      <c r="NV157" s="196"/>
      <c r="NW157" s="196"/>
      <c r="NX157" s="196"/>
      <c r="NY157" s="196"/>
      <c r="NZ157" s="196"/>
      <c r="OA157" s="196"/>
      <c r="OB157" s="196"/>
      <c r="OC157" s="196"/>
      <c r="OD157" s="196"/>
      <c r="OE157" s="196"/>
      <c r="OF157" s="196"/>
      <c r="OG157" s="196"/>
      <c r="OH157" s="196"/>
      <c r="OI157" s="196"/>
      <c r="OJ157" s="196"/>
      <c r="OK157" s="196"/>
      <c r="OL157" s="196"/>
      <c r="OM157" s="196"/>
      <c r="ON157" s="196"/>
      <c r="OO157" s="196"/>
      <c r="OP157" s="196"/>
      <c r="OQ157" s="196"/>
      <c r="OR157" s="196"/>
      <c r="OS157" s="196"/>
      <c r="OT157" s="196"/>
      <c r="OU157" s="196"/>
      <c r="OV157" s="196"/>
      <c r="OW157" s="196"/>
      <c r="OX157" s="196"/>
      <c r="OY157" s="196"/>
      <c r="OZ157" s="196"/>
      <c r="PA157" s="196"/>
      <c r="PB157" s="196"/>
      <c r="PC157" s="196"/>
      <c r="PD157" s="196"/>
      <c r="PE157" s="196"/>
      <c r="PF157" s="196"/>
      <c r="PG157" s="196"/>
      <c r="PH157" s="196"/>
      <c r="PI157" s="196"/>
      <c r="PJ157" s="196"/>
      <c r="PK157" s="196"/>
      <c r="PL157" s="196"/>
      <c r="PM157" s="196"/>
      <c r="PN157" s="196"/>
      <c r="PO157" s="196"/>
      <c r="PP157" s="196"/>
      <c r="PQ157" s="196"/>
      <c r="PR157" s="196"/>
      <c r="PS157" s="196"/>
      <c r="PT157" s="196"/>
      <c r="PU157" s="196"/>
      <c r="PV157" s="196"/>
      <c r="PW157" s="196"/>
      <c r="PX157" s="196"/>
      <c r="PY157" s="196"/>
      <c r="PZ157" s="196"/>
      <c r="QA157" s="196"/>
      <c r="QB157" s="196"/>
      <c r="QC157" s="196"/>
      <c r="QD157" s="196"/>
      <c r="QE157" s="196"/>
      <c r="QF157" s="196"/>
      <c r="QG157" s="196"/>
      <c r="QH157" s="196"/>
      <c r="QI157" s="196"/>
      <c r="QJ157" s="196"/>
      <c r="QK157" s="196"/>
      <c r="QL157" s="196"/>
      <c r="QM157" s="196"/>
      <c r="QN157" s="196"/>
      <c r="QO157" s="196"/>
      <c r="QP157" s="196"/>
      <c r="QQ157" s="196"/>
      <c r="QR157" s="196"/>
      <c r="QS157" s="196"/>
      <c r="QT157" s="196"/>
      <c r="QU157" s="196"/>
      <c r="QV157" s="196"/>
      <c r="QW157" s="196"/>
      <c r="QX157" s="196"/>
      <c r="QY157" s="196"/>
      <c r="QZ157" s="196"/>
      <c r="RA157" s="196"/>
      <c r="RB157" s="196"/>
      <c r="RC157" s="196"/>
      <c r="RD157" s="196"/>
      <c r="RE157" s="196"/>
      <c r="RF157" s="196"/>
      <c r="RG157" s="196"/>
      <c r="RH157" s="196"/>
      <c r="RI157" s="196"/>
      <c r="RJ157" s="196"/>
      <c r="RK157" s="196"/>
      <c r="RL157" s="196"/>
      <c r="RM157" s="196"/>
      <c r="RN157" s="196"/>
      <c r="RO157" s="196"/>
      <c r="RP157" s="196"/>
      <c r="RQ157" s="196"/>
      <c r="RR157" s="196"/>
      <c r="RS157" s="196"/>
      <c r="RT157" s="196"/>
      <c r="RU157" s="196"/>
      <c r="RV157" s="196"/>
      <c r="RW157" s="196"/>
      <c r="RX157" s="196"/>
      <c r="RY157" s="196"/>
      <c r="RZ157" s="196"/>
      <c r="SA157" s="196"/>
      <c r="SB157" s="196"/>
      <c r="SC157" s="196"/>
      <c r="SD157" s="196"/>
      <c r="SE157" s="196"/>
      <c r="SF157" s="196"/>
      <c r="SG157" s="196"/>
      <c r="SH157" s="196"/>
      <c r="SI157" s="196"/>
      <c r="SJ157" s="196"/>
      <c r="SK157" s="196"/>
      <c r="SL157" s="196"/>
      <c r="SM157" s="196"/>
      <c r="SN157" s="196"/>
      <c r="SO157" s="196"/>
      <c r="SP157" s="196"/>
      <c r="SQ157" s="196"/>
      <c r="SR157" s="196"/>
      <c r="SS157" s="196"/>
      <c r="ST157" s="196"/>
      <c r="SU157" s="196"/>
      <c r="SV157" s="196"/>
      <c r="SW157" s="196"/>
      <c r="SX157" s="196"/>
      <c r="SY157" s="196"/>
      <c r="SZ157" s="196"/>
      <c r="TA157" s="196"/>
      <c r="TB157" s="196"/>
      <c r="TC157" s="196"/>
      <c r="TD157" s="196"/>
      <c r="TE157" s="196"/>
      <c r="TF157" s="196"/>
      <c r="TG157" s="196"/>
      <c r="TH157" s="196"/>
      <c r="TI157" s="196"/>
      <c r="TJ157" s="196"/>
      <c r="TK157" s="196"/>
      <c r="TL157" s="196"/>
      <c r="TM157" s="196"/>
      <c r="TN157" s="196"/>
      <c r="TO157" s="196"/>
      <c r="TP157" s="196"/>
      <c r="TQ157" s="196"/>
      <c r="TR157" s="196"/>
      <c r="TS157" s="196"/>
      <c r="TT157" s="196"/>
      <c r="TU157" s="196"/>
      <c r="TV157" s="196"/>
      <c r="TW157" s="196"/>
      <c r="TX157" s="196"/>
      <c r="TY157" s="196"/>
      <c r="TZ157" s="196"/>
      <c r="UA157" s="196"/>
      <c r="UB157" s="196"/>
      <c r="UC157" s="196"/>
      <c r="UD157" s="196"/>
      <c r="UE157" s="196"/>
      <c r="UF157" s="196"/>
      <c r="UG157" s="196"/>
      <c r="UH157" s="196"/>
      <c r="UI157" s="196"/>
      <c r="UJ157" s="196"/>
      <c r="UK157" s="196"/>
      <c r="UL157" s="196"/>
      <c r="UM157" s="196"/>
      <c r="UN157" s="196"/>
      <c r="UO157" s="196"/>
      <c r="UP157" s="196"/>
      <c r="UQ157" s="196"/>
      <c r="UR157" s="196"/>
      <c r="US157" s="196"/>
      <c r="UT157" s="196"/>
      <c r="UU157" s="196"/>
      <c r="UV157" s="196"/>
      <c r="UW157" s="196"/>
      <c r="UX157" s="196"/>
      <c r="UY157" s="196"/>
      <c r="UZ157" s="196"/>
      <c r="VA157" s="196"/>
      <c r="VB157" s="196"/>
      <c r="VC157" s="196"/>
      <c r="VD157" s="196"/>
      <c r="VE157" s="196"/>
      <c r="VF157" s="196"/>
      <c r="VG157" s="196"/>
      <c r="VH157" s="196"/>
      <c r="VI157" s="196"/>
      <c r="VJ157" s="196"/>
      <c r="VK157" s="196"/>
      <c r="VL157" s="196"/>
      <c r="VM157" s="196"/>
      <c r="VN157" s="196"/>
      <c r="VO157" s="196"/>
      <c r="VP157" s="196"/>
      <c r="VQ157" s="196"/>
      <c r="VR157" s="196"/>
      <c r="VS157" s="196"/>
      <c r="VT157" s="196"/>
      <c r="VU157" s="196"/>
      <c r="VV157" s="196"/>
      <c r="VW157" s="196"/>
      <c r="VX157" s="196"/>
      <c r="VY157" s="196"/>
      <c r="VZ157" s="196"/>
      <c r="WA157" s="196"/>
      <c r="WB157" s="196"/>
      <c r="WC157" s="196"/>
      <c r="WD157" s="196"/>
      <c r="WE157" s="196"/>
      <c r="WF157" s="196"/>
      <c r="WG157" s="196"/>
      <c r="WH157" s="196"/>
      <c r="WI157" s="196"/>
      <c r="WJ157" s="196"/>
      <c r="WK157" s="196"/>
      <c r="WL157" s="196"/>
      <c r="WM157" s="196"/>
      <c r="WN157" s="196"/>
      <c r="WO157" s="196"/>
      <c r="WP157" s="196"/>
      <c r="WQ157" s="196"/>
      <c r="WR157" s="196"/>
      <c r="WS157" s="196"/>
      <c r="WT157" s="196"/>
      <c r="WU157" s="196"/>
      <c r="WV157" s="196"/>
      <c r="WW157" s="196"/>
      <c r="WX157" s="196"/>
      <c r="WY157" s="196"/>
      <c r="WZ157" s="196"/>
      <c r="XA157" s="196"/>
      <c r="XB157" s="196"/>
      <c r="XC157" s="196"/>
      <c r="XD157" s="196"/>
      <c r="XE157" s="196"/>
      <c r="XF157" s="196"/>
      <c r="XG157" s="196"/>
      <c r="XH157" s="196"/>
      <c r="XI157" s="196"/>
      <c r="XJ157" s="196"/>
      <c r="XK157" s="196"/>
      <c r="XL157" s="196"/>
      <c r="XM157" s="196"/>
      <c r="XN157" s="196"/>
      <c r="XO157" s="196"/>
      <c r="XP157" s="196"/>
      <c r="XQ157" s="196"/>
      <c r="XR157" s="196"/>
      <c r="XS157" s="196"/>
      <c r="XT157" s="196"/>
      <c r="XU157" s="196"/>
      <c r="XV157" s="196"/>
      <c r="XW157" s="196"/>
      <c r="XX157" s="196"/>
      <c r="XY157" s="196"/>
      <c r="XZ157" s="196"/>
      <c r="YA157" s="196"/>
      <c r="YB157" s="196"/>
      <c r="YC157" s="196"/>
      <c r="YD157" s="196"/>
      <c r="YE157" s="196"/>
      <c r="YF157" s="196"/>
      <c r="YG157" s="196"/>
      <c r="YH157" s="196"/>
      <c r="YI157" s="196"/>
      <c r="YJ157" s="196"/>
      <c r="YK157" s="196"/>
      <c r="YL157" s="196"/>
      <c r="YM157" s="196"/>
      <c r="YN157" s="196"/>
      <c r="YO157" s="196"/>
      <c r="YP157" s="196"/>
      <c r="YQ157" s="196"/>
      <c r="YR157" s="196"/>
      <c r="YS157" s="196"/>
      <c r="YT157" s="196"/>
      <c r="YU157" s="196"/>
      <c r="YV157" s="196"/>
      <c r="YW157" s="196"/>
      <c r="YX157" s="196"/>
      <c r="YY157" s="196"/>
      <c r="YZ157" s="196"/>
      <c r="ZA157" s="196"/>
      <c r="ZB157" s="196"/>
      <c r="ZC157" s="196"/>
      <c r="ZD157" s="196"/>
      <c r="ZE157" s="196"/>
      <c r="ZF157" s="196"/>
      <c r="ZG157" s="196"/>
      <c r="ZH157" s="196"/>
      <c r="ZI157" s="196"/>
      <c r="ZJ157" s="196"/>
      <c r="ZK157" s="196"/>
      <c r="ZL157" s="196"/>
      <c r="ZM157" s="196"/>
      <c r="ZN157" s="196"/>
      <c r="ZO157" s="196"/>
      <c r="ZP157" s="196"/>
      <c r="ZQ157" s="196"/>
      <c r="ZR157" s="196"/>
      <c r="ZS157" s="196"/>
      <c r="ZT157" s="196"/>
      <c r="ZU157" s="196"/>
      <c r="ZV157" s="196"/>
      <c r="ZW157" s="196"/>
      <c r="ZX157" s="196"/>
      <c r="ZY157" s="196"/>
      <c r="ZZ157" s="196"/>
      <c r="AAA157" s="196"/>
      <c r="AAB157" s="196"/>
      <c r="AAC157" s="196"/>
      <c r="AAD157" s="196"/>
      <c r="AAE157" s="196"/>
      <c r="AAF157" s="196"/>
      <c r="AAG157" s="196"/>
      <c r="AAH157" s="196"/>
      <c r="AAI157" s="196"/>
      <c r="AAJ157" s="196"/>
      <c r="AAK157" s="196"/>
      <c r="AAL157" s="196"/>
      <c r="AAM157" s="196"/>
      <c r="AAN157" s="196"/>
      <c r="AAO157" s="196"/>
      <c r="AAP157" s="196"/>
      <c r="AAQ157" s="196"/>
      <c r="AAR157" s="196"/>
      <c r="AAS157" s="196"/>
      <c r="AAT157" s="196"/>
      <c r="AAU157" s="196"/>
      <c r="AAV157" s="196"/>
      <c r="AAW157" s="196"/>
      <c r="AAX157" s="196"/>
      <c r="AAY157" s="196"/>
      <c r="AAZ157" s="196"/>
      <c r="ABA157" s="196"/>
      <c r="ABB157" s="196"/>
      <c r="ABC157" s="196"/>
      <c r="ABD157" s="196"/>
      <c r="ABE157" s="196"/>
      <c r="ABF157" s="196"/>
      <c r="ABG157" s="196"/>
      <c r="ABH157" s="196"/>
      <c r="ABI157" s="196"/>
      <c r="ABJ157" s="196"/>
      <c r="ABK157" s="196"/>
      <c r="ABL157" s="196"/>
      <c r="ABM157" s="196"/>
      <c r="ABN157" s="196"/>
      <c r="ABO157" s="196"/>
      <c r="ABP157" s="196"/>
      <c r="ABQ157" s="196"/>
      <c r="ABR157" s="196"/>
      <c r="ABS157" s="196"/>
      <c r="ABT157" s="196"/>
      <c r="ABU157" s="196"/>
      <c r="ABV157" s="196"/>
      <c r="ABW157" s="196"/>
      <c r="ABX157" s="196"/>
      <c r="ABY157" s="196"/>
      <c r="ABZ157" s="196"/>
      <c r="ACA157" s="196"/>
      <c r="ACB157" s="196"/>
      <c r="ACC157" s="196"/>
      <c r="ACD157" s="196"/>
      <c r="ACE157" s="196"/>
      <c r="ACF157" s="196"/>
      <c r="ACG157" s="196"/>
      <c r="ACH157" s="196"/>
      <c r="ACI157" s="196"/>
      <c r="ACJ157" s="196"/>
      <c r="ACK157" s="196"/>
      <c r="ACL157" s="196"/>
      <c r="ACM157" s="196"/>
      <c r="ACN157" s="196"/>
      <c r="ACO157" s="196"/>
      <c r="ACP157" s="196"/>
      <c r="ACQ157" s="196"/>
      <c r="ACR157" s="196"/>
      <c r="ACS157" s="196"/>
      <c r="ACT157" s="196"/>
      <c r="ACU157" s="196"/>
      <c r="ACV157" s="196"/>
      <c r="ACW157" s="196"/>
      <c r="ACX157" s="196"/>
      <c r="ACY157" s="196"/>
      <c r="ACZ157" s="196"/>
      <c r="ADA157" s="196"/>
      <c r="ADB157" s="196"/>
      <c r="ADC157" s="196"/>
      <c r="ADD157" s="196"/>
      <c r="ADE157" s="196"/>
      <c r="ADF157" s="196"/>
      <c r="ADG157" s="196"/>
      <c r="ADH157" s="196"/>
      <c r="ADI157" s="196"/>
      <c r="ADJ157" s="196"/>
      <c r="ADK157" s="196"/>
      <c r="ADL157" s="196"/>
      <c r="ADM157" s="196"/>
      <c r="ADN157" s="196"/>
      <c r="ADO157" s="196"/>
      <c r="ADP157" s="196"/>
      <c r="ADQ157" s="196"/>
      <c r="ADR157" s="196"/>
      <c r="ADS157" s="196"/>
      <c r="ADT157" s="196"/>
      <c r="ADU157" s="196"/>
      <c r="ADV157" s="196"/>
      <c r="ADW157" s="196"/>
      <c r="ADX157" s="196"/>
      <c r="ADY157" s="196"/>
      <c r="ADZ157" s="196"/>
      <c r="AEA157" s="196"/>
      <c r="AEB157" s="196"/>
      <c r="AEC157" s="196"/>
      <c r="AED157" s="196"/>
      <c r="AEE157" s="196"/>
      <c r="AEF157" s="196"/>
      <c r="AEG157" s="196"/>
      <c r="AEH157" s="196"/>
      <c r="AEI157" s="196"/>
      <c r="AEJ157" s="196"/>
      <c r="AEK157" s="196"/>
      <c r="AEL157" s="196"/>
      <c r="AEM157" s="196"/>
      <c r="AEN157" s="196"/>
      <c r="AEO157" s="196"/>
      <c r="AEP157" s="196"/>
      <c r="AEQ157" s="196"/>
      <c r="AER157" s="196"/>
      <c r="AES157" s="196"/>
      <c r="AET157" s="196"/>
      <c r="AEU157" s="196"/>
      <c r="AEV157" s="196"/>
      <c r="AEW157" s="196"/>
      <c r="AEX157" s="196"/>
      <c r="AEY157" s="196"/>
      <c r="AEZ157" s="196"/>
      <c r="AFA157" s="196"/>
      <c r="AFB157" s="196"/>
      <c r="AFC157" s="196"/>
      <c r="AFD157" s="196"/>
      <c r="AFE157" s="196"/>
      <c r="AFF157" s="196"/>
      <c r="AFG157" s="196"/>
      <c r="AFH157" s="196"/>
      <c r="AFI157" s="196"/>
      <c r="AFJ157" s="196"/>
      <c r="AFK157" s="196"/>
      <c r="AFL157" s="196"/>
      <c r="AFM157" s="196"/>
      <c r="AFN157" s="196"/>
      <c r="AFO157" s="196"/>
      <c r="AFP157" s="196"/>
      <c r="AFQ157" s="196"/>
      <c r="AFR157" s="196"/>
      <c r="AFS157" s="196"/>
      <c r="AFT157" s="196"/>
      <c r="AFU157" s="196"/>
      <c r="AFV157" s="196"/>
      <c r="AFW157" s="196"/>
      <c r="AFX157" s="196"/>
      <c r="AFY157" s="196"/>
      <c r="AFZ157" s="196"/>
      <c r="AGA157" s="196"/>
      <c r="AGB157" s="196"/>
      <c r="AGC157" s="196"/>
      <c r="AGD157" s="196"/>
      <c r="AGE157" s="196"/>
      <c r="AGF157" s="196"/>
      <c r="AGG157" s="196"/>
      <c r="AGH157" s="196"/>
      <c r="AGI157" s="196"/>
      <c r="AGJ157" s="196"/>
      <c r="AGK157" s="196"/>
      <c r="AGL157" s="196"/>
      <c r="AGM157" s="196"/>
      <c r="AGN157" s="196"/>
      <c r="AGO157" s="196"/>
      <c r="AGP157" s="196"/>
      <c r="AGQ157" s="196"/>
      <c r="AGR157" s="196"/>
      <c r="AGS157" s="196"/>
      <c r="AGT157" s="196"/>
      <c r="AGU157" s="196"/>
      <c r="AGV157" s="196"/>
      <c r="AGW157" s="196"/>
      <c r="AGX157" s="196"/>
      <c r="AGY157" s="196"/>
      <c r="AGZ157" s="196"/>
      <c r="AHA157" s="196"/>
      <c r="AHB157" s="196"/>
      <c r="AHC157" s="196"/>
      <c r="AHD157" s="196"/>
      <c r="AHE157" s="196"/>
      <c r="AHF157" s="196"/>
      <c r="AHG157" s="196"/>
      <c r="AHH157" s="196"/>
      <c r="AHI157" s="196"/>
      <c r="AHJ157" s="196"/>
      <c r="AHK157" s="196"/>
      <c r="AHL157" s="196"/>
      <c r="AHM157" s="196"/>
      <c r="AHN157" s="196"/>
      <c r="AHO157" s="196"/>
      <c r="AHP157" s="196"/>
      <c r="AHQ157" s="196"/>
      <c r="AHR157" s="196"/>
      <c r="AHS157" s="196"/>
      <c r="AHT157" s="196"/>
      <c r="AHU157" s="196"/>
      <c r="AHV157" s="196"/>
      <c r="AHW157" s="196"/>
      <c r="AHX157" s="196"/>
      <c r="AHY157" s="196"/>
      <c r="AHZ157" s="196"/>
      <c r="AIA157" s="196"/>
      <c r="AIB157" s="196"/>
      <c r="AIC157" s="196"/>
      <c r="AID157" s="196"/>
      <c r="AIE157" s="196"/>
      <c r="AIF157" s="196"/>
      <c r="AIG157" s="196"/>
      <c r="AIH157" s="196"/>
      <c r="AII157" s="196"/>
      <c r="AIJ157" s="196"/>
      <c r="AIK157" s="196"/>
      <c r="AIL157" s="196"/>
      <c r="AIM157" s="196"/>
      <c r="AIN157" s="196"/>
      <c r="AIO157" s="196"/>
      <c r="AIP157" s="196"/>
      <c r="AIQ157" s="196"/>
      <c r="AIR157" s="196"/>
      <c r="AIS157" s="196"/>
      <c r="AIT157" s="196"/>
      <c r="AIU157" s="196"/>
      <c r="AIV157" s="196"/>
      <c r="AIW157" s="196"/>
      <c r="AIX157" s="196"/>
      <c r="AIY157" s="196"/>
      <c r="AIZ157" s="196"/>
      <c r="AJA157" s="196"/>
      <c r="AJB157" s="196"/>
      <c r="AJC157" s="196"/>
      <c r="AJD157" s="196"/>
      <c r="AJE157" s="196"/>
      <c r="AJF157" s="196"/>
      <c r="AJG157" s="196"/>
      <c r="AJH157" s="196"/>
      <c r="AJI157" s="196"/>
      <c r="AJJ157" s="196"/>
      <c r="AJK157" s="196"/>
      <c r="AJL157" s="196"/>
      <c r="AJM157" s="196"/>
      <c r="AJN157" s="196"/>
      <c r="AJO157" s="196"/>
      <c r="AJP157" s="196"/>
      <c r="AJQ157" s="196"/>
      <c r="AJR157" s="196"/>
      <c r="AJS157" s="196"/>
      <c r="AJT157" s="196"/>
      <c r="AJU157" s="196"/>
      <c r="AJV157" s="196"/>
      <c r="AJW157" s="196"/>
      <c r="AJX157" s="196"/>
      <c r="AJY157" s="196"/>
      <c r="AJZ157" s="196"/>
      <c r="AKA157" s="196"/>
      <c r="AKB157" s="196"/>
      <c r="AKC157" s="196"/>
      <c r="AKD157" s="196"/>
      <c r="AKE157" s="196"/>
      <c r="AKF157" s="196"/>
      <c r="AKG157" s="196"/>
      <c r="AKH157" s="196"/>
      <c r="AKI157" s="196"/>
      <c r="AKJ157" s="196"/>
      <c r="AKK157" s="196"/>
      <c r="AKL157" s="196"/>
      <c r="AKM157" s="196"/>
      <c r="AKN157" s="196"/>
      <c r="AKO157" s="196"/>
      <c r="AKP157" s="196"/>
      <c r="AKQ157" s="196"/>
      <c r="AKR157" s="196"/>
      <c r="AKS157" s="196"/>
      <c r="AKT157" s="196"/>
      <c r="AKU157" s="196"/>
      <c r="AKV157" s="196"/>
      <c r="AKW157" s="196"/>
      <c r="AKX157" s="196"/>
      <c r="AKY157" s="196"/>
      <c r="AKZ157" s="196"/>
      <c r="ALA157" s="196"/>
      <c r="ALB157" s="196"/>
      <c r="ALC157" s="196"/>
      <c r="ALD157" s="196"/>
      <c r="ALE157" s="196"/>
      <c r="ALF157" s="196"/>
      <c r="ALG157" s="196"/>
      <c r="ALH157" s="196"/>
      <c r="ALI157" s="196"/>
      <c r="ALJ157" s="196"/>
      <c r="ALK157" s="196"/>
      <c r="ALL157" s="196"/>
      <c r="ALM157" s="196"/>
      <c r="ALN157" s="196"/>
      <c r="ALO157" s="196"/>
      <c r="ALP157" s="196"/>
      <c r="ALQ157" s="196"/>
      <c r="ALR157" s="196"/>
      <c r="ALS157" s="196"/>
      <c r="ALT157" s="196"/>
      <c r="ALU157" s="196"/>
      <c r="ALV157" s="196"/>
      <c r="ALW157" s="196"/>
      <c r="ALX157" s="196"/>
      <c r="ALY157" s="196"/>
      <c r="ALZ157" s="196"/>
      <c r="AMA157" s="196"/>
      <c r="AMB157" s="196"/>
      <c r="AMC157" s="196"/>
      <c r="AMD157" s="196"/>
      <c r="AME157" s="196"/>
      <c r="AMF157" s="196"/>
      <c r="AMG157" s="196"/>
      <c r="AMH157" s="196"/>
      <c r="AMI157" s="196"/>
      <c r="AMJ157" s="196"/>
    </row>
    <row r="158" customFormat="false" ht="15.75" hidden="false" customHeight="true" outlineLevel="0" collapsed="false">
      <c r="A158" s="196"/>
      <c r="B158" s="77"/>
      <c r="C158" s="263" t="s">
        <v>187</v>
      </c>
      <c r="D158" s="78"/>
      <c r="E158" s="78"/>
      <c r="F158" s="78"/>
      <c r="G158" s="10"/>
      <c r="H158" s="24"/>
      <c r="I158" s="263"/>
      <c r="J158" s="7"/>
      <c r="K158" s="7"/>
      <c r="L158" s="7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  <c r="AS158" s="196"/>
      <c r="AT158" s="196"/>
      <c r="AU158" s="196"/>
      <c r="AV158" s="196"/>
      <c r="AW158" s="196"/>
      <c r="AX158" s="196"/>
      <c r="AY158" s="196"/>
      <c r="AZ158" s="196"/>
      <c r="BA158" s="196"/>
      <c r="BB158" s="196"/>
      <c r="BC158" s="196"/>
      <c r="BD158" s="196"/>
      <c r="BE158" s="196"/>
      <c r="BF158" s="196"/>
      <c r="BG158" s="196"/>
      <c r="BH158" s="196"/>
      <c r="BI158" s="196"/>
      <c r="BJ158" s="196"/>
      <c r="BK158" s="196"/>
      <c r="BL158" s="196"/>
      <c r="BM158" s="196"/>
      <c r="BN158" s="196"/>
      <c r="BO158" s="196"/>
      <c r="BP158" s="196"/>
      <c r="BQ158" s="196"/>
      <c r="BR158" s="196"/>
      <c r="BS158" s="196"/>
      <c r="BT158" s="196"/>
      <c r="BU158" s="196"/>
      <c r="BV158" s="196"/>
      <c r="BW158" s="196"/>
      <c r="BX158" s="196"/>
      <c r="BY158" s="196"/>
      <c r="BZ158" s="196"/>
      <c r="CA158" s="196"/>
      <c r="CB158" s="196"/>
      <c r="CC158" s="196"/>
      <c r="CD158" s="196"/>
      <c r="CE158" s="196"/>
      <c r="CF158" s="196"/>
      <c r="CG158" s="196"/>
      <c r="CH158" s="196"/>
      <c r="CI158" s="196"/>
      <c r="CJ158" s="196"/>
      <c r="CK158" s="196"/>
      <c r="CL158" s="196"/>
      <c r="CM158" s="196"/>
      <c r="CN158" s="196"/>
      <c r="CO158" s="196"/>
      <c r="CP158" s="196"/>
      <c r="CQ158" s="196"/>
      <c r="CR158" s="196"/>
      <c r="CS158" s="196"/>
      <c r="CT158" s="196"/>
      <c r="CU158" s="196"/>
      <c r="CV158" s="196"/>
      <c r="CW158" s="196"/>
      <c r="CX158" s="196"/>
      <c r="CY158" s="196"/>
      <c r="CZ158" s="196"/>
      <c r="DA158" s="196"/>
      <c r="DB158" s="196"/>
      <c r="DC158" s="196"/>
      <c r="DD158" s="196"/>
      <c r="DE158" s="196"/>
      <c r="DF158" s="196"/>
      <c r="DG158" s="196"/>
      <c r="DH158" s="196"/>
      <c r="DI158" s="196"/>
      <c r="DJ158" s="196"/>
      <c r="DK158" s="196"/>
      <c r="DL158" s="196"/>
      <c r="DM158" s="196"/>
      <c r="DN158" s="196"/>
      <c r="DO158" s="196"/>
      <c r="DP158" s="196"/>
      <c r="DQ158" s="196"/>
      <c r="DR158" s="196"/>
      <c r="DS158" s="196"/>
      <c r="DT158" s="196"/>
      <c r="DU158" s="196"/>
      <c r="DV158" s="196"/>
      <c r="DW158" s="196"/>
      <c r="DX158" s="196"/>
      <c r="DY158" s="196"/>
      <c r="DZ158" s="196"/>
      <c r="EA158" s="196"/>
      <c r="EB158" s="196"/>
      <c r="EC158" s="196"/>
      <c r="ED158" s="196"/>
      <c r="EE158" s="196"/>
      <c r="EF158" s="196"/>
      <c r="EG158" s="196"/>
      <c r="EH158" s="196"/>
      <c r="EI158" s="196"/>
      <c r="EJ158" s="196"/>
      <c r="EK158" s="196"/>
      <c r="EL158" s="196"/>
      <c r="EM158" s="196"/>
      <c r="EN158" s="196"/>
      <c r="EO158" s="196"/>
      <c r="EP158" s="196"/>
      <c r="EQ158" s="196"/>
      <c r="ER158" s="196"/>
      <c r="ES158" s="196"/>
      <c r="ET158" s="196"/>
      <c r="EU158" s="196"/>
      <c r="EV158" s="196"/>
      <c r="EW158" s="196"/>
      <c r="EX158" s="196"/>
      <c r="EY158" s="196"/>
      <c r="EZ158" s="196"/>
      <c r="FA158" s="196"/>
      <c r="FB158" s="196"/>
      <c r="FC158" s="196"/>
      <c r="FD158" s="196"/>
      <c r="FE158" s="196"/>
      <c r="FF158" s="196"/>
      <c r="FG158" s="196"/>
      <c r="FH158" s="196"/>
      <c r="FI158" s="196"/>
      <c r="FJ158" s="196"/>
      <c r="FK158" s="196"/>
      <c r="FL158" s="196"/>
      <c r="FM158" s="196"/>
      <c r="FN158" s="196"/>
      <c r="FO158" s="196"/>
      <c r="FP158" s="196"/>
      <c r="FQ158" s="196"/>
      <c r="FR158" s="196"/>
      <c r="FS158" s="196"/>
      <c r="FT158" s="196"/>
      <c r="FU158" s="196"/>
      <c r="FV158" s="196"/>
      <c r="FW158" s="196"/>
      <c r="FX158" s="196"/>
      <c r="FY158" s="196"/>
      <c r="FZ158" s="196"/>
      <c r="GA158" s="196"/>
      <c r="GB158" s="196"/>
      <c r="GC158" s="196"/>
      <c r="GD158" s="196"/>
      <c r="GE158" s="196"/>
      <c r="GF158" s="196"/>
      <c r="GG158" s="196"/>
      <c r="GH158" s="196"/>
      <c r="GI158" s="196"/>
      <c r="GJ158" s="196"/>
      <c r="GK158" s="196"/>
      <c r="GL158" s="196"/>
      <c r="GM158" s="196"/>
      <c r="GN158" s="196"/>
      <c r="GO158" s="196"/>
      <c r="GP158" s="196"/>
      <c r="GQ158" s="196"/>
      <c r="GR158" s="196"/>
      <c r="GS158" s="196"/>
      <c r="GT158" s="196"/>
      <c r="GU158" s="196"/>
      <c r="GV158" s="196"/>
      <c r="GW158" s="196"/>
      <c r="GX158" s="196"/>
      <c r="GY158" s="196"/>
      <c r="GZ158" s="196"/>
      <c r="HA158" s="196"/>
      <c r="HB158" s="196"/>
      <c r="HC158" s="196"/>
      <c r="HD158" s="196"/>
      <c r="HE158" s="196"/>
      <c r="HF158" s="196"/>
      <c r="HG158" s="196"/>
      <c r="HH158" s="196"/>
      <c r="HI158" s="196"/>
      <c r="HJ158" s="196"/>
      <c r="HK158" s="196"/>
      <c r="HL158" s="196"/>
      <c r="HM158" s="196"/>
      <c r="HN158" s="196"/>
      <c r="HO158" s="196"/>
      <c r="HP158" s="196"/>
      <c r="HQ158" s="196"/>
      <c r="HR158" s="196"/>
      <c r="HS158" s="196"/>
      <c r="HT158" s="196"/>
      <c r="HU158" s="196"/>
      <c r="HV158" s="196"/>
      <c r="HW158" s="196"/>
      <c r="HX158" s="196"/>
      <c r="HY158" s="196"/>
      <c r="HZ158" s="196"/>
      <c r="IA158" s="196"/>
      <c r="IB158" s="196"/>
      <c r="IC158" s="196"/>
      <c r="ID158" s="196"/>
      <c r="IE158" s="196"/>
      <c r="IF158" s="196"/>
      <c r="IG158" s="196"/>
      <c r="IH158" s="196"/>
      <c r="II158" s="196"/>
      <c r="IJ158" s="196"/>
      <c r="IK158" s="196"/>
      <c r="IL158" s="196"/>
      <c r="IM158" s="196"/>
      <c r="IN158" s="196"/>
      <c r="IO158" s="196"/>
      <c r="IP158" s="196"/>
      <c r="IQ158" s="196"/>
      <c r="IR158" s="196"/>
      <c r="IS158" s="196"/>
      <c r="IT158" s="196"/>
      <c r="IU158" s="196"/>
      <c r="IV158" s="196"/>
      <c r="IW158" s="196"/>
      <c r="IX158" s="196"/>
      <c r="IY158" s="196"/>
      <c r="IZ158" s="196"/>
      <c r="JA158" s="196"/>
      <c r="JB158" s="196"/>
      <c r="JC158" s="196"/>
      <c r="JD158" s="196"/>
      <c r="JE158" s="196"/>
      <c r="JF158" s="196"/>
      <c r="JG158" s="196"/>
      <c r="JH158" s="196"/>
      <c r="JI158" s="196"/>
      <c r="JJ158" s="196"/>
      <c r="JK158" s="196"/>
      <c r="JL158" s="196"/>
      <c r="JM158" s="196"/>
      <c r="JN158" s="196"/>
      <c r="JO158" s="196"/>
      <c r="JP158" s="196"/>
      <c r="JQ158" s="196"/>
      <c r="JR158" s="196"/>
      <c r="JS158" s="196"/>
      <c r="JT158" s="196"/>
      <c r="JU158" s="196"/>
      <c r="JV158" s="196"/>
      <c r="JW158" s="196"/>
      <c r="JX158" s="196"/>
      <c r="JY158" s="196"/>
      <c r="JZ158" s="196"/>
      <c r="KA158" s="196"/>
      <c r="KB158" s="196"/>
      <c r="KC158" s="196"/>
      <c r="KD158" s="196"/>
      <c r="KE158" s="196"/>
      <c r="KF158" s="196"/>
      <c r="KG158" s="196"/>
      <c r="KH158" s="196"/>
      <c r="KI158" s="196"/>
      <c r="KJ158" s="196"/>
      <c r="KK158" s="196"/>
      <c r="KL158" s="196"/>
      <c r="KM158" s="196"/>
      <c r="KN158" s="196"/>
      <c r="KO158" s="196"/>
      <c r="KP158" s="196"/>
      <c r="KQ158" s="196"/>
      <c r="KR158" s="196"/>
      <c r="KS158" s="196"/>
      <c r="KT158" s="196"/>
      <c r="KU158" s="196"/>
      <c r="KV158" s="196"/>
      <c r="KW158" s="196"/>
      <c r="KX158" s="196"/>
      <c r="KY158" s="196"/>
      <c r="KZ158" s="196"/>
      <c r="LA158" s="196"/>
      <c r="LB158" s="196"/>
      <c r="LC158" s="196"/>
      <c r="LD158" s="196"/>
      <c r="LE158" s="196"/>
      <c r="LF158" s="196"/>
      <c r="LG158" s="196"/>
      <c r="LH158" s="196"/>
      <c r="LI158" s="196"/>
      <c r="LJ158" s="196"/>
      <c r="LK158" s="196"/>
      <c r="LL158" s="196"/>
      <c r="LM158" s="196"/>
      <c r="LN158" s="196"/>
      <c r="LO158" s="196"/>
      <c r="LP158" s="196"/>
      <c r="LQ158" s="196"/>
      <c r="LR158" s="196"/>
      <c r="LS158" s="196"/>
      <c r="LT158" s="196"/>
      <c r="LU158" s="196"/>
      <c r="LV158" s="196"/>
      <c r="LW158" s="196"/>
      <c r="LX158" s="196"/>
      <c r="LY158" s="196"/>
      <c r="LZ158" s="196"/>
      <c r="MA158" s="196"/>
      <c r="MB158" s="196"/>
      <c r="MC158" s="196"/>
      <c r="MD158" s="196"/>
      <c r="ME158" s="196"/>
      <c r="MF158" s="196"/>
      <c r="MG158" s="196"/>
      <c r="MH158" s="196"/>
      <c r="MI158" s="196"/>
      <c r="MJ158" s="196"/>
      <c r="MK158" s="196"/>
      <c r="ML158" s="196"/>
      <c r="MM158" s="196"/>
      <c r="MN158" s="196"/>
      <c r="MO158" s="196"/>
      <c r="MP158" s="196"/>
      <c r="MQ158" s="196"/>
      <c r="MR158" s="196"/>
      <c r="MS158" s="196"/>
      <c r="MT158" s="196"/>
      <c r="MU158" s="196"/>
      <c r="MV158" s="196"/>
      <c r="MW158" s="196"/>
      <c r="MX158" s="196"/>
      <c r="MY158" s="196"/>
      <c r="MZ158" s="196"/>
      <c r="NA158" s="196"/>
      <c r="NB158" s="196"/>
      <c r="NC158" s="196"/>
      <c r="ND158" s="196"/>
      <c r="NE158" s="196"/>
      <c r="NF158" s="196"/>
      <c r="NG158" s="196"/>
      <c r="NH158" s="196"/>
      <c r="NI158" s="196"/>
      <c r="NJ158" s="196"/>
      <c r="NK158" s="196"/>
      <c r="NL158" s="196"/>
      <c r="NM158" s="196"/>
      <c r="NN158" s="196"/>
      <c r="NO158" s="196"/>
      <c r="NP158" s="196"/>
      <c r="NQ158" s="196"/>
      <c r="NR158" s="196"/>
      <c r="NS158" s="196"/>
      <c r="NT158" s="196"/>
      <c r="NU158" s="196"/>
      <c r="NV158" s="196"/>
      <c r="NW158" s="196"/>
      <c r="NX158" s="196"/>
      <c r="NY158" s="196"/>
      <c r="NZ158" s="196"/>
      <c r="OA158" s="196"/>
      <c r="OB158" s="196"/>
      <c r="OC158" s="196"/>
      <c r="OD158" s="196"/>
      <c r="OE158" s="196"/>
      <c r="OF158" s="196"/>
      <c r="OG158" s="196"/>
      <c r="OH158" s="196"/>
      <c r="OI158" s="196"/>
      <c r="OJ158" s="196"/>
      <c r="OK158" s="196"/>
      <c r="OL158" s="196"/>
      <c r="OM158" s="196"/>
      <c r="ON158" s="196"/>
      <c r="OO158" s="196"/>
      <c r="OP158" s="196"/>
      <c r="OQ158" s="196"/>
      <c r="OR158" s="196"/>
      <c r="OS158" s="196"/>
      <c r="OT158" s="196"/>
      <c r="OU158" s="196"/>
      <c r="OV158" s="196"/>
      <c r="OW158" s="196"/>
      <c r="OX158" s="196"/>
      <c r="OY158" s="196"/>
      <c r="OZ158" s="196"/>
      <c r="PA158" s="196"/>
      <c r="PB158" s="196"/>
      <c r="PC158" s="196"/>
      <c r="PD158" s="196"/>
      <c r="PE158" s="196"/>
      <c r="PF158" s="196"/>
      <c r="PG158" s="196"/>
      <c r="PH158" s="196"/>
      <c r="PI158" s="196"/>
      <c r="PJ158" s="196"/>
      <c r="PK158" s="196"/>
      <c r="PL158" s="196"/>
      <c r="PM158" s="196"/>
      <c r="PN158" s="196"/>
      <c r="PO158" s="196"/>
      <c r="PP158" s="196"/>
      <c r="PQ158" s="196"/>
      <c r="PR158" s="196"/>
      <c r="PS158" s="196"/>
      <c r="PT158" s="196"/>
      <c r="PU158" s="196"/>
      <c r="PV158" s="196"/>
      <c r="PW158" s="196"/>
      <c r="PX158" s="196"/>
      <c r="PY158" s="196"/>
      <c r="PZ158" s="196"/>
      <c r="QA158" s="196"/>
      <c r="QB158" s="196"/>
      <c r="QC158" s="196"/>
      <c r="QD158" s="196"/>
      <c r="QE158" s="196"/>
      <c r="QF158" s="196"/>
      <c r="QG158" s="196"/>
      <c r="QH158" s="196"/>
      <c r="QI158" s="196"/>
      <c r="QJ158" s="196"/>
      <c r="QK158" s="196"/>
      <c r="QL158" s="196"/>
      <c r="QM158" s="196"/>
      <c r="QN158" s="196"/>
      <c r="QO158" s="196"/>
      <c r="QP158" s="196"/>
      <c r="QQ158" s="196"/>
      <c r="QR158" s="196"/>
      <c r="QS158" s="196"/>
      <c r="QT158" s="196"/>
      <c r="QU158" s="196"/>
      <c r="QV158" s="196"/>
      <c r="QW158" s="196"/>
      <c r="QX158" s="196"/>
      <c r="QY158" s="196"/>
      <c r="QZ158" s="196"/>
      <c r="RA158" s="196"/>
      <c r="RB158" s="196"/>
      <c r="RC158" s="196"/>
      <c r="RD158" s="196"/>
      <c r="RE158" s="196"/>
      <c r="RF158" s="196"/>
      <c r="RG158" s="196"/>
      <c r="RH158" s="196"/>
      <c r="RI158" s="196"/>
      <c r="RJ158" s="196"/>
      <c r="RK158" s="196"/>
      <c r="RL158" s="196"/>
      <c r="RM158" s="196"/>
      <c r="RN158" s="196"/>
      <c r="RO158" s="196"/>
      <c r="RP158" s="196"/>
      <c r="RQ158" s="196"/>
      <c r="RR158" s="196"/>
      <c r="RS158" s="196"/>
      <c r="RT158" s="196"/>
      <c r="RU158" s="196"/>
      <c r="RV158" s="196"/>
      <c r="RW158" s="196"/>
      <c r="RX158" s="196"/>
      <c r="RY158" s="196"/>
      <c r="RZ158" s="196"/>
      <c r="SA158" s="196"/>
      <c r="SB158" s="196"/>
      <c r="SC158" s="196"/>
      <c r="SD158" s="196"/>
      <c r="SE158" s="196"/>
      <c r="SF158" s="196"/>
      <c r="SG158" s="196"/>
      <c r="SH158" s="196"/>
      <c r="SI158" s="196"/>
      <c r="SJ158" s="196"/>
      <c r="SK158" s="196"/>
      <c r="SL158" s="196"/>
      <c r="SM158" s="196"/>
      <c r="SN158" s="196"/>
      <c r="SO158" s="196"/>
      <c r="SP158" s="196"/>
      <c r="SQ158" s="196"/>
      <c r="SR158" s="196"/>
      <c r="SS158" s="196"/>
      <c r="ST158" s="196"/>
      <c r="SU158" s="196"/>
      <c r="SV158" s="196"/>
      <c r="SW158" s="196"/>
      <c r="SX158" s="196"/>
      <c r="SY158" s="196"/>
      <c r="SZ158" s="196"/>
      <c r="TA158" s="196"/>
      <c r="TB158" s="196"/>
      <c r="TC158" s="196"/>
      <c r="TD158" s="196"/>
      <c r="TE158" s="196"/>
      <c r="TF158" s="196"/>
      <c r="TG158" s="196"/>
      <c r="TH158" s="196"/>
      <c r="TI158" s="196"/>
      <c r="TJ158" s="196"/>
      <c r="TK158" s="196"/>
      <c r="TL158" s="196"/>
      <c r="TM158" s="196"/>
      <c r="TN158" s="196"/>
      <c r="TO158" s="196"/>
      <c r="TP158" s="196"/>
      <c r="TQ158" s="196"/>
      <c r="TR158" s="196"/>
      <c r="TS158" s="196"/>
      <c r="TT158" s="196"/>
      <c r="TU158" s="196"/>
      <c r="TV158" s="196"/>
      <c r="TW158" s="196"/>
      <c r="TX158" s="196"/>
      <c r="TY158" s="196"/>
      <c r="TZ158" s="196"/>
      <c r="UA158" s="196"/>
      <c r="UB158" s="196"/>
      <c r="UC158" s="196"/>
      <c r="UD158" s="196"/>
      <c r="UE158" s="196"/>
      <c r="UF158" s="196"/>
      <c r="UG158" s="196"/>
      <c r="UH158" s="196"/>
      <c r="UI158" s="196"/>
      <c r="UJ158" s="196"/>
      <c r="UK158" s="196"/>
      <c r="UL158" s="196"/>
      <c r="UM158" s="196"/>
      <c r="UN158" s="196"/>
      <c r="UO158" s="196"/>
      <c r="UP158" s="196"/>
      <c r="UQ158" s="196"/>
      <c r="UR158" s="196"/>
      <c r="US158" s="196"/>
      <c r="UT158" s="196"/>
      <c r="UU158" s="196"/>
      <c r="UV158" s="196"/>
      <c r="UW158" s="196"/>
      <c r="UX158" s="196"/>
      <c r="UY158" s="196"/>
      <c r="UZ158" s="196"/>
      <c r="VA158" s="196"/>
      <c r="VB158" s="196"/>
      <c r="VC158" s="196"/>
      <c r="VD158" s="196"/>
      <c r="VE158" s="196"/>
      <c r="VF158" s="196"/>
      <c r="VG158" s="196"/>
      <c r="VH158" s="196"/>
      <c r="VI158" s="196"/>
      <c r="VJ158" s="196"/>
      <c r="VK158" s="196"/>
      <c r="VL158" s="196"/>
      <c r="VM158" s="196"/>
      <c r="VN158" s="196"/>
      <c r="VO158" s="196"/>
      <c r="VP158" s="196"/>
      <c r="VQ158" s="196"/>
      <c r="VR158" s="196"/>
      <c r="VS158" s="196"/>
      <c r="VT158" s="196"/>
      <c r="VU158" s="196"/>
      <c r="VV158" s="196"/>
      <c r="VW158" s="196"/>
      <c r="VX158" s="196"/>
      <c r="VY158" s="196"/>
      <c r="VZ158" s="196"/>
      <c r="WA158" s="196"/>
      <c r="WB158" s="196"/>
      <c r="WC158" s="196"/>
      <c r="WD158" s="196"/>
      <c r="WE158" s="196"/>
      <c r="WF158" s="196"/>
      <c r="WG158" s="196"/>
      <c r="WH158" s="196"/>
      <c r="WI158" s="196"/>
      <c r="WJ158" s="196"/>
      <c r="WK158" s="196"/>
      <c r="WL158" s="196"/>
      <c r="WM158" s="196"/>
      <c r="WN158" s="196"/>
      <c r="WO158" s="196"/>
      <c r="WP158" s="196"/>
      <c r="WQ158" s="196"/>
      <c r="WR158" s="196"/>
      <c r="WS158" s="196"/>
      <c r="WT158" s="196"/>
      <c r="WU158" s="196"/>
      <c r="WV158" s="196"/>
      <c r="WW158" s="196"/>
      <c r="WX158" s="196"/>
      <c r="WY158" s="196"/>
      <c r="WZ158" s="196"/>
      <c r="XA158" s="196"/>
      <c r="XB158" s="196"/>
      <c r="XC158" s="196"/>
      <c r="XD158" s="196"/>
      <c r="XE158" s="196"/>
      <c r="XF158" s="196"/>
      <c r="XG158" s="196"/>
      <c r="XH158" s="196"/>
      <c r="XI158" s="196"/>
      <c r="XJ158" s="196"/>
      <c r="XK158" s="196"/>
      <c r="XL158" s="196"/>
      <c r="XM158" s="196"/>
      <c r="XN158" s="196"/>
      <c r="XO158" s="196"/>
      <c r="XP158" s="196"/>
      <c r="XQ158" s="196"/>
      <c r="XR158" s="196"/>
      <c r="XS158" s="196"/>
      <c r="XT158" s="196"/>
      <c r="XU158" s="196"/>
      <c r="XV158" s="196"/>
      <c r="XW158" s="196"/>
      <c r="XX158" s="196"/>
      <c r="XY158" s="196"/>
      <c r="XZ158" s="196"/>
      <c r="YA158" s="196"/>
      <c r="YB158" s="196"/>
      <c r="YC158" s="196"/>
      <c r="YD158" s="196"/>
      <c r="YE158" s="196"/>
      <c r="YF158" s="196"/>
      <c r="YG158" s="196"/>
      <c r="YH158" s="196"/>
      <c r="YI158" s="196"/>
      <c r="YJ158" s="196"/>
      <c r="YK158" s="196"/>
      <c r="YL158" s="196"/>
      <c r="YM158" s="196"/>
      <c r="YN158" s="196"/>
      <c r="YO158" s="196"/>
      <c r="YP158" s="196"/>
      <c r="YQ158" s="196"/>
      <c r="YR158" s="196"/>
      <c r="YS158" s="196"/>
      <c r="YT158" s="196"/>
      <c r="YU158" s="196"/>
      <c r="YV158" s="196"/>
      <c r="YW158" s="196"/>
      <c r="YX158" s="196"/>
      <c r="YY158" s="196"/>
      <c r="YZ158" s="196"/>
      <c r="ZA158" s="196"/>
      <c r="ZB158" s="196"/>
      <c r="ZC158" s="196"/>
      <c r="ZD158" s="196"/>
      <c r="ZE158" s="196"/>
      <c r="ZF158" s="196"/>
      <c r="ZG158" s="196"/>
      <c r="ZH158" s="196"/>
      <c r="ZI158" s="196"/>
      <c r="ZJ158" s="196"/>
      <c r="ZK158" s="196"/>
      <c r="ZL158" s="196"/>
      <c r="ZM158" s="196"/>
      <c r="ZN158" s="196"/>
      <c r="ZO158" s="196"/>
      <c r="ZP158" s="196"/>
      <c r="ZQ158" s="196"/>
      <c r="ZR158" s="196"/>
      <c r="ZS158" s="196"/>
      <c r="ZT158" s="196"/>
      <c r="ZU158" s="196"/>
      <c r="ZV158" s="196"/>
      <c r="ZW158" s="196"/>
      <c r="ZX158" s="196"/>
      <c r="ZY158" s="196"/>
      <c r="ZZ158" s="196"/>
      <c r="AAA158" s="196"/>
      <c r="AAB158" s="196"/>
      <c r="AAC158" s="196"/>
      <c r="AAD158" s="196"/>
      <c r="AAE158" s="196"/>
      <c r="AAF158" s="196"/>
      <c r="AAG158" s="196"/>
      <c r="AAH158" s="196"/>
      <c r="AAI158" s="196"/>
      <c r="AAJ158" s="196"/>
      <c r="AAK158" s="196"/>
      <c r="AAL158" s="196"/>
      <c r="AAM158" s="196"/>
      <c r="AAN158" s="196"/>
      <c r="AAO158" s="196"/>
      <c r="AAP158" s="196"/>
      <c r="AAQ158" s="196"/>
      <c r="AAR158" s="196"/>
      <c r="AAS158" s="196"/>
      <c r="AAT158" s="196"/>
      <c r="AAU158" s="196"/>
      <c r="AAV158" s="196"/>
      <c r="AAW158" s="196"/>
      <c r="AAX158" s="196"/>
      <c r="AAY158" s="196"/>
      <c r="AAZ158" s="196"/>
      <c r="ABA158" s="196"/>
      <c r="ABB158" s="196"/>
      <c r="ABC158" s="196"/>
      <c r="ABD158" s="196"/>
      <c r="ABE158" s="196"/>
      <c r="ABF158" s="196"/>
      <c r="ABG158" s="196"/>
      <c r="ABH158" s="196"/>
      <c r="ABI158" s="196"/>
      <c r="ABJ158" s="196"/>
      <c r="ABK158" s="196"/>
      <c r="ABL158" s="196"/>
      <c r="ABM158" s="196"/>
      <c r="ABN158" s="196"/>
      <c r="ABO158" s="196"/>
      <c r="ABP158" s="196"/>
      <c r="ABQ158" s="196"/>
      <c r="ABR158" s="196"/>
      <c r="ABS158" s="196"/>
      <c r="ABT158" s="196"/>
      <c r="ABU158" s="196"/>
      <c r="ABV158" s="196"/>
      <c r="ABW158" s="196"/>
      <c r="ABX158" s="196"/>
      <c r="ABY158" s="196"/>
      <c r="ABZ158" s="196"/>
      <c r="ACA158" s="196"/>
      <c r="ACB158" s="196"/>
      <c r="ACC158" s="196"/>
      <c r="ACD158" s="196"/>
      <c r="ACE158" s="196"/>
      <c r="ACF158" s="196"/>
      <c r="ACG158" s="196"/>
      <c r="ACH158" s="196"/>
      <c r="ACI158" s="196"/>
      <c r="ACJ158" s="196"/>
      <c r="ACK158" s="196"/>
      <c r="ACL158" s="196"/>
      <c r="ACM158" s="196"/>
      <c r="ACN158" s="196"/>
      <c r="ACO158" s="196"/>
      <c r="ACP158" s="196"/>
      <c r="ACQ158" s="196"/>
      <c r="ACR158" s="196"/>
      <c r="ACS158" s="196"/>
      <c r="ACT158" s="196"/>
      <c r="ACU158" s="196"/>
      <c r="ACV158" s="196"/>
      <c r="ACW158" s="196"/>
      <c r="ACX158" s="196"/>
      <c r="ACY158" s="196"/>
      <c r="ACZ158" s="196"/>
      <c r="ADA158" s="196"/>
      <c r="ADB158" s="196"/>
      <c r="ADC158" s="196"/>
      <c r="ADD158" s="196"/>
      <c r="ADE158" s="196"/>
      <c r="ADF158" s="196"/>
      <c r="ADG158" s="196"/>
      <c r="ADH158" s="196"/>
      <c r="ADI158" s="196"/>
      <c r="ADJ158" s="196"/>
      <c r="ADK158" s="196"/>
      <c r="ADL158" s="196"/>
      <c r="ADM158" s="196"/>
      <c r="ADN158" s="196"/>
      <c r="ADO158" s="196"/>
      <c r="ADP158" s="196"/>
      <c r="ADQ158" s="196"/>
      <c r="ADR158" s="196"/>
      <c r="ADS158" s="196"/>
      <c r="ADT158" s="196"/>
      <c r="ADU158" s="196"/>
      <c r="ADV158" s="196"/>
      <c r="ADW158" s="196"/>
      <c r="ADX158" s="196"/>
      <c r="ADY158" s="196"/>
      <c r="ADZ158" s="196"/>
      <c r="AEA158" s="196"/>
      <c r="AEB158" s="196"/>
      <c r="AEC158" s="196"/>
      <c r="AED158" s="196"/>
      <c r="AEE158" s="196"/>
      <c r="AEF158" s="196"/>
      <c r="AEG158" s="196"/>
      <c r="AEH158" s="196"/>
      <c r="AEI158" s="196"/>
      <c r="AEJ158" s="196"/>
      <c r="AEK158" s="196"/>
      <c r="AEL158" s="196"/>
      <c r="AEM158" s="196"/>
      <c r="AEN158" s="196"/>
      <c r="AEO158" s="196"/>
      <c r="AEP158" s="196"/>
      <c r="AEQ158" s="196"/>
      <c r="AER158" s="196"/>
      <c r="AES158" s="196"/>
      <c r="AET158" s="196"/>
      <c r="AEU158" s="196"/>
      <c r="AEV158" s="196"/>
      <c r="AEW158" s="196"/>
      <c r="AEX158" s="196"/>
      <c r="AEY158" s="196"/>
      <c r="AEZ158" s="196"/>
      <c r="AFA158" s="196"/>
      <c r="AFB158" s="196"/>
      <c r="AFC158" s="196"/>
      <c r="AFD158" s="196"/>
      <c r="AFE158" s="196"/>
      <c r="AFF158" s="196"/>
      <c r="AFG158" s="196"/>
      <c r="AFH158" s="196"/>
      <c r="AFI158" s="196"/>
      <c r="AFJ158" s="196"/>
      <c r="AFK158" s="196"/>
      <c r="AFL158" s="196"/>
      <c r="AFM158" s="196"/>
      <c r="AFN158" s="196"/>
      <c r="AFO158" s="196"/>
      <c r="AFP158" s="196"/>
      <c r="AFQ158" s="196"/>
      <c r="AFR158" s="196"/>
      <c r="AFS158" s="196"/>
      <c r="AFT158" s="196"/>
      <c r="AFU158" s="196"/>
      <c r="AFV158" s="196"/>
      <c r="AFW158" s="196"/>
      <c r="AFX158" s="196"/>
      <c r="AFY158" s="196"/>
      <c r="AFZ158" s="196"/>
      <c r="AGA158" s="196"/>
      <c r="AGB158" s="196"/>
      <c r="AGC158" s="196"/>
      <c r="AGD158" s="196"/>
      <c r="AGE158" s="196"/>
      <c r="AGF158" s="196"/>
      <c r="AGG158" s="196"/>
      <c r="AGH158" s="196"/>
      <c r="AGI158" s="196"/>
      <c r="AGJ158" s="196"/>
      <c r="AGK158" s="196"/>
      <c r="AGL158" s="196"/>
      <c r="AGM158" s="196"/>
      <c r="AGN158" s="196"/>
      <c r="AGO158" s="196"/>
      <c r="AGP158" s="196"/>
      <c r="AGQ158" s="196"/>
      <c r="AGR158" s="196"/>
      <c r="AGS158" s="196"/>
      <c r="AGT158" s="196"/>
      <c r="AGU158" s="196"/>
      <c r="AGV158" s="196"/>
      <c r="AGW158" s="196"/>
      <c r="AGX158" s="196"/>
      <c r="AGY158" s="196"/>
      <c r="AGZ158" s="196"/>
      <c r="AHA158" s="196"/>
      <c r="AHB158" s="196"/>
      <c r="AHC158" s="196"/>
      <c r="AHD158" s="196"/>
      <c r="AHE158" s="196"/>
      <c r="AHF158" s="196"/>
      <c r="AHG158" s="196"/>
      <c r="AHH158" s="196"/>
      <c r="AHI158" s="196"/>
      <c r="AHJ158" s="196"/>
      <c r="AHK158" s="196"/>
      <c r="AHL158" s="196"/>
      <c r="AHM158" s="196"/>
      <c r="AHN158" s="196"/>
      <c r="AHO158" s="196"/>
      <c r="AHP158" s="196"/>
      <c r="AHQ158" s="196"/>
      <c r="AHR158" s="196"/>
      <c r="AHS158" s="196"/>
      <c r="AHT158" s="196"/>
      <c r="AHU158" s="196"/>
      <c r="AHV158" s="196"/>
      <c r="AHW158" s="196"/>
      <c r="AHX158" s="196"/>
      <c r="AHY158" s="196"/>
      <c r="AHZ158" s="196"/>
      <c r="AIA158" s="196"/>
      <c r="AIB158" s="196"/>
      <c r="AIC158" s="196"/>
      <c r="AID158" s="196"/>
      <c r="AIE158" s="196"/>
      <c r="AIF158" s="196"/>
      <c r="AIG158" s="196"/>
      <c r="AIH158" s="196"/>
      <c r="AII158" s="196"/>
      <c r="AIJ158" s="196"/>
      <c r="AIK158" s="196"/>
      <c r="AIL158" s="196"/>
      <c r="AIM158" s="196"/>
      <c r="AIN158" s="196"/>
      <c r="AIO158" s="196"/>
      <c r="AIP158" s="196"/>
      <c r="AIQ158" s="196"/>
      <c r="AIR158" s="196"/>
      <c r="AIS158" s="196"/>
      <c r="AIT158" s="196"/>
      <c r="AIU158" s="196"/>
      <c r="AIV158" s="196"/>
      <c r="AIW158" s="196"/>
      <c r="AIX158" s="196"/>
      <c r="AIY158" s="196"/>
      <c r="AIZ158" s="196"/>
      <c r="AJA158" s="196"/>
      <c r="AJB158" s="196"/>
      <c r="AJC158" s="196"/>
      <c r="AJD158" s="196"/>
      <c r="AJE158" s="196"/>
      <c r="AJF158" s="196"/>
      <c r="AJG158" s="196"/>
      <c r="AJH158" s="196"/>
      <c r="AJI158" s="196"/>
      <c r="AJJ158" s="196"/>
      <c r="AJK158" s="196"/>
      <c r="AJL158" s="196"/>
      <c r="AJM158" s="196"/>
      <c r="AJN158" s="196"/>
      <c r="AJO158" s="196"/>
      <c r="AJP158" s="196"/>
      <c r="AJQ158" s="196"/>
      <c r="AJR158" s="196"/>
      <c r="AJS158" s="196"/>
      <c r="AJT158" s="196"/>
      <c r="AJU158" s="196"/>
      <c r="AJV158" s="196"/>
      <c r="AJW158" s="196"/>
      <c r="AJX158" s="196"/>
      <c r="AJY158" s="196"/>
      <c r="AJZ158" s="196"/>
      <c r="AKA158" s="196"/>
      <c r="AKB158" s="196"/>
      <c r="AKC158" s="196"/>
      <c r="AKD158" s="196"/>
      <c r="AKE158" s="196"/>
      <c r="AKF158" s="196"/>
      <c r="AKG158" s="196"/>
      <c r="AKH158" s="196"/>
      <c r="AKI158" s="196"/>
      <c r="AKJ158" s="196"/>
      <c r="AKK158" s="196"/>
      <c r="AKL158" s="196"/>
      <c r="AKM158" s="196"/>
      <c r="AKN158" s="196"/>
      <c r="AKO158" s="196"/>
      <c r="AKP158" s="196"/>
      <c r="AKQ158" s="196"/>
      <c r="AKR158" s="196"/>
      <c r="AKS158" s="196"/>
      <c r="AKT158" s="196"/>
      <c r="AKU158" s="196"/>
      <c r="AKV158" s="196"/>
      <c r="AKW158" s="196"/>
      <c r="AKX158" s="196"/>
      <c r="AKY158" s="196"/>
      <c r="AKZ158" s="196"/>
      <c r="ALA158" s="196"/>
      <c r="ALB158" s="196"/>
      <c r="ALC158" s="196"/>
      <c r="ALD158" s="196"/>
      <c r="ALE158" s="196"/>
      <c r="ALF158" s="196"/>
      <c r="ALG158" s="196"/>
      <c r="ALH158" s="196"/>
      <c r="ALI158" s="196"/>
      <c r="ALJ158" s="196"/>
      <c r="ALK158" s="196"/>
      <c r="ALL158" s="196"/>
      <c r="ALM158" s="196"/>
      <c r="ALN158" s="196"/>
      <c r="ALO158" s="196"/>
      <c r="ALP158" s="196"/>
      <c r="ALQ158" s="196"/>
      <c r="ALR158" s="196"/>
      <c r="ALS158" s="196"/>
      <c r="ALT158" s="196"/>
      <c r="ALU158" s="196"/>
      <c r="ALV158" s="196"/>
      <c r="ALW158" s="196"/>
      <c r="ALX158" s="196"/>
      <c r="ALY158" s="196"/>
      <c r="ALZ158" s="196"/>
      <c r="AMA158" s="196"/>
      <c r="AMB158" s="196"/>
      <c r="AMC158" s="196"/>
      <c r="AMD158" s="196"/>
      <c r="AME158" s="196"/>
      <c r="AMF158" s="196"/>
      <c r="AMG158" s="196"/>
      <c r="AMH158" s="196"/>
      <c r="AMI158" s="196"/>
      <c r="AMJ158" s="196"/>
    </row>
    <row r="160" customFormat="false" ht="15.75" hidden="false" customHeight="true" outlineLevel="0" collapsed="false">
      <c r="A160" s="196"/>
      <c r="B160" s="196"/>
      <c r="C160" s="264" t="s">
        <v>188</v>
      </c>
      <c r="D160" s="265" t="s">
        <v>189</v>
      </c>
      <c r="E160" s="266" t="s">
        <v>4</v>
      </c>
      <c r="F160" s="267"/>
      <c r="G160" s="10"/>
      <c r="H160" s="24"/>
      <c r="I160" s="268"/>
      <c r="J160" s="8"/>
      <c r="K160" s="8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96"/>
      <c r="AV160" s="196"/>
      <c r="AW160" s="196"/>
      <c r="AX160" s="196"/>
      <c r="AY160" s="196"/>
      <c r="AZ160" s="196"/>
      <c r="BA160" s="196"/>
      <c r="BB160" s="196"/>
      <c r="BC160" s="196"/>
      <c r="BD160" s="196"/>
      <c r="BE160" s="196"/>
      <c r="BF160" s="196"/>
      <c r="BG160" s="196"/>
      <c r="BH160" s="196"/>
      <c r="BI160" s="196"/>
      <c r="BJ160" s="196"/>
      <c r="BK160" s="196"/>
      <c r="BL160" s="196"/>
      <c r="BM160" s="196"/>
      <c r="BN160" s="196"/>
      <c r="BO160" s="196"/>
      <c r="BP160" s="196"/>
      <c r="BQ160" s="196"/>
      <c r="BR160" s="196"/>
      <c r="BS160" s="196"/>
      <c r="BT160" s="196"/>
      <c r="BU160" s="196"/>
      <c r="BV160" s="196"/>
      <c r="BW160" s="196"/>
      <c r="BX160" s="196"/>
      <c r="BY160" s="196"/>
      <c r="BZ160" s="196"/>
      <c r="CA160" s="196"/>
      <c r="CB160" s="196"/>
      <c r="CC160" s="196"/>
      <c r="CD160" s="196"/>
      <c r="CE160" s="196"/>
      <c r="CF160" s="196"/>
      <c r="CG160" s="196"/>
      <c r="CH160" s="196"/>
      <c r="CI160" s="196"/>
      <c r="CJ160" s="196"/>
      <c r="CK160" s="196"/>
      <c r="CL160" s="196"/>
      <c r="CM160" s="196"/>
      <c r="CN160" s="196"/>
      <c r="CO160" s="196"/>
      <c r="CP160" s="196"/>
      <c r="CQ160" s="196"/>
      <c r="CR160" s="196"/>
      <c r="CS160" s="196"/>
      <c r="CT160" s="196"/>
      <c r="CU160" s="196"/>
      <c r="CV160" s="196"/>
      <c r="CW160" s="196"/>
      <c r="CX160" s="196"/>
      <c r="CY160" s="196"/>
      <c r="CZ160" s="196"/>
      <c r="DA160" s="196"/>
      <c r="DB160" s="196"/>
      <c r="DC160" s="196"/>
      <c r="DD160" s="196"/>
      <c r="DE160" s="196"/>
      <c r="DF160" s="196"/>
      <c r="DG160" s="196"/>
      <c r="DH160" s="196"/>
      <c r="DI160" s="196"/>
      <c r="DJ160" s="196"/>
      <c r="DK160" s="196"/>
      <c r="DL160" s="196"/>
      <c r="DM160" s="196"/>
      <c r="DN160" s="196"/>
      <c r="DO160" s="196"/>
      <c r="DP160" s="196"/>
      <c r="DQ160" s="196"/>
      <c r="DR160" s="196"/>
      <c r="DS160" s="196"/>
      <c r="DT160" s="196"/>
      <c r="DU160" s="196"/>
      <c r="DV160" s="196"/>
      <c r="DW160" s="196"/>
      <c r="DX160" s="196"/>
      <c r="DY160" s="196"/>
      <c r="DZ160" s="196"/>
      <c r="EA160" s="196"/>
      <c r="EB160" s="196"/>
      <c r="EC160" s="196"/>
      <c r="ED160" s="196"/>
      <c r="EE160" s="196"/>
      <c r="EF160" s="196"/>
      <c r="EG160" s="196"/>
      <c r="EH160" s="196"/>
      <c r="EI160" s="196"/>
      <c r="EJ160" s="196"/>
      <c r="EK160" s="196"/>
      <c r="EL160" s="196"/>
      <c r="EM160" s="196"/>
      <c r="EN160" s="196"/>
      <c r="EO160" s="196"/>
      <c r="EP160" s="196"/>
      <c r="EQ160" s="196"/>
      <c r="ER160" s="196"/>
      <c r="ES160" s="196"/>
      <c r="ET160" s="196"/>
      <c r="EU160" s="196"/>
      <c r="EV160" s="196"/>
      <c r="EW160" s="196"/>
      <c r="EX160" s="196"/>
      <c r="EY160" s="196"/>
      <c r="EZ160" s="196"/>
      <c r="FA160" s="196"/>
      <c r="FB160" s="196"/>
      <c r="FC160" s="196"/>
      <c r="FD160" s="196"/>
      <c r="FE160" s="196"/>
      <c r="FF160" s="196"/>
      <c r="FG160" s="196"/>
      <c r="FH160" s="196"/>
      <c r="FI160" s="196"/>
      <c r="FJ160" s="196"/>
      <c r="FK160" s="196"/>
      <c r="FL160" s="196"/>
      <c r="FM160" s="196"/>
      <c r="FN160" s="196"/>
      <c r="FO160" s="196"/>
      <c r="FP160" s="196"/>
      <c r="FQ160" s="196"/>
      <c r="FR160" s="196"/>
      <c r="FS160" s="196"/>
      <c r="FT160" s="196"/>
      <c r="FU160" s="196"/>
      <c r="FV160" s="196"/>
      <c r="FW160" s="196"/>
      <c r="FX160" s="196"/>
      <c r="FY160" s="196"/>
      <c r="FZ160" s="196"/>
      <c r="GA160" s="196"/>
      <c r="GB160" s="196"/>
      <c r="GC160" s="196"/>
      <c r="GD160" s="196"/>
      <c r="GE160" s="196"/>
      <c r="GF160" s="196"/>
      <c r="GG160" s="196"/>
      <c r="GH160" s="196"/>
      <c r="GI160" s="196"/>
      <c r="GJ160" s="196"/>
      <c r="GK160" s="196"/>
      <c r="GL160" s="196"/>
      <c r="GM160" s="196"/>
      <c r="GN160" s="196"/>
      <c r="GO160" s="196"/>
      <c r="GP160" s="196"/>
      <c r="GQ160" s="196"/>
      <c r="GR160" s="196"/>
      <c r="GS160" s="196"/>
      <c r="GT160" s="196"/>
      <c r="GU160" s="196"/>
      <c r="GV160" s="196"/>
      <c r="GW160" s="196"/>
      <c r="GX160" s="196"/>
      <c r="GY160" s="196"/>
      <c r="GZ160" s="196"/>
      <c r="HA160" s="196"/>
      <c r="HB160" s="196"/>
      <c r="HC160" s="196"/>
      <c r="HD160" s="196"/>
      <c r="HE160" s="196"/>
      <c r="HF160" s="196"/>
      <c r="HG160" s="196"/>
      <c r="HH160" s="196"/>
      <c r="HI160" s="196"/>
      <c r="HJ160" s="196"/>
      <c r="HK160" s="196"/>
      <c r="HL160" s="196"/>
      <c r="HM160" s="196"/>
      <c r="HN160" s="196"/>
      <c r="HO160" s="196"/>
      <c r="HP160" s="196"/>
      <c r="HQ160" s="196"/>
      <c r="HR160" s="196"/>
      <c r="HS160" s="196"/>
      <c r="HT160" s="196"/>
      <c r="HU160" s="196"/>
      <c r="HV160" s="196"/>
      <c r="HW160" s="196"/>
      <c r="HX160" s="196"/>
      <c r="HY160" s="196"/>
      <c r="HZ160" s="196"/>
      <c r="IA160" s="196"/>
      <c r="IB160" s="196"/>
      <c r="IC160" s="196"/>
      <c r="ID160" s="196"/>
      <c r="IE160" s="196"/>
      <c r="IF160" s="196"/>
      <c r="IG160" s="196"/>
      <c r="IH160" s="196"/>
      <c r="II160" s="196"/>
      <c r="IJ160" s="196"/>
      <c r="IK160" s="196"/>
      <c r="IL160" s="196"/>
      <c r="IM160" s="196"/>
      <c r="IN160" s="196"/>
      <c r="IO160" s="196"/>
      <c r="IP160" s="196"/>
      <c r="IQ160" s="196"/>
      <c r="IR160" s="196"/>
      <c r="IS160" s="196"/>
      <c r="IT160" s="196"/>
      <c r="IU160" s="196"/>
      <c r="IV160" s="196"/>
      <c r="IW160" s="196"/>
      <c r="IX160" s="196"/>
      <c r="IY160" s="196"/>
      <c r="IZ160" s="196"/>
      <c r="JA160" s="196"/>
      <c r="JB160" s="196"/>
      <c r="JC160" s="196"/>
      <c r="JD160" s="196"/>
      <c r="JE160" s="196"/>
      <c r="JF160" s="196"/>
      <c r="JG160" s="196"/>
      <c r="JH160" s="196"/>
      <c r="JI160" s="196"/>
      <c r="JJ160" s="196"/>
      <c r="JK160" s="196"/>
      <c r="JL160" s="196"/>
      <c r="JM160" s="196"/>
      <c r="JN160" s="196"/>
      <c r="JO160" s="196"/>
      <c r="JP160" s="196"/>
      <c r="JQ160" s="196"/>
      <c r="JR160" s="196"/>
      <c r="JS160" s="196"/>
      <c r="JT160" s="196"/>
      <c r="JU160" s="196"/>
      <c r="JV160" s="196"/>
      <c r="JW160" s="196"/>
      <c r="JX160" s="196"/>
      <c r="JY160" s="196"/>
      <c r="JZ160" s="196"/>
      <c r="KA160" s="196"/>
      <c r="KB160" s="196"/>
      <c r="KC160" s="196"/>
      <c r="KD160" s="196"/>
      <c r="KE160" s="196"/>
      <c r="KF160" s="196"/>
      <c r="KG160" s="196"/>
      <c r="KH160" s="196"/>
      <c r="KI160" s="196"/>
      <c r="KJ160" s="196"/>
      <c r="KK160" s="196"/>
      <c r="KL160" s="196"/>
      <c r="KM160" s="196"/>
      <c r="KN160" s="196"/>
      <c r="KO160" s="196"/>
      <c r="KP160" s="196"/>
      <c r="KQ160" s="196"/>
      <c r="KR160" s="196"/>
      <c r="KS160" s="196"/>
      <c r="KT160" s="196"/>
      <c r="KU160" s="196"/>
      <c r="KV160" s="196"/>
      <c r="KW160" s="196"/>
      <c r="KX160" s="196"/>
      <c r="KY160" s="196"/>
      <c r="KZ160" s="196"/>
      <c r="LA160" s="196"/>
      <c r="LB160" s="196"/>
      <c r="LC160" s="196"/>
      <c r="LD160" s="196"/>
      <c r="LE160" s="196"/>
      <c r="LF160" s="196"/>
      <c r="LG160" s="196"/>
      <c r="LH160" s="196"/>
      <c r="LI160" s="196"/>
      <c r="LJ160" s="196"/>
      <c r="LK160" s="196"/>
      <c r="LL160" s="196"/>
      <c r="LM160" s="196"/>
      <c r="LN160" s="196"/>
      <c r="LO160" s="196"/>
      <c r="LP160" s="196"/>
      <c r="LQ160" s="196"/>
      <c r="LR160" s="196"/>
      <c r="LS160" s="196"/>
      <c r="LT160" s="196"/>
      <c r="LU160" s="196"/>
      <c r="LV160" s="196"/>
      <c r="LW160" s="196"/>
      <c r="LX160" s="196"/>
      <c r="LY160" s="196"/>
      <c r="LZ160" s="196"/>
      <c r="MA160" s="196"/>
      <c r="MB160" s="196"/>
      <c r="MC160" s="196"/>
      <c r="MD160" s="196"/>
      <c r="ME160" s="196"/>
      <c r="MF160" s="196"/>
      <c r="MG160" s="196"/>
      <c r="MH160" s="196"/>
      <c r="MI160" s="196"/>
      <c r="MJ160" s="196"/>
      <c r="MK160" s="196"/>
      <c r="ML160" s="196"/>
      <c r="MM160" s="196"/>
      <c r="MN160" s="196"/>
      <c r="MO160" s="196"/>
      <c r="MP160" s="196"/>
      <c r="MQ160" s="196"/>
      <c r="MR160" s="196"/>
      <c r="MS160" s="196"/>
      <c r="MT160" s="196"/>
      <c r="MU160" s="196"/>
      <c r="MV160" s="196"/>
      <c r="MW160" s="196"/>
      <c r="MX160" s="196"/>
      <c r="MY160" s="196"/>
      <c r="MZ160" s="196"/>
      <c r="NA160" s="196"/>
      <c r="NB160" s="196"/>
      <c r="NC160" s="196"/>
      <c r="ND160" s="196"/>
      <c r="NE160" s="196"/>
      <c r="NF160" s="196"/>
      <c r="NG160" s="196"/>
      <c r="NH160" s="196"/>
      <c r="NI160" s="196"/>
      <c r="NJ160" s="196"/>
      <c r="NK160" s="196"/>
      <c r="NL160" s="196"/>
      <c r="NM160" s="196"/>
      <c r="NN160" s="196"/>
      <c r="NO160" s="196"/>
      <c r="NP160" s="196"/>
      <c r="NQ160" s="196"/>
      <c r="NR160" s="196"/>
      <c r="NS160" s="196"/>
      <c r="NT160" s="196"/>
      <c r="NU160" s="196"/>
      <c r="NV160" s="196"/>
      <c r="NW160" s="196"/>
      <c r="NX160" s="196"/>
      <c r="NY160" s="196"/>
      <c r="NZ160" s="196"/>
      <c r="OA160" s="196"/>
      <c r="OB160" s="196"/>
      <c r="OC160" s="196"/>
      <c r="OD160" s="196"/>
      <c r="OE160" s="196"/>
      <c r="OF160" s="196"/>
      <c r="OG160" s="196"/>
      <c r="OH160" s="196"/>
      <c r="OI160" s="196"/>
      <c r="OJ160" s="196"/>
      <c r="OK160" s="196"/>
      <c r="OL160" s="196"/>
      <c r="OM160" s="196"/>
      <c r="ON160" s="196"/>
      <c r="OO160" s="196"/>
      <c r="OP160" s="196"/>
      <c r="OQ160" s="196"/>
      <c r="OR160" s="196"/>
      <c r="OS160" s="196"/>
      <c r="OT160" s="196"/>
      <c r="OU160" s="196"/>
      <c r="OV160" s="196"/>
      <c r="OW160" s="196"/>
      <c r="OX160" s="196"/>
      <c r="OY160" s="196"/>
      <c r="OZ160" s="196"/>
      <c r="PA160" s="196"/>
      <c r="PB160" s="196"/>
      <c r="PC160" s="196"/>
      <c r="PD160" s="196"/>
      <c r="PE160" s="196"/>
      <c r="PF160" s="196"/>
      <c r="PG160" s="196"/>
      <c r="PH160" s="196"/>
      <c r="PI160" s="196"/>
      <c r="PJ160" s="196"/>
      <c r="PK160" s="196"/>
      <c r="PL160" s="196"/>
      <c r="PM160" s="196"/>
      <c r="PN160" s="196"/>
      <c r="PO160" s="196"/>
      <c r="PP160" s="196"/>
      <c r="PQ160" s="196"/>
      <c r="PR160" s="196"/>
      <c r="PS160" s="196"/>
      <c r="PT160" s="196"/>
      <c r="PU160" s="196"/>
      <c r="PV160" s="196"/>
      <c r="PW160" s="196"/>
      <c r="PX160" s="196"/>
      <c r="PY160" s="196"/>
      <c r="PZ160" s="196"/>
      <c r="QA160" s="196"/>
      <c r="QB160" s="196"/>
      <c r="QC160" s="196"/>
      <c r="QD160" s="196"/>
      <c r="QE160" s="196"/>
      <c r="QF160" s="196"/>
      <c r="QG160" s="196"/>
      <c r="QH160" s="196"/>
      <c r="QI160" s="196"/>
      <c r="QJ160" s="196"/>
      <c r="QK160" s="196"/>
      <c r="QL160" s="196"/>
      <c r="QM160" s="196"/>
      <c r="QN160" s="196"/>
      <c r="QO160" s="196"/>
      <c r="QP160" s="196"/>
      <c r="QQ160" s="196"/>
      <c r="QR160" s="196"/>
      <c r="QS160" s="196"/>
      <c r="QT160" s="196"/>
      <c r="QU160" s="196"/>
      <c r="QV160" s="196"/>
      <c r="QW160" s="196"/>
      <c r="QX160" s="196"/>
      <c r="QY160" s="196"/>
      <c r="QZ160" s="196"/>
      <c r="RA160" s="196"/>
      <c r="RB160" s="196"/>
      <c r="RC160" s="196"/>
      <c r="RD160" s="196"/>
      <c r="RE160" s="196"/>
      <c r="RF160" s="196"/>
      <c r="RG160" s="196"/>
      <c r="RH160" s="196"/>
      <c r="RI160" s="196"/>
      <c r="RJ160" s="196"/>
      <c r="RK160" s="196"/>
      <c r="RL160" s="196"/>
      <c r="RM160" s="196"/>
      <c r="RN160" s="196"/>
      <c r="RO160" s="196"/>
      <c r="RP160" s="196"/>
      <c r="RQ160" s="196"/>
      <c r="RR160" s="196"/>
      <c r="RS160" s="196"/>
      <c r="RT160" s="196"/>
      <c r="RU160" s="196"/>
      <c r="RV160" s="196"/>
      <c r="RW160" s="196"/>
      <c r="RX160" s="196"/>
      <c r="RY160" s="196"/>
      <c r="RZ160" s="196"/>
      <c r="SA160" s="196"/>
      <c r="SB160" s="196"/>
      <c r="SC160" s="196"/>
      <c r="SD160" s="196"/>
      <c r="SE160" s="196"/>
      <c r="SF160" s="196"/>
      <c r="SG160" s="196"/>
      <c r="SH160" s="196"/>
      <c r="SI160" s="196"/>
      <c r="SJ160" s="196"/>
      <c r="SK160" s="196"/>
      <c r="SL160" s="196"/>
      <c r="SM160" s="196"/>
      <c r="SN160" s="196"/>
      <c r="SO160" s="196"/>
      <c r="SP160" s="196"/>
      <c r="SQ160" s="196"/>
      <c r="SR160" s="196"/>
      <c r="SS160" s="196"/>
      <c r="ST160" s="196"/>
      <c r="SU160" s="196"/>
      <c r="SV160" s="196"/>
      <c r="SW160" s="196"/>
      <c r="SX160" s="196"/>
      <c r="SY160" s="196"/>
      <c r="SZ160" s="196"/>
      <c r="TA160" s="196"/>
      <c r="TB160" s="196"/>
      <c r="TC160" s="196"/>
      <c r="TD160" s="196"/>
      <c r="TE160" s="196"/>
      <c r="TF160" s="196"/>
      <c r="TG160" s="196"/>
      <c r="TH160" s="196"/>
      <c r="TI160" s="196"/>
      <c r="TJ160" s="196"/>
      <c r="TK160" s="196"/>
      <c r="TL160" s="196"/>
      <c r="TM160" s="196"/>
      <c r="TN160" s="196"/>
      <c r="TO160" s="196"/>
      <c r="TP160" s="196"/>
      <c r="TQ160" s="196"/>
      <c r="TR160" s="196"/>
      <c r="TS160" s="196"/>
      <c r="TT160" s="196"/>
      <c r="TU160" s="196"/>
      <c r="TV160" s="196"/>
      <c r="TW160" s="196"/>
      <c r="TX160" s="196"/>
      <c r="TY160" s="196"/>
      <c r="TZ160" s="196"/>
      <c r="UA160" s="196"/>
      <c r="UB160" s="196"/>
      <c r="UC160" s="196"/>
      <c r="UD160" s="196"/>
      <c r="UE160" s="196"/>
      <c r="UF160" s="196"/>
      <c r="UG160" s="196"/>
      <c r="UH160" s="196"/>
      <c r="UI160" s="196"/>
      <c r="UJ160" s="196"/>
      <c r="UK160" s="196"/>
      <c r="UL160" s="196"/>
      <c r="UM160" s="196"/>
      <c r="UN160" s="196"/>
      <c r="UO160" s="196"/>
      <c r="UP160" s="196"/>
      <c r="UQ160" s="196"/>
      <c r="UR160" s="196"/>
      <c r="US160" s="196"/>
      <c r="UT160" s="196"/>
      <c r="UU160" s="196"/>
      <c r="UV160" s="196"/>
      <c r="UW160" s="196"/>
      <c r="UX160" s="196"/>
      <c r="UY160" s="196"/>
      <c r="UZ160" s="196"/>
      <c r="VA160" s="196"/>
      <c r="VB160" s="196"/>
      <c r="VC160" s="196"/>
      <c r="VD160" s="196"/>
      <c r="VE160" s="196"/>
      <c r="VF160" s="196"/>
      <c r="VG160" s="196"/>
      <c r="VH160" s="196"/>
      <c r="VI160" s="196"/>
      <c r="VJ160" s="196"/>
      <c r="VK160" s="196"/>
      <c r="VL160" s="196"/>
      <c r="VM160" s="196"/>
      <c r="VN160" s="196"/>
      <c r="VO160" s="196"/>
      <c r="VP160" s="196"/>
      <c r="VQ160" s="196"/>
      <c r="VR160" s="196"/>
      <c r="VS160" s="196"/>
      <c r="VT160" s="196"/>
      <c r="VU160" s="196"/>
      <c r="VV160" s="196"/>
      <c r="VW160" s="196"/>
      <c r="VX160" s="196"/>
      <c r="VY160" s="196"/>
      <c r="VZ160" s="196"/>
      <c r="WA160" s="196"/>
      <c r="WB160" s="196"/>
      <c r="WC160" s="196"/>
      <c r="WD160" s="196"/>
      <c r="WE160" s="196"/>
      <c r="WF160" s="196"/>
      <c r="WG160" s="196"/>
      <c r="WH160" s="196"/>
      <c r="WI160" s="196"/>
      <c r="WJ160" s="196"/>
      <c r="WK160" s="196"/>
      <c r="WL160" s="196"/>
      <c r="WM160" s="196"/>
      <c r="WN160" s="196"/>
      <c r="WO160" s="196"/>
      <c r="WP160" s="196"/>
      <c r="WQ160" s="196"/>
      <c r="WR160" s="196"/>
      <c r="WS160" s="196"/>
      <c r="WT160" s="196"/>
      <c r="WU160" s="196"/>
      <c r="WV160" s="196"/>
      <c r="WW160" s="196"/>
      <c r="WX160" s="196"/>
      <c r="WY160" s="196"/>
      <c r="WZ160" s="196"/>
      <c r="XA160" s="196"/>
      <c r="XB160" s="196"/>
      <c r="XC160" s="196"/>
      <c r="XD160" s="196"/>
      <c r="XE160" s="196"/>
      <c r="XF160" s="196"/>
      <c r="XG160" s="196"/>
      <c r="XH160" s="196"/>
      <c r="XI160" s="196"/>
      <c r="XJ160" s="196"/>
      <c r="XK160" s="196"/>
      <c r="XL160" s="196"/>
      <c r="XM160" s="196"/>
      <c r="XN160" s="196"/>
      <c r="XO160" s="196"/>
      <c r="XP160" s="196"/>
      <c r="XQ160" s="196"/>
      <c r="XR160" s="196"/>
      <c r="XS160" s="196"/>
      <c r="XT160" s="196"/>
      <c r="XU160" s="196"/>
      <c r="XV160" s="196"/>
      <c r="XW160" s="196"/>
      <c r="XX160" s="196"/>
      <c r="XY160" s="196"/>
      <c r="XZ160" s="196"/>
      <c r="YA160" s="196"/>
      <c r="YB160" s="196"/>
      <c r="YC160" s="196"/>
      <c r="YD160" s="196"/>
      <c r="YE160" s="196"/>
      <c r="YF160" s="196"/>
      <c r="YG160" s="196"/>
      <c r="YH160" s="196"/>
      <c r="YI160" s="196"/>
      <c r="YJ160" s="196"/>
      <c r="YK160" s="196"/>
      <c r="YL160" s="196"/>
      <c r="YM160" s="196"/>
      <c r="YN160" s="196"/>
      <c r="YO160" s="196"/>
      <c r="YP160" s="196"/>
      <c r="YQ160" s="196"/>
      <c r="YR160" s="196"/>
      <c r="YS160" s="196"/>
      <c r="YT160" s="196"/>
      <c r="YU160" s="196"/>
      <c r="YV160" s="196"/>
      <c r="YW160" s="196"/>
      <c r="YX160" s="196"/>
      <c r="YY160" s="196"/>
      <c r="YZ160" s="196"/>
      <c r="ZA160" s="196"/>
      <c r="ZB160" s="196"/>
      <c r="ZC160" s="196"/>
      <c r="ZD160" s="196"/>
      <c r="ZE160" s="196"/>
      <c r="ZF160" s="196"/>
      <c r="ZG160" s="196"/>
      <c r="ZH160" s="196"/>
      <c r="ZI160" s="196"/>
      <c r="ZJ160" s="196"/>
      <c r="ZK160" s="196"/>
      <c r="ZL160" s="196"/>
      <c r="ZM160" s="196"/>
      <c r="ZN160" s="196"/>
      <c r="ZO160" s="196"/>
      <c r="ZP160" s="196"/>
      <c r="ZQ160" s="196"/>
      <c r="ZR160" s="196"/>
      <c r="ZS160" s="196"/>
      <c r="ZT160" s="196"/>
      <c r="ZU160" s="196"/>
      <c r="ZV160" s="196"/>
      <c r="ZW160" s="196"/>
      <c r="ZX160" s="196"/>
      <c r="ZY160" s="196"/>
      <c r="ZZ160" s="196"/>
      <c r="AAA160" s="196"/>
      <c r="AAB160" s="196"/>
      <c r="AAC160" s="196"/>
      <c r="AAD160" s="196"/>
      <c r="AAE160" s="196"/>
      <c r="AAF160" s="196"/>
      <c r="AAG160" s="196"/>
      <c r="AAH160" s="196"/>
      <c r="AAI160" s="196"/>
      <c r="AAJ160" s="196"/>
      <c r="AAK160" s="196"/>
      <c r="AAL160" s="196"/>
      <c r="AAM160" s="196"/>
      <c r="AAN160" s="196"/>
      <c r="AAO160" s="196"/>
      <c r="AAP160" s="196"/>
      <c r="AAQ160" s="196"/>
      <c r="AAR160" s="196"/>
      <c r="AAS160" s="196"/>
      <c r="AAT160" s="196"/>
      <c r="AAU160" s="196"/>
      <c r="AAV160" s="196"/>
      <c r="AAW160" s="196"/>
      <c r="AAX160" s="196"/>
      <c r="AAY160" s="196"/>
      <c r="AAZ160" s="196"/>
      <c r="ABA160" s="196"/>
      <c r="ABB160" s="196"/>
      <c r="ABC160" s="196"/>
      <c r="ABD160" s="196"/>
      <c r="ABE160" s="196"/>
      <c r="ABF160" s="196"/>
      <c r="ABG160" s="196"/>
      <c r="ABH160" s="196"/>
      <c r="ABI160" s="196"/>
      <c r="ABJ160" s="196"/>
      <c r="ABK160" s="196"/>
      <c r="ABL160" s="196"/>
      <c r="ABM160" s="196"/>
      <c r="ABN160" s="196"/>
      <c r="ABO160" s="196"/>
      <c r="ABP160" s="196"/>
      <c r="ABQ160" s="196"/>
      <c r="ABR160" s="196"/>
      <c r="ABS160" s="196"/>
      <c r="ABT160" s="196"/>
      <c r="ABU160" s="196"/>
      <c r="ABV160" s="196"/>
      <c r="ABW160" s="196"/>
      <c r="ABX160" s="196"/>
      <c r="ABY160" s="196"/>
      <c r="ABZ160" s="196"/>
      <c r="ACA160" s="196"/>
      <c r="ACB160" s="196"/>
      <c r="ACC160" s="196"/>
      <c r="ACD160" s="196"/>
      <c r="ACE160" s="196"/>
      <c r="ACF160" s="196"/>
      <c r="ACG160" s="196"/>
      <c r="ACH160" s="196"/>
      <c r="ACI160" s="196"/>
      <c r="ACJ160" s="196"/>
      <c r="ACK160" s="196"/>
      <c r="ACL160" s="196"/>
      <c r="ACM160" s="196"/>
      <c r="ACN160" s="196"/>
      <c r="ACO160" s="196"/>
      <c r="ACP160" s="196"/>
      <c r="ACQ160" s="196"/>
      <c r="ACR160" s="196"/>
      <c r="ACS160" s="196"/>
      <c r="ACT160" s="196"/>
      <c r="ACU160" s="196"/>
      <c r="ACV160" s="196"/>
      <c r="ACW160" s="196"/>
      <c r="ACX160" s="196"/>
      <c r="ACY160" s="196"/>
      <c r="ACZ160" s="196"/>
      <c r="ADA160" s="196"/>
      <c r="ADB160" s="196"/>
      <c r="ADC160" s="196"/>
      <c r="ADD160" s="196"/>
      <c r="ADE160" s="196"/>
      <c r="ADF160" s="196"/>
      <c r="ADG160" s="196"/>
      <c r="ADH160" s="196"/>
      <c r="ADI160" s="196"/>
      <c r="ADJ160" s="196"/>
      <c r="ADK160" s="196"/>
      <c r="ADL160" s="196"/>
      <c r="ADM160" s="196"/>
      <c r="ADN160" s="196"/>
      <c r="ADO160" s="196"/>
      <c r="ADP160" s="196"/>
      <c r="ADQ160" s="196"/>
      <c r="ADR160" s="196"/>
      <c r="ADS160" s="196"/>
      <c r="ADT160" s="196"/>
      <c r="ADU160" s="196"/>
      <c r="ADV160" s="196"/>
      <c r="ADW160" s="196"/>
      <c r="ADX160" s="196"/>
      <c r="ADY160" s="196"/>
      <c r="ADZ160" s="196"/>
      <c r="AEA160" s="196"/>
      <c r="AEB160" s="196"/>
      <c r="AEC160" s="196"/>
      <c r="AED160" s="196"/>
      <c r="AEE160" s="196"/>
      <c r="AEF160" s="196"/>
      <c r="AEG160" s="196"/>
      <c r="AEH160" s="196"/>
      <c r="AEI160" s="196"/>
      <c r="AEJ160" s="196"/>
      <c r="AEK160" s="196"/>
      <c r="AEL160" s="196"/>
      <c r="AEM160" s="196"/>
      <c r="AEN160" s="196"/>
      <c r="AEO160" s="196"/>
      <c r="AEP160" s="196"/>
      <c r="AEQ160" s="196"/>
      <c r="AER160" s="196"/>
      <c r="AES160" s="196"/>
      <c r="AET160" s="196"/>
      <c r="AEU160" s="196"/>
      <c r="AEV160" s="196"/>
      <c r="AEW160" s="196"/>
      <c r="AEX160" s="196"/>
      <c r="AEY160" s="196"/>
      <c r="AEZ160" s="196"/>
      <c r="AFA160" s="196"/>
      <c r="AFB160" s="196"/>
      <c r="AFC160" s="196"/>
      <c r="AFD160" s="196"/>
      <c r="AFE160" s="196"/>
      <c r="AFF160" s="196"/>
      <c r="AFG160" s="196"/>
      <c r="AFH160" s="196"/>
      <c r="AFI160" s="196"/>
      <c r="AFJ160" s="196"/>
      <c r="AFK160" s="196"/>
      <c r="AFL160" s="196"/>
      <c r="AFM160" s="196"/>
      <c r="AFN160" s="196"/>
      <c r="AFO160" s="196"/>
      <c r="AFP160" s="196"/>
      <c r="AFQ160" s="196"/>
      <c r="AFR160" s="196"/>
      <c r="AFS160" s="196"/>
      <c r="AFT160" s="196"/>
      <c r="AFU160" s="196"/>
      <c r="AFV160" s="196"/>
      <c r="AFW160" s="196"/>
      <c r="AFX160" s="196"/>
      <c r="AFY160" s="196"/>
      <c r="AFZ160" s="196"/>
      <c r="AGA160" s="196"/>
      <c r="AGB160" s="196"/>
      <c r="AGC160" s="196"/>
      <c r="AGD160" s="196"/>
      <c r="AGE160" s="196"/>
      <c r="AGF160" s="196"/>
      <c r="AGG160" s="196"/>
      <c r="AGH160" s="196"/>
      <c r="AGI160" s="196"/>
      <c r="AGJ160" s="196"/>
      <c r="AGK160" s="196"/>
      <c r="AGL160" s="196"/>
      <c r="AGM160" s="196"/>
      <c r="AGN160" s="196"/>
      <c r="AGO160" s="196"/>
      <c r="AGP160" s="196"/>
      <c r="AGQ160" s="196"/>
      <c r="AGR160" s="196"/>
      <c r="AGS160" s="196"/>
      <c r="AGT160" s="196"/>
      <c r="AGU160" s="196"/>
      <c r="AGV160" s="196"/>
      <c r="AGW160" s="196"/>
      <c r="AGX160" s="196"/>
      <c r="AGY160" s="196"/>
      <c r="AGZ160" s="196"/>
      <c r="AHA160" s="196"/>
      <c r="AHB160" s="196"/>
      <c r="AHC160" s="196"/>
      <c r="AHD160" s="196"/>
      <c r="AHE160" s="196"/>
      <c r="AHF160" s="196"/>
      <c r="AHG160" s="196"/>
      <c r="AHH160" s="196"/>
      <c r="AHI160" s="196"/>
      <c r="AHJ160" s="196"/>
      <c r="AHK160" s="196"/>
      <c r="AHL160" s="196"/>
      <c r="AHM160" s="196"/>
      <c r="AHN160" s="196"/>
      <c r="AHO160" s="196"/>
      <c r="AHP160" s="196"/>
      <c r="AHQ160" s="196"/>
      <c r="AHR160" s="196"/>
      <c r="AHS160" s="196"/>
      <c r="AHT160" s="196"/>
      <c r="AHU160" s="196"/>
      <c r="AHV160" s="196"/>
      <c r="AHW160" s="196"/>
      <c r="AHX160" s="196"/>
      <c r="AHY160" s="196"/>
      <c r="AHZ160" s="196"/>
      <c r="AIA160" s="196"/>
      <c r="AIB160" s="196"/>
      <c r="AIC160" s="196"/>
      <c r="AID160" s="196"/>
      <c r="AIE160" s="196"/>
      <c r="AIF160" s="196"/>
      <c r="AIG160" s="196"/>
      <c r="AIH160" s="196"/>
      <c r="AII160" s="196"/>
      <c r="AIJ160" s="196"/>
      <c r="AIK160" s="196"/>
      <c r="AIL160" s="196"/>
      <c r="AIM160" s="196"/>
      <c r="AIN160" s="196"/>
      <c r="AIO160" s="196"/>
      <c r="AIP160" s="196"/>
      <c r="AIQ160" s="196"/>
      <c r="AIR160" s="196"/>
      <c r="AIS160" s="196"/>
      <c r="AIT160" s="196"/>
      <c r="AIU160" s="196"/>
      <c r="AIV160" s="196"/>
      <c r="AIW160" s="196"/>
      <c r="AIX160" s="196"/>
      <c r="AIY160" s="196"/>
      <c r="AIZ160" s="196"/>
      <c r="AJA160" s="196"/>
      <c r="AJB160" s="196"/>
      <c r="AJC160" s="196"/>
      <c r="AJD160" s="196"/>
      <c r="AJE160" s="196"/>
      <c r="AJF160" s="196"/>
      <c r="AJG160" s="196"/>
      <c r="AJH160" s="196"/>
      <c r="AJI160" s="196"/>
      <c r="AJJ160" s="196"/>
      <c r="AJK160" s="196"/>
      <c r="AJL160" s="196"/>
      <c r="AJM160" s="196"/>
      <c r="AJN160" s="196"/>
      <c r="AJO160" s="196"/>
      <c r="AJP160" s="196"/>
      <c r="AJQ160" s="196"/>
      <c r="AJR160" s="196"/>
      <c r="AJS160" s="196"/>
      <c r="AJT160" s="196"/>
      <c r="AJU160" s="196"/>
      <c r="AJV160" s="196"/>
      <c r="AJW160" s="196"/>
      <c r="AJX160" s="196"/>
      <c r="AJY160" s="196"/>
      <c r="AJZ160" s="196"/>
      <c r="AKA160" s="196"/>
      <c r="AKB160" s="196"/>
      <c r="AKC160" s="196"/>
      <c r="AKD160" s="196"/>
      <c r="AKE160" s="196"/>
      <c r="AKF160" s="196"/>
      <c r="AKG160" s="196"/>
      <c r="AKH160" s="196"/>
      <c r="AKI160" s="196"/>
      <c r="AKJ160" s="196"/>
      <c r="AKK160" s="196"/>
      <c r="AKL160" s="196"/>
      <c r="AKM160" s="196"/>
      <c r="AKN160" s="196"/>
      <c r="AKO160" s="196"/>
      <c r="AKP160" s="196"/>
      <c r="AKQ160" s="196"/>
      <c r="AKR160" s="196"/>
      <c r="AKS160" s="196"/>
      <c r="AKT160" s="196"/>
      <c r="AKU160" s="196"/>
      <c r="AKV160" s="196"/>
      <c r="AKW160" s="196"/>
      <c r="AKX160" s="196"/>
      <c r="AKY160" s="196"/>
      <c r="AKZ160" s="196"/>
      <c r="ALA160" s="196"/>
      <c r="ALB160" s="196"/>
      <c r="ALC160" s="196"/>
      <c r="ALD160" s="196"/>
      <c r="ALE160" s="196"/>
      <c r="ALF160" s="196"/>
      <c r="ALG160" s="196"/>
      <c r="ALH160" s="196"/>
      <c r="ALI160" s="196"/>
      <c r="ALJ160" s="196"/>
      <c r="ALK160" s="196"/>
      <c r="ALL160" s="196"/>
      <c r="ALM160" s="196"/>
      <c r="ALN160" s="196"/>
      <c r="ALO160" s="196"/>
      <c r="ALP160" s="196"/>
      <c r="ALQ160" s="196"/>
      <c r="ALR160" s="196"/>
      <c r="ALS160" s="196"/>
      <c r="ALT160" s="196"/>
      <c r="ALU160" s="196"/>
      <c r="ALV160" s="196"/>
      <c r="ALW160" s="196"/>
      <c r="ALX160" s="196"/>
      <c r="ALY160" s="196"/>
      <c r="ALZ160" s="196"/>
      <c r="AMA160" s="196"/>
      <c r="AMB160" s="196"/>
      <c r="AMC160" s="196"/>
      <c r="AMD160" s="196"/>
      <c r="AME160" s="196"/>
      <c r="AMF160" s="196"/>
      <c r="AMG160" s="196"/>
      <c r="AMH160" s="196"/>
      <c r="AMI160" s="196"/>
      <c r="AMJ160" s="196"/>
    </row>
    <row r="161" customFormat="false" ht="15.75" hidden="false" customHeight="true" outlineLevel="0" collapsed="false">
      <c r="A161" s="7"/>
      <c r="B161" s="7"/>
      <c r="C161" s="269" t="s">
        <v>6</v>
      </c>
      <c r="D161" s="270" t="n">
        <f aca="false">D12+D13+D42+D43+D44</f>
        <v>120</v>
      </c>
      <c r="E161" s="271" t="n">
        <f aca="false">F11+F41</f>
        <v>7</v>
      </c>
      <c r="F161" s="149"/>
      <c r="G161" s="272"/>
      <c r="H161" s="24"/>
      <c r="I161" s="78"/>
      <c r="J161" s="8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OV161" s="7"/>
      <c r="OW161" s="7"/>
      <c r="OX161" s="7"/>
      <c r="OY161" s="7"/>
      <c r="OZ161" s="7"/>
      <c r="PA161" s="7"/>
      <c r="PB161" s="7"/>
      <c r="PC161" s="7"/>
      <c r="PD161" s="7"/>
      <c r="PE161" s="7"/>
      <c r="PF161" s="7"/>
      <c r="PG161" s="7"/>
      <c r="PH161" s="7"/>
      <c r="PI161" s="7"/>
      <c r="PJ161" s="7"/>
      <c r="PK161" s="7"/>
      <c r="PL161" s="7"/>
      <c r="PM161" s="7"/>
      <c r="PN161" s="7"/>
      <c r="PO161" s="7"/>
      <c r="PP161" s="7"/>
      <c r="PQ161" s="7"/>
      <c r="PR161" s="7"/>
      <c r="PS161" s="7"/>
      <c r="PT161" s="7"/>
      <c r="PU161" s="7"/>
      <c r="PV161" s="7"/>
      <c r="PW161" s="7"/>
      <c r="PX161" s="7"/>
      <c r="PY161" s="7"/>
      <c r="PZ161" s="7"/>
      <c r="QA161" s="7"/>
      <c r="QB161" s="7"/>
      <c r="QC161" s="7"/>
      <c r="QD161" s="7"/>
      <c r="QE161" s="7"/>
      <c r="QF161" s="7"/>
      <c r="QG161" s="7"/>
      <c r="QH161" s="7"/>
      <c r="QI161" s="7"/>
      <c r="QJ161" s="7"/>
      <c r="QK161" s="7"/>
      <c r="QL161" s="7"/>
      <c r="QM161" s="7"/>
      <c r="QN161" s="7"/>
      <c r="QO161" s="7"/>
      <c r="QP161" s="7"/>
      <c r="QQ161" s="7"/>
      <c r="QR161" s="7"/>
      <c r="QS161" s="7"/>
      <c r="QT161" s="7"/>
      <c r="QU161" s="7"/>
      <c r="QV161" s="7"/>
      <c r="QW161" s="7"/>
      <c r="QX161" s="7"/>
      <c r="QY161" s="7"/>
      <c r="QZ161" s="7"/>
      <c r="RA161" s="7"/>
      <c r="RB161" s="7"/>
      <c r="RC161" s="7"/>
      <c r="RD161" s="7"/>
      <c r="RE161" s="7"/>
      <c r="RF161" s="7"/>
      <c r="RG161" s="7"/>
      <c r="RH161" s="7"/>
      <c r="RI161" s="7"/>
      <c r="RJ161" s="7"/>
      <c r="RK161" s="7"/>
      <c r="RL161" s="7"/>
      <c r="RM161" s="7"/>
      <c r="RN161" s="7"/>
      <c r="RO161" s="7"/>
      <c r="RP161" s="7"/>
      <c r="RQ161" s="7"/>
      <c r="RR161" s="7"/>
      <c r="RS161" s="7"/>
      <c r="RT161" s="7"/>
      <c r="RU161" s="7"/>
      <c r="RV161" s="7"/>
      <c r="RW161" s="7"/>
      <c r="RX161" s="7"/>
      <c r="RY161" s="7"/>
      <c r="RZ161" s="7"/>
      <c r="SA161" s="7"/>
      <c r="SB161" s="7"/>
      <c r="SC161" s="7"/>
      <c r="SD161" s="7"/>
      <c r="SE161" s="7"/>
      <c r="SF161" s="7"/>
      <c r="SG161" s="7"/>
      <c r="SH161" s="7"/>
      <c r="SI161" s="7"/>
      <c r="SJ161" s="7"/>
      <c r="SK161" s="7"/>
      <c r="SL161" s="7"/>
      <c r="SM161" s="7"/>
      <c r="SN161" s="7"/>
      <c r="SO161" s="7"/>
      <c r="SP161" s="7"/>
      <c r="SQ161" s="7"/>
      <c r="SR161" s="7"/>
      <c r="SS161" s="7"/>
      <c r="ST161" s="7"/>
      <c r="SU161" s="7"/>
      <c r="SV161" s="7"/>
      <c r="SW161" s="7"/>
      <c r="SX161" s="7"/>
      <c r="SY161" s="7"/>
      <c r="SZ161" s="7"/>
      <c r="TA161" s="7"/>
      <c r="TB161" s="7"/>
      <c r="TC161" s="7"/>
      <c r="TD161" s="7"/>
      <c r="TE161" s="7"/>
      <c r="TF161" s="7"/>
      <c r="TG161" s="7"/>
      <c r="TH161" s="7"/>
      <c r="TI161" s="7"/>
      <c r="TJ161" s="7"/>
      <c r="TK161" s="7"/>
      <c r="TL161" s="7"/>
      <c r="TM161" s="7"/>
      <c r="TN161" s="7"/>
      <c r="TO161" s="7"/>
      <c r="TP161" s="7"/>
      <c r="TQ161" s="7"/>
      <c r="TR161" s="7"/>
      <c r="TS161" s="7"/>
      <c r="TT161" s="7"/>
      <c r="TU161" s="7"/>
      <c r="TV161" s="7"/>
      <c r="TW161" s="7"/>
      <c r="TX161" s="7"/>
      <c r="TY161" s="7"/>
      <c r="TZ161" s="7"/>
      <c r="UA161" s="7"/>
      <c r="UB161" s="7"/>
      <c r="UC161" s="7"/>
      <c r="UD161" s="7"/>
      <c r="UE161" s="7"/>
      <c r="UF161" s="7"/>
      <c r="UG161" s="7"/>
      <c r="UH161" s="7"/>
      <c r="UI161" s="7"/>
      <c r="UJ161" s="7"/>
      <c r="UK161" s="7"/>
      <c r="UL161" s="7"/>
      <c r="UM161" s="7"/>
      <c r="UN161" s="7"/>
      <c r="UO161" s="7"/>
      <c r="UP161" s="7"/>
      <c r="UQ161" s="7"/>
      <c r="UR161" s="7"/>
      <c r="US161" s="7"/>
      <c r="UT161" s="7"/>
      <c r="UU161" s="7"/>
      <c r="UV161" s="7"/>
      <c r="UW161" s="7"/>
      <c r="UX161" s="7"/>
      <c r="UY161" s="7"/>
      <c r="UZ161" s="7"/>
      <c r="VA161" s="7"/>
      <c r="VB161" s="7"/>
      <c r="VC161" s="7"/>
      <c r="VD161" s="7"/>
      <c r="VE161" s="7"/>
      <c r="VF161" s="7"/>
      <c r="VG161" s="7"/>
      <c r="VH161" s="7"/>
      <c r="VI161" s="7"/>
      <c r="VJ161" s="7"/>
      <c r="VK161" s="7"/>
      <c r="VL161" s="7"/>
      <c r="VM161" s="7"/>
      <c r="VN161" s="7"/>
      <c r="VO161" s="7"/>
      <c r="VP161" s="7"/>
      <c r="VQ161" s="7"/>
      <c r="VR161" s="7"/>
      <c r="VS161" s="7"/>
      <c r="VT161" s="7"/>
      <c r="VU161" s="7"/>
      <c r="VV161" s="7"/>
      <c r="VW161" s="7"/>
      <c r="VX161" s="7"/>
      <c r="VY161" s="7"/>
      <c r="VZ161" s="7"/>
      <c r="WA161" s="7"/>
      <c r="WB161" s="7"/>
      <c r="WC161" s="7"/>
      <c r="WD161" s="7"/>
      <c r="WE161" s="7"/>
      <c r="WF161" s="7"/>
      <c r="WG161" s="7"/>
      <c r="WH161" s="7"/>
      <c r="WI161" s="7"/>
      <c r="WJ161" s="7"/>
      <c r="WK161" s="7"/>
      <c r="WL161" s="7"/>
      <c r="WM161" s="7"/>
      <c r="WN161" s="7"/>
      <c r="WO161" s="7"/>
      <c r="WP161" s="7"/>
      <c r="WQ161" s="7"/>
      <c r="WR161" s="7"/>
      <c r="WS161" s="7"/>
      <c r="WT161" s="7"/>
      <c r="WU161" s="7"/>
      <c r="WV161" s="7"/>
      <c r="WW161" s="7"/>
      <c r="WX161" s="7"/>
      <c r="WY161" s="7"/>
      <c r="WZ161" s="7"/>
      <c r="XA161" s="7"/>
      <c r="XB161" s="7"/>
      <c r="XC161" s="7"/>
      <c r="XD161" s="7"/>
      <c r="XE161" s="7"/>
      <c r="XF161" s="7"/>
      <c r="XG161" s="7"/>
      <c r="XH161" s="7"/>
      <c r="XI161" s="7"/>
      <c r="XJ161" s="7"/>
      <c r="XK161" s="7"/>
      <c r="XL161" s="7"/>
      <c r="XM161" s="7"/>
      <c r="XN161" s="7"/>
      <c r="XO161" s="7"/>
      <c r="XP161" s="7"/>
      <c r="XQ161" s="7"/>
      <c r="XR161" s="7"/>
      <c r="XS161" s="7"/>
      <c r="XT161" s="7"/>
      <c r="XU161" s="7"/>
      <c r="XV161" s="7"/>
      <c r="XW161" s="7"/>
      <c r="XX161" s="7"/>
      <c r="XY161" s="7"/>
      <c r="XZ161" s="7"/>
      <c r="YA161" s="7"/>
      <c r="YB161" s="7"/>
      <c r="YC161" s="7"/>
      <c r="YD161" s="7"/>
      <c r="YE161" s="7"/>
      <c r="YF161" s="7"/>
      <c r="YG161" s="7"/>
      <c r="YH161" s="7"/>
      <c r="YI161" s="7"/>
      <c r="YJ161" s="7"/>
      <c r="YK161" s="7"/>
      <c r="YL161" s="7"/>
      <c r="YM161" s="7"/>
      <c r="YN161" s="7"/>
      <c r="YO161" s="7"/>
      <c r="YP161" s="7"/>
      <c r="YQ161" s="7"/>
      <c r="YR161" s="7"/>
      <c r="YS161" s="7"/>
      <c r="YT161" s="7"/>
      <c r="YU161" s="7"/>
      <c r="YV161" s="7"/>
      <c r="YW161" s="7"/>
      <c r="YX161" s="7"/>
      <c r="YY161" s="7"/>
      <c r="YZ161" s="7"/>
      <c r="ZA161" s="7"/>
      <c r="ZB161" s="7"/>
      <c r="ZC161" s="7"/>
      <c r="ZD161" s="7"/>
      <c r="ZE161" s="7"/>
      <c r="ZF161" s="7"/>
      <c r="ZG161" s="7"/>
      <c r="ZH161" s="7"/>
      <c r="ZI161" s="7"/>
      <c r="ZJ161" s="7"/>
      <c r="ZK161" s="7"/>
      <c r="ZL161" s="7"/>
      <c r="ZM161" s="7"/>
      <c r="ZN161" s="7"/>
      <c r="ZO161" s="7"/>
      <c r="ZP161" s="7"/>
      <c r="ZQ161" s="7"/>
      <c r="ZR161" s="7"/>
      <c r="ZS161" s="7"/>
      <c r="ZT161" s="7"/>
      <c r="ZU161" s="7"/>
      <c r="ZV161" s="7"/>
      <c r="ZW161" s="7"/>
      <c r="ZX161" s="7"/>
      <c r="ZY161" s="7"/>
      <c r="ZZ161" s="7"/>
      <c r="AAA161" s="7"/>
      <c r="AAB161" s="7"/>
      <c r="AAC161" s="7"/>
      <c r="AAD161" s="7"/>
      <c r="AAE161" s="7"/>
      <c r="AAF161" s="7"/>
      <c r="AAG161" s="7"/>
      <c r="AAH161" s="7"/>
      <c r="AAI161" s="7"/>
      <c r="AAJ161" s="7"/>
      <c r="AAK161" s="7"/>
      <c r="AAL161" s="7"/>
      <c r="AAM161" s="7"/>
      <c r="AAN161" s="7"/>
      <c r="AAO161" s="7"/>
      <c r="AAP161" s="7"/>
      <c r="AAQ161" s="7"/>
      <c r="AAR161" s="7"/>
      <c r="AAS161" s="7"/>
      <c r="AAT161" s="7"/>
      <c r="AAU161" s="7"/>
      <c r="AAV161" s="7"/>
      <c r="AAW161" s="7"/>
      <c r="AAX161" s="7"/>
      <c r="AAY161" s="7"/>
      <c r="AAZ161" s="7"/>
      <c r="ABA161" s="7"/>
      <c r="ABB161" s="7"/>
      <c r="ABC161" s="7"/>
      <c r="ABD161" s="7"/>
      <c r="ABE161" s="7"/>
      <c r="ABF161" s="7"/>
      <c r="ABG161" s="7"/>
      <c r="ABH161" s="7"/>
      <c r="ABI161" s="7"/>
      <c r="ABJ161" s="7"/>
      <c r="ABK161" s="7"/>
      <c r="ABL161" s="7"/>
      <c r="ABM161" s="7"/>
      <c r="ABN161" s="7"/>
      <c r="ABO161" s="7"/>
      <c r="ABP161" s="7"/>
      <c r="ABQ161" s="7"/>
      <c r="ABR161" s="7"/>
      <c r="ABS161" s="7"/>
      <c r="ABT161" s="7"/>
      <c r="ABU161" s="7"/>
      <c r="ABV161" s="7"/>
      <c r="ABW161" s="7"/>
      <c r="ABX161" s="7"/>
      <c r="ABY161" s="7"/>
      <c r="ABZ161" s="7"/>
      <c r="ACA161" s="7"/>
      <c r="ACB161" s="7"/>
      <c r="ACC161" s="7"/>
      <c r="ACD161" s="7"/>
      <c r="ACE161" s="7"/>
      <c r="ACF161" s="7"/>
      <c r="ACG161" s="7"/>
      <c r="ACH161" s="7"/>
      <c r="ACI161" s="7"/>
      <c r="ACJ161" s="7"/>
      <c r="ACK161" s="7"/>
      <c r="ACL161" s="7"/>
      <c r="ACM161" s="7"/>
      <c r="ACN161" s="7"/>
      <c r="ACO161" s="7"/>
      <c r="ACP161" s="7"/>
      <c r="ACQ161" s="7"/>
      <c r="ACR161" s="7"/>
      <c r="ACS161" s="7"/>
      <c r="ACT161" s="7"/>
      <c r="ACU161" s="7"/>
      <c r="ACV161" s="7"/>
      <c r="ACW161" s="7"/>
      <c r="ACX161" s="7"/>
      <c r="ACY161" s="7"/>
      <c r="ACZ161" s="7"/>
      <c r="ADA161" s="7"/>
      <c r="ADB161" s="7"/>
      <c r="ADC161" s="7"/>
      <c r="ADD161" s="7"/>
      <c r="ADE161" s="7"/>
      <c r="ADF161" s="7"/>
      <c r="ADG161" s="7"/>
      <c r="ADH161" s="7"/>
      <c r="ADI161" s="7"/>
      <c r="ADJ161" s="7"/>
      <c r="ADK161" s="7"/>
      <c r="ADL161" s="7"/>
      <c r="ADM161" s="7"/>
      <c r="ADN161" s="7"/>
      <c r="ADO161" s="7"/>
      <c r="ADP161" s="7"/>
      <c r="ADQ161" s="7"/>
      <c r="ADR161" s="7"/>
      <c r="ADS161" s="7"/>
      <c r="ADT161" s="7"/>
      <c r="ADU161" s="7"/>
      <c r="ADV161" s="7"/>
      <c r="ADW161" s="7"/>
      <c r="ADX161" s="7"/>
      <c r="ADY161" s="7"/>
      <c r="ADZ161" s="7"/>
      <c r="AEA161" s="7"/>
      <c r="AEB161" s="7"/>
      <c r="AEC161" s="7"/>
      <c r="AED161" s="7"/>
      <c r="AEE161" s="7"/>
      <c r="AEF161" s="7"/>
      <c r="AEG161" s="7"/>
      <c r="AEH161" s="7"/>
      <c r="AEI161" s="7"/>
      <c r="AEJ161" s="7"/>
      <c r="AEK161" s="7"/>
      <c r="AEL161" s="7"/>
      <c r="AEM161" s="7"/>
      <c r="AEN161" s="7"/>
      <c r="AEO161" s="7"/>
      <c r="AEP161" s="7"/>
      <c r="AEQ161" s="7"/>
      <c r="AER161" s="7"/>
      <c r="AES161" s="7"/>
      <c r="AET161" s="7"/>
      <c r="AEU161" s="7"/>
      <c r="AEV161" s="7"/>
      <c r="AEW161" s="7"/>
      <c r="AEX161" s="7"/>
      <c r="AEY161" s="7"/>
      <c r="AEZ161" s="7"/>
      <c r="AFA161" s="7"/>
      <c r="AFB161" s="7"/>
      <c r="AFC161" s="7"/>
      <c r="AFD161" s="7"/>
      <c r="AFE161" s="7"/>
      <c r="AFF161" s="7"/>
      <c r="AFG161" s="7"/>
      <c r="AFH161" s="7"/>
      <c r="AFI161" s="7"/>
      <c r="AFJ161" s="7"/>
      <c r="AFK161" s="7"/>
      <c r="AFL161" s="7"/>
      <c r="AFM161" s="7"/>
      <c r="AFN161" s="7"/>
      <c r="AFO161" s="7"/>
      <c r="AFP161" s="7"/>
      <c r="AFQ161" s="7"/>
      <c r="AFR161" s="7"/>
      <c r="AFS161" s="7"/>
      <c r="AFT161" s="7"/>
      <c r="AFU161" s="7"/>
      <c r="AFV161" s="7"/>
      <c r="AFW161" s="7"/>
      <c r="AFX161" s="7"/>
      <c r="AFY161" s="7"/>
      <c r="AFZ161" s="7"/>
      <c r="AGA161" s="7"/>
      <c r="AGB161" s="7"/>
      <c r="AGC161" s="7"/>
      <c r="AGD161" s="7"/>
      <c r="AGE161" s="7"/>
      <c r="AGF161" s="7"/>
      <c r="AGG161" s="7"/>
      <c r="AGH161" s="7"/>
      <c r="AGI161" s="7"/>
      <c r="AGJ161" s="7"/>
      <c r="AGK161" s="7"/>
      <c r="AGL161" s="7"/>
      <c r="AGM161" s="7"/>
      <c r="AGN161" s="7"/>
      <c r="AGO161" s="7"/>
      <c r="AGP161" s="7"/>
      <c r="AGQ161" s="7"/>
      <c r="AGR161" s="7"/>
      <c r="AGS161" s="7"/>
      <c r="AGT161" s="7"/>
      <c r="AGU161" s="7"/>
      <c r="AGV161" s="7"/>
      <c r="AGW161" s="7"/>
      <c r="AGX161" s="7"/>
      <c r="AGY161" s="7"/>
      <c r="AGZ161" s="7"/>
      <c r="AHA161" s="7"/>
      <c r="AHB161" s="7"/>
      <c r="AHC161" s="7"/>
      <c r="AHD161" s="7"/>
      <c r="AHE161" s="7"/>
      <c r="AHF161" s="7"/>
      <c r="AHG161" s="7"/>
      <c r="AHH161" s="7"/>
      <c r="AHI161" s="7"/>
      <c r="AHJ161" s="7"/>
      <c r="AHK161" s="7"/>
      <c r="AHL161" s="7"/>
      <c r="AHM161" s="7"/>
      <c r="AHN161" s="7"/>
      <c r="AHO161" s="7"/>
      <c r="AHP161" s="7"/>
      <c r="AHQ161" s="7"/>
      <c r="AHR161" s="7"/>
      <c r="AHS161" s="7"/>
      <c r="AHT161" s="7"/>
      <c r="AHU161" s="7"/>
      <c r="AHV161" s="7"/>
      <c r="AHW161" s="7"/>
      <c r="AHX161" s="7"/>
      <c r="AHY161" s="7"/>
      <c r="AHZ161" s="7"/>
      <c r="AIA161" s="7"/>
      <c r="AIB161" s="7"/>
      <c r="AIC161" s="7"/>
      <c r="AID161" s="7"/>
      <c r="AIE161" s="7"/>
      <c r="AIF161" s="7"/>
      <c r="AIG161" s="7"/>
      <c r="AIH161" s="7"/>
      <c r="AII161" s="7"/>
      <c r="AIJ161" s="7"/>
      <c r="AIK161" s="7"/>
      <c r="AIL161" s="7"/>
      <c r="AIM161" s="7"/>
      <c r="AIN161" s="7"/>
      <c r="AIO161" s="7"/>
      <c r="AIP161" s="7"/>
      <c r="AIQ161" s="7"/>
      <c r="AIR161" s="7"/>
      <c r="AIS161" s="7"/>
      <c r="AIT161" s="7"/>
      <c r="AIU161" s="7"/>
      <c r="AIV161" s="7"/>
      <c r="AIW161" s="7"/>
      <c r="AIX161" s="7"/>
      <c r="AIY161" s="7"/>
      <c r="AIZ161" s="7"/>
      <c r="AJA161" s="7"/>
      <c r="AJB161" s="7"/>
      <c r="AJC161" s="7"/>
      <c r="AJD161" s="7"/>
      <c r="AJE161" s="7"/>
      <c r="AJF161" s="7"/>
      <c r="AJG161" s="7"/>
      <c r="AJH161" s="7"/>
      <c r="AJI161" s="7"/>
      <c r="AJJ161" s="7"/>
      <c r="AJK161" s="7"/>
      <c r="AJL161" s="7"/>
      <c r="AJM161" s="7"/>
      <c r="AJN161" s="7"/>
      <c r="AJO161" s="7"/>
      <c r="AJP161" s="7"/>
      <c r="AJQ161" s="7"/>
      <c r="AJR161" s="7"/>
      <c r="AJS161" s="7"/>
      <c r="AJT161" s="7"/>
      <c r="AJU161" s="7"/>
      <c r="AJV161" s="7"/>
      <c r="AJW161" s="7"/>
      <c r="AJX161" s="7"/>
      <c r="AJY161" s="7"/>
      <c r="AJZ161" s="7"/>
      <c r="AKA161" s="7"/>
      <c r="AKB161" s="7"/>
      <c r="AKC161" s="7"/>
      <c r="AKD161" s="7"/>
      <c r="AKE161" s="7"/>
      <c r="AKF161" s="7"/>
      <c r="AKG161" s="7"/>
      <c r="AKH161" s="7"/>
      <c r="AKI161" s="7"/>
      <c r="AKJ161" s="7"/>
      <c r="AKK161" s="7"/>
      <c r="AKL161" s="7"/>
      <c r="AKM161" s="7"/>
      <c r="AKN161" s="7"/>
      <c r="AKO161" s="7"/>
      <c r="AKP161" s="7"/>
      <c r="AKQ161" s="7"/>
      <c r="AKR161" s="7"/>
      <c r="AKS161" s="7"/>
      <c r="AKT161" s="7"/>
      <c r="AKU161" s="7"/>
      <c r="AKV161" s="7"/>
      <c r="AKW161" s="7"/>
      <c r="AKX161" s="7"/>
      <c r="AKY161" s="7"/>
      <c r="AKZ161" s="7"/>
      <c r="ALA161" s="7"/>
      <c r="ALB161" s="7"/>
      <c r="ALC161" s="7"/>
      <c r="ALD161" s="7"/>
      <c r="ALE161" s="7"/>
      <c r="ALF161" s="7"/>
      <c r="ALG161" s="7"/>
      <c r="ALH161" s="7"/>
      <c r="ALI161" s="7"/>
      <c r="ALJ161" s="7"/>
      <c r="ALK161" s="7"/>
      <c r="ALL161" s="7"/>
      <c r="ALM161" s="7"/>
      <c r="ALN161" s="7"/>
      <c r="ALO161" s="7"/>
      <c r="ALP161" s="7"/>
      <c r="ALQ161" s="7"/>
      <c r="ALR161" s="7"/>
      <c r="ALS161" s="7"/>
      <c r="ALT161" s="7"/>
      <c r="ALU161" s="7"/>
      <c r="ALV161" s="7"/>
      <c r="ALW161" s="7"/>
      <c r="ALX161" s="7"/>
      <c r="ALY161" s="7"/>
      <c r="ALZ161" s="7"/>
      <c r="AMA161" s="7"/>
      <c r="AMB161" s="7"/>
      <c r="AMC161" s="7"/>
      <c r="AMD161" s="7"/>
      <c r="AME161" s="7"/>
      <c r="AMF161" s="7"/>
      <c r="AMG161" s="7"/>
      <c r="AMH161" s="7"/>
      <c r="AMI161" s="7"/>
      <c r="AMJ161" s="7"/>
    </row>
    <row r="162" customFormat="false" ht="15.75" hidden="false" customHeight="true" outlineLevel="0" collapsed="false">
      <c r="A162" s="7"/>
      <c r="B162" s="7"/>
      <c r="C162" s="269" t="s">
        <v>36</v>
      </c>
      <c r="D162" s="270" t="n">
        <f aca="false">D34+D61+D89+D116+D147+D60</f>
        <v>109</v>
      </c>
      <c r="E162" s="271" t="n">
        <f aca="false">F153+F146+F115+F88+F59+F33</f>
        <v>15</v>
      </c>
      <c r="F162" s="149"/>
      <c r="G162" s="272"/>
      <c r="H162" s="24"/>
      <c r="I162" s="78"/>
      <c r="J162" s="8"/>
      <c r="K162" s="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  <c r="QS162" s="7"/>
      <c r="QT162" s="7"/>
      <c r="Q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RH162" s="7"/>
      <c r="RI162" s="7"/>
      <c r="RJ162" s="7"/>
      <c r="RK162" s="7"/>
      <c r="RL162" s="7"/>
      <c r="RM162" s="7"/>
      <c r="RN162" s="7"/>
      <c r="RO162" s="7"/>
      <c r="RP162" s="7"/>
      <c r="RQ162" s="7"/>
      <c r="RR162" s="7"/>
      <c r="RS162" s="7"/>
      <c r="RT162" s="7"/>
      <c r="RU162" s="7"/>
      <c r="RV162" s="7"/>
      <c r="RW162" s="7"/>
      <c r="RX162" s="7"/>
      <c r="RY162" s="7"/>
      <c r="RZ162" s="7"/>
      <c r="SA162" s="7"/>
      <c r="SB162" s="7"/>
      <c r="SC162" s="7"/>
      <c r="SD162" s="7"/>
      <c r="SE162" s="7"/>
      <c r="SF162" s="7"/>
      <c r="SG162" s="7"/>
      <c r="SH162" s="7"/>
      <c r="SI162" s="7"/>
      <c r="SJ162" s="7"/>
      <c r="SK162" s="7"/>
      <c r="SL162" s="7"/>
      <c r="SM162" s="7"/>
      <c r="SN162" s="7"/>
      <c r="SO162" s="7"/>
      <c r="SP162" s="7"/>
      <c r="SQ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TD162" s="7"/>
      <c r="TE162" s="7"/>
      <c r="TF162" s="7"/>
      <c r="TG162" s="7"/>
      <c r="TH162" s="7"/>
      <c r="TI162" s="7"/>
      <c r="TJ162" s="7"/>
      <c r="TK162" s="7"/>
      <c r="TL162" s="7"/>
      <c r="TM162" s="7"/>
      <c r="TN162" s="7"/>
      <c r="TO162" s="7"/>
      <c r="TP162" s="7"/>
      <c r="TQ162" s="7"/>
      <c r="TR162" s="7"/>
      <c r="TS162" s="7"/>
      <c r="TT162" s="7"/>
      <c r="TU162" s="7"/>
      <c r="TV162" s="7"/>
      <c r="TW162" s="7"/>
      <c r="TX162" s="7"/>
      <c r="TY162" s="7"/>
      <c r="TZ162" s="7"/>
      <c r="UA162" s="7"/>
      <c r="UB162" s="7"/>
      <c r="UC162" s="7"/>
      <c r="UD162" s="7"/>
      <c r="UE162" s="7"/>
      <c r="UF162" s="7"/>
      <c r="UG162" s="7"/>
      <c r="UH162" s="7"/>
      <c r="UI162" s="7"/>
      <c r="UJ162" s="7"/>
      <c r="UK162" s="7"/>
      <c r="UL162" s="7"/>
      <c r="UM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UZ162" s="7"/>
      <c r="VA162" s="7"/>
      <c r="VB162" s="7"/>
      <c r="VC162" s="7"/>
      <c r="VD162" s="7"/>
      <c r="VE162" s="7"/>
      <c r="VF162" s="7"/>
      <c r="VG162" s="7"/>
      <c r="VH162" s="7"/>
      <c r="VI162" s="7"/>
      <c r="VJ162" s="7"/>
      <c r="VK162" s="7"/>
      <c r="VL162" s="7"/>
      <c r="VM162" s="7"/>
      <c r="VN162" s="7"/>
      <c r="VO162" s="7"/>
      <c r="VP162" s="7"/>
      <c r="VQ162" s="7"/>
      <c r="VR162" s="7"/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  <c r="YI162" s="7"/>
      <c r="YJ162" s="7"/>
      <c r="YK162" s="7"/>
      <c r="YL162" s="7"/>
      <c r="YM162" s="7"/>
      <c r="YN162" s="7"/>
      <c r="YO162" s="7"/>
      <c r="YP162" s="7"/>
      <c r="YQ162" s="7"/>
      <c r="YR162" s="7"/>
      <c r="YS162" s="7"/>
      <c r="YT162" s="7"/>
      <c r="YU162" s="7"/>
      <c r="YV162" s="7"/>
      <c r="YW162" s="7"/>
      <c r="YX162" s="7"/>
      <c r="YY162" s="7"/>
      <c r="YZ162" s="7"/>
      <c r="ZA162" s="7"/>
      <c r="ZB162" s="7"/>
      <c r="ZC162" s="7"/>
      <c r="ZD162" s="7"/>
      <c r="ZE162" s="7"/>
      <c r="ZF162" s="7"/>
      <c r="ZG162" s="7"/>
      <c r="ZH162" s="7"/>
      <c r="ZI162" s="7"/>
      <c r="ZJ162" s="7"/>
      <c r="ZK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ZX162" s="7"/>
      <c r="ZY162" s="7"/>
      <c r="ZZ162" s="7"/>
      <c r="AAA162" s="7"/>
      <c r="AAB162" s="7"/>
      <c r="AAC162" s="7"/>
      <c r="AAD162" s="7"/>
      <c r="AAE162" s="7"/>
      <c r="AAF162" s="7"/>
      <c r="AAG162" s="7"/>
      <c r="AAH162" s="7"/>
      <c r="AAI162" s="7"/>
      <c r="AAJ162" s="7"/>
      <c r="AAK162" s="7"/>
      <c r="AAL162" s="7"/>
      <c r="AAM162" s="7"/>
      <c r="AAN162" s="7"/>
      <c r="AAO162" s="7"/>
      <c r="AAP162" s="7"/>
      <c r="AAQ162" s="7"/>
      <c r="AAR162" s="7"/>
      <c r="AAS162" s="7"/>
      <c r="AAT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  <c r="ABL162" s="7"/>
      <c r="ABM162" s="7"/>
      <c r="ABN162" s="7"/>
      <c r="ABO162" s="7"/>
      <c r="ABP162" s="7"/>
      <c r="ABQ162" s="7"/>
      <c r="ABR162" s="7"/>
      <c r="ABS162" s="7"/>
      <c r="ABT162" s="7"/>
      <c r="ABU162" s="7"/>
      <c r="ABV162" s="7"/>
      <c r="ABW162" s="7"/>
      <c r="ABX162" s="7"/>
      <c r="ABY162" s="7"/>
      <c r="ABZ162" s="7"/>
      <c r="ACA162" s="7"/>
      <c r="ACB162" s="7"/>
      <c r="ACC162" s="7"/>
      <c r="ACD162" s="7"/>
      <c r="ACE162" s="7"/>
      <c r="ACF162" s="7"/>
      <c r="ACG162" s="7"/>
      <c r="ACH162" s="7"/>
      <c r="ACI162" s="7"/>
      <c r="ACJ162" s="7"/>
      <c r="ACK162" s="7"/>
      <c r="ACL162" s="7"/>
      <c r="ACM162" s="7"/>
      <c r="ACN162" s="7"/>
      <c r="ACO162" s="7"/>
      <c r="ACP162" s="7"/>
      <c r="ACQ162" s="7"/>
      <c r="ACR162" s="7"/>
      <c r="ACS162" s="7"/>
      <c r="ACT162" s="7"/>
      <c r="ACU162" s="7"/>
      <c r="ACV162" s="7"/>
      <c r="ACW162" s="7"/>
      <c r="ACX162" s="7"/>
      <c r="ACY162" s="7"/>
      <c r="ACZ162" s="7"/>
      <c r="ADA162" s="7"/>
      <c r="ADB162" s="7"/>
      <c r="ADC162" s="7"/>
      <c r="ADD162" s="7"/>
      <c r="ADE162" s="7"/>
      <c r="ADF162" s="7"/>
      <c r="ADG162" s="7"/>
      <c r="ADH162" s="7"/>
      <c r="ADI162" s="7"/>
      <c r="ADJ162" s="7"/>
      <c r="ADK162" s="7"/>
      <c r="ADL162" s="7"/>
      <c r="ADM162" s="7"/>
      <c r="ADN162" s="7"/>
      <c r="ADO162" s="7"/>
      <c r="ADP162" s="7"/>
      <c r="ADQ162" s="7"/>
      <c r="ADR162" s="7"/>
      <c r="ADS162" s="7"/>
      <c r="ADT162" s="7"/>
      <c r="ADU162" s="7"/>
      <c r="ADV162" s="7"/>
      <c r="ADW162" s="7"/>
      <c r="ADX162" s="7"/>
      <c r="ADY162" s="7"/>
      <c r="ADZ162" s="7"/>
      <c r="AEA162" s="7"/>
      <c r="AEB162" s="7"/>
      <c r="AEC162" s="7"/>
      <c r="AED162" s="7"/>
      <c r="AEE162" s="7"/>
      <c r="AEF162" s="7"/>
      <c r="AEG162" s="7"/>
      <c r="AEH162" s="7"/>
      <c r="AEI162" s="7"/>
      <c r="AEJ162" s="7"/>
      <c r="AEK162" s="7"/>
      <c r="AEL162" s="7"/>
      <c r="AEM162" s="7"/>
      <c r="AEN162" s="7"/>
      <c r="AEO162" s="7"/>
      <c r="AEP162" s="7"/>
      <c r="AEQ162" s="7"/>
      <c r="AER162" s="7"/>
      <c r="AES162" s="7"/>
      <c r="AET162" s="7"/>
      <c r="AEU162" s="7"/>
      <c r="AEV162" s="7"/>
      <c r="AEW162" s="7"/>
      <c r="AEX162" s="7"/>
      <c r="AEY162" s="7"/>
      <c r="AEZ162" s="7"/>
      <c r="AFA162" s="7"/>
      <c r="AFB162" s="7"/>
      <c r="AFC162" s="7"/>
      <c r="AFD162" s="7"/>
      <c r="AFE162" s="7"/>
      <c r="AFF162" s="7"/>
      <c r="AFG162" s="7"/>
      <c r="AFH162" s="7"/>
      <c r="AFI162" s="7"/>
      <c r="AFJ162" s="7"/>
      <c r="AFK162" s="7"/>
      <c r="AFL162" s="7"/>
      <c r="AFM162" s="7"/>
      <c r="AFN162" s="7"/>
      <c r="AFO162" s="7"/>
      <c r="AFP162" s="7"/>
      <c r="AFQ162" s="7"/>
      <c r="AFR162" s="7"/>
      <c r="AFS162" s="7"/>
      <c r="AFT162" s="7"/>
      <c r="AFU162" s="7"/>
      <c r="AFV162" s="7"/>
      <c r="AFW162" s="7"/>
      <c r="AFX162" s="7"/>
      <c r="AFY162" s="7"/>
      <c r="AFZ162" s="7"/>
      <c r="AGA162" s="7"/>
      <c r="AGB162" s="7"/>
      <c r="AGC162" s="7"/>
      <c r="AGD162" s="7"/>
      <c r="AGE162" s="7"/>
      <c r="AGF162" s="7"/>
      <c r="AGG162" s="7"/>
      <c r="AGH162" s="7"/>
      <c r="AGI162" s="7"/>
      <c r="AGJ162" s="7"/>
      <c r="AGK162" s="7"/>
      <c r="AGL162" s="7"/>
      <c r="AGM162" s="7"/>
      <c r="AGN162" s="7"/>
      <c r="AGO162" s="7"/>
      <c r="AGP162" s="7"/>
      <c r="AGQ162" s="7"/>
      <c r="AGR162" s="7"/>
      <c r="AGS162" s="7"/>
      <c r="AGT162" s="7"/>
      <c r="AGU162" s="7"/>
      <c r="AGV162" s="7"/>
      <c r="AGW162" s="7"/>
      <c r="AGX162" s="7"/>
      <c r="AGY162" s="7"/>
      <c r="AGZ162" s="7"/>
      <c r="AHA162" s="7"/>
      <c r="AHB162" s="7"/>
      <c r="AHC162" s="7"/>
      <c r="AHD162" s="7"/>
      <c r="AHE162" s="7"/>
      <c r="AHF162" s="7"/>
      <c r="AHG162" s="7"/>
      <c r="AHH162" s="7"/>
      <c r="AHI162" s="7"/>
      <c r="AHJ162" s="7"/>
      <c r="AHK162" s="7"/>
      <c r="AHL162" s="7"/>
      <c r="AHM162" s="7"/>
      <c r="AHN162" s="7"/>
      <c r="AHO162" s="7"/>
      <c r="AHP162" s="7"/>
      <c r="AHQ162" s="7"/>
      <c r="AHR162" s="7"/>
      <c r="AHS162" s="7"/>
      <c r="AHT162" s="7"/>
      <c r="AHU162" s="7"/>
      <c r="AHV162" s="7"/>
      <c r="AHW162" s="7"/>
      <c r="AHX162" s="7"/>
      <c r="AHY162" s="7"/>
      <c r="AHZ162" s="7"/>
      <c r="AIA162" s="7"/>
      <c r="AIB162" s="7"/>
      <c r="AIC162" s="7"/>
      <c r="AID162" s="7"/>
      <c r="AIE162" s="7"/>
      <c r="AIF162" s="7"/>
      <c r="AIG162" s="7"/>
      <c r="AIH162" s="7"/>
      <c r="AII162" s="7"/>
      <c r="AIJ162" s="7"/>
      <c r="AIK162" s="7"/>
      <c r="AIL162" s="7"/>
      <c r="AIM162" s="7"/>
      <c r="AIN162" s="7"/>
      <c r="AIO162" s="7"/>
      <c r="AIP162" s="7"/>
      <c r="AIQ162" s="7"/>
      <c r="AIR162" s="7"/>
      <c r="AIS162" s="7"/>
      <c r="AIT162" s="7"/>
      <c r="AIU162" s="7"/>
      <c r="AIV162" s="7"/>
      <c r="AIW162" s="7"/>
      <c r="AIX162" s="7"/>
      <c r="AIY162" s="7"/>
      <c r="AIZ162" s="7"/>
      <c r="AJA162" s="7"/>
      <c r="AJB162" s="7"/>
      <c r="AJC162" s="7"/>
      <c r="AJD162" s="7"/>
      <c r="AJE162" s="7"/>
      <c r="AJF162" s="7"/>
      <c r="AJG162" s="7"/>
      <c r="AJH162" s="7"/>
      <c r="AJI162" s="7"/>
      <c r="AJJ162" s="7"/>
      <c r="AJK162" s="7"/>
      <c r="AJL162" s="7"/>
      <c r="AJM162" s="7"/>
      <c r="AJN162" s="7"/>
      <c r="AJO162" s="7"/>
      <c r="AJP162" s="7"/>
      <c r="AJQ162" s="7"/>
      <c r="AJR162" s="7"/>
      <c r="AJS162" s="7"/>
      <c r="AJT162" s="7"/>
      <c r="AJU162" s="7"/>
      <c r="AJV162" s="7"/>
      <c r="AJW162" s="7"/>
      <c r="AJX162" s="7"/>
      <c r="AJY162" s="7"/>
      <c r="AJZ162" s="7"/>
      <c r="AKA162" s="7"/>
      <c r="AKB162" s="7"/>
      <c r="AKC162" s="7"/>
      <c r="AKD162" s="7"/>
      <c r="AKE162" s="7"/>
      <c r="AKF162" s="7"/>
      <c r="AKG162" s="7"/>
      <c r="AKH162" s="7"/>
      <c r="AKI162" s="7"/>
      <c r="AKJ162" s="7"/>
      <c r="AKK162" s="7"/>
      <c r="AKL162" s="7"/>
      <c r="AKM162" s="7"/>
      <c r="AKN162" s="7"/>
      <c r="AKO162" s="7"/>
      <c r="AKP162" s="7"/>
      <c r="AKQ162" s="7"/>
      <c r="AKR162" s="7"/>
      <c r="AKS162" s="7"/>
      <c r="AKT162" s="7"/>
      <c r="AKU162" s="7"/>
      <c r="AKV162" s="7"/>
      <c r="AKW162" s="7"/>
      <c r="AKX162" s="7"/>
      <c r="AKY162" s="7"/>
      <c r="AKZ162" s="7"/>
      <c r="ALA162" s="7"/>
      <c r="ALB162" s="7"/>
      <c r="ALC162" s="7"/>
      <c r="ALD162" s="7"/>
      <c r="ALE162" s="7"/>
      <c r="ALF162" s="7"/>
      <c r="ALG162" s="7"/>
      <c r="ALH162" s="7"/>
      <c r="ALI162" s="7"/>
      <c r="ALJ162" s="7"/>
      <c r="ALK162" s="7"/>
      <c r="ALL162" s="7"/>
      <c r="ALM162" s="7"/>
      <c r="ALN162" s="7"/>
      <c r="ALO162" s="7"/>
      <c r="ALP162" s="7"/>
      <c r="ALQ162" s="7"/>
      <c r="ALR162" s="7"/>
      <c r="ALS162" s="7"/>
      <c r="ALT162" s="7"/>
      <c r="ALU162" s="7"/>
      <c r="ALV162" s="7"/>
      <c r="ALW162" s="7"/>
      <c r="ALX162" s="7"/>
      <c r="ALY162" s="7"/>
      <c r="ALZ162" s="7"/>
      <c r="AMA162" s="7"/>
      <c r="AMB162" s="7"/>
      <c r="AMC162" s="7"/>
      <c r="AMD162" s="7"/>
      <c r="AME162" s="7"/>
      <c r="AMF162" s="7"/>
      <c r="AMG162" s="7"/>
      <c r="AMH162" s="7"/>
      <c r="AMI162" s="7"/>
      <c r="AMJ162" s="7"/>
    </row>
    <row r="163" customFormat="false" ht="15.75" hidden="false" customHeight="true" outlineLevel="0" collapsed="false">
      <c r="A163" s="7"/>
      <c r="B163" s="7"/>
      <c r="C163" s="269" t="s">
        <v>29</v>
      </c>
      <c r="D163" s="270" t="n">
        <f aca="false">D28+D30+D84+D85+D111+D112+D29</f>
        <v>128</v>
      </c>
      <c r="E163" s="271" t="n">
        <f aca="false">F27+F83+F110</f>
        <v>8</v>
      </c>
      <c r="F163" s="149"/>
      <c r="G163" s="272"/>
      <c r="H163" s="24"/>
      <c r="I163" s="78"/>
      <c r="J163" s="8"/>
      <c r="K163" s="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OV163" s="7"/>
      <c r="OW163" s="7"/>
      <c r="OX163" s="7"/>
      <c r="OY163" s="7"/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PO163" s="7"/>
      <c r="PP163" s="7"/>
      <c r="PQ163" s="7"/>
      <c r="PR163" s="7"/>
      <c r="PS163" s="7"/>
      <c r="PT163" s="7"/>
      <c r="PU163" s="7"/>
      <c r="PV163" s="7"/>
      <c r="PW163" s="7"/>
      <c r="PX163" s="7"/>
      <c r="PY163" s="7"/>
      <c r="PZ163" s="7"/>
      <c r="QA163" s="7"/>
      <c r="QB163" s="7"/>
      <c r="QC163" s="7"/>
      <c r="QD163" s="7"/>
      <c r="QE163" s="7"/>
      <c r="QF163" s="7"/>
      <c r="QG163" s="7"/>
      <c r="QH163" s="7"/>
      <c r="QI163" s="7"/>
      <c r="QJ163" s="7"/>
      <c r="QK163" s="7"/>
      <c r="QL163" s="7"/>
      <c r="QM163" s="7"/>
      <c r="QN163" s="7"/>
      <c r="QO163" s="7"/>
      <c r="QP163" s="7"/>
      <c r="QQ163" s="7"/>
      <c r="QR163" s="7"/>
      <c r="QS163" s="7"/>
      <c r="QT163" s="7"/>
      <c r="QU163" s="7"/>
      <c r="QV163" s="7"/>
      <c r="QW163" s="7"/>
      <c r="QX163" s="7"/>
      <c r="QY163" s="7"/>
      <c r="QZ163" s="7"/>
      <c r="RA163" s="7"/>
      <c r="RB163" s="7"/>
      <c r="RC163" s="7"/>
      <c r="RD163" s="7"/>
      <c r="RE163" s="7"/>
      <c r="RF163" s="7"/>
      <c r="RG163" s="7"/>
      <c r="RH163" s="7"/>
      <c r="RI163" s="7"/>
      <c r="RJ163" s="7"/>
      <c r="RK163" s="7"/>
      <c r="RL163" s="7"/>
      <c r="RM163" s="7"/>
      <c r="RN163" s="7"/>
      <c r="RO163" s="7"/>
      <c r="RP163" s="7"/>
      <c r="RQ163" s="7"/>
      <c r="RR163" s="7"/>
      <c r="RS163" s="7"/>
      <c r="RT163" s="7"/>
      <c r="RU163" s="7"/>
      <c r="RV163" s="7"/>
      <c r="RW163" s="7"/>
      <c r="RX163" s="7"/>
      <c r="RY163" s="7"/>
      <c r="RZ163" s="7"/>
      <c r="SA163" s="7"/>
      <c r="SB163" s="7"/>
      <c r="SC163" s="7"/>
      <c r="SD163" s="7"/>
      <c r="SE163" s="7"/>
      <c r="SF163" s="7"/>
      <c r="SG163" s="7"/>
      <c r="SH163" s="7"/>
      <c r="SI163" s="7"/>
      <c r="SJ163" s="7"/>
      <c r="SK163" s="7"/>
      <c r="SL163" s="7"/>
      <c r="SM163" s="7"/>
      <c r="SN163" s="7"/>
      <c r="SO163" s="7"/>
      <c r="SP163" s="7"/>
      <c r="SQ163" s="7"/>
      <c r="SR163" s="7"/>
      <c r="SS163" s="7"/>
      <c r="ST163" s="7"/>
      <c r="SU163" s="7"/>
      <c r="SV163" s="7"/>
      <c r="SW163" s="7"/>
      <c r="SX163" s="7"/>
      <c r="SY163" s="7"/>
      <c r="SZ163" s="7"/>
      <c r="TA163" s="7"/>
      <c r="TB163" s="7"/>
      <c r="TC163" s="7"/>
      <c r="TD163" s="7"/>
      <c r="TE163" s="7"/>
      <c r="TF163" s="7"/>
      <c r="TG163" s="7"/>
      <c r="TH163" s="7"/>
      <c r="TI163" s="7"/>
      <c r="TJ163" s="7"/>
      <c r="TK163" s="7"/>
      <c r="TL163" s="7"/>
      <c r="TM163" s="7"/>
      <c r="TN163" s="7"/>
      <c r="TO163" s="7"/>
      <c r="TP163" s="7"/>
      <c r="TQ163" s="7"/>
      <c r="TR163" s="7"/>
      <c r="TS163" s="7"/>
      <c r="TT163" s="7"/>
      <c r="TU163" s="7"/>
      <c r="TV163" s="7"/>
      <c r="TW163" s="7"/>
      <c r="TX163" s="7"/>
      <c r="TY163" s="7"/>
      <c r="TZ163" s="7"/>
      <c r="UA163" s="7"/>
      <c r="UB163" s="7"/>
      <c r="UC163" s="7"/>
      <c r="UD163" s="7"/>
      <c r="UE163" s="7"/>
      <c r="UF163" s="7"/>
      <c r="UG163" s="7"/>
      <c r="UH163" s="7"/>
      <c r="UI163" s="7"/>
      <c r="UJ163" s="7"/>
      <c r="UK163" s="7"/>
      <c r="UL163" s="7"/>
      <c r="UM163" s="7"/>
      <c r="UN163" s="7"/>
      <c r="UO163" s="7"/>
      <c r="UP163" s="7"/>
      <c r="UQ163" s="7"/>
      <c r="UR163" s="7"/>
      <c r="US163" s="7"/>
      <c r="UT163" s="7"/>
      <c r="UU163" s="7"/>
      <c r="UV163" s="7"/>
      <c r="UW163" s="7"/>
      <c r="UX163" s="7"/>
      <c r="UY163" s="7"/>
      <c r="UZ163" s="7"/>
      <c r="VA163" s="7"/>
      <c r="VB163" s="7"/>
      <c r="VC163" s="7"/>
      <c r="VD163" s="7"/>
      <c r="VE163" s="7"/>
      <c r="VF163" s="7"/>
      <c r="VG163" s="7"/>
      <c r="VH163" s="7"/>
      <c r="VI163" s="7"/>
      <c r="VJ163" s="7"/>
      <c r="VK163" s="7"/>
      <c r="VL163" s="7"/>
      <c r="VM163" s="7"/>
      <c r="VN163" s="7"/>
      <c r="VO163" s="7"/>
      <c r="VP163" s="7"/>
      <c r="VQ163" s="7"/>
      <c r="VR163" s="7"/>
      <c r="VS163" s="7"/>
      <c r="VT163" s="7"/>
      <c r="VU163" s="7"/>
      <c r="VV163" s="7"/>
      <c r="VW163" s="7"/>
      <c r="VX163" s="7"/>
      <c r="VY163" s="7"/>
      <c r="VZ163" s="7"/>
      <c r="WA163" s="7"/>
      <c r="WB163" s="7"/>
      <c r="WC163" s="7"/>
      <c r="WD163" s="7"/>
      <c r="WE163" s="7"/>
      <c r="WF163" s="7"/>
      <c r="WG163" s="7"/>
      <c r="WH163" s="7"/>
      <c r="WI163" s="7"/>
      <c r="WJ163" s="7"/>
      <c r="WK163" s="7"/>
      <c r="WL163" s="7"/>
      <c r="WM163" s="7"/>
      <c r="WN163" s="7"/>
      <c r="WO163" s="7"/>
      <c r="WP163" s="7"/>
      <c r="WQ163" s="7"/>
      <c r="WR163" s="7"/>
      <c r="WS163" s="7"/>
      <c r="WT163" s="7"/>
      <c r="WU163" s="7"/>
      <c r="WV163" s="7"/>
      <c r="WW163" s="7"/>
      <c r="WX163" s="7"/>
      <c r="WY163" s="7"/>
      <c r="WZ163" s="7"/>
      <c r="XA163" s="7"/>
      <c r="XB163" s="7"/>
      <c r="XC163" s="7"/>
      <c r="XD163" s="7"/>
      <c r="XE163" s="7"/>
      <c r="XF163" s="7"/>
      <c r="XG163" s="7"/>
      <c r="XH163" s="7"/>
      <c r="XI163" s="7"/>
      <c r="XJ163" s="7"/>
      <c r="XK163" s="7"/>
      <c r="XL163" s="7"/>
      <c r="XM163" s="7"/>
      <c r="XN163" s="7"/>
      <c r="XO163" s="7"/>
      <c r="XP163" s="7"/>
      <c r="XQ163" s="7"/>
      <c r="XR163" s="7"/>
      <c r="XS163" s="7"/>
      <c r="XT163" s="7"/>
      <c r="XU163" s="7"/>
      <c r="XV163" s="7"/>
      <c r="XW163" s="7"/>
      <c r="XX163" s="7"/>
      <c r="XY163" s="7"/>
      <c r="XZ163" s="7"/>
      <c r="YA163" s="7"/>
      <c r="YB163" s="7"/>
      <c r="YC163" s="7"/>
      <c r="YD163" s="7"/>
      <c r="YE163" s="7"/>
      <c r="YF163" s="7"/>
      <c r="YG163" s="7"/>
      <c r="YH163" s="7"/>
      <c r="YI163" s="7"/>
      <c r="YJ163" s="7"/>
      <c r="YK163" s="7"/>
      <c r="YL163" s="7"/>
      <c r="YM163" s="7"/>
      <c r="YN163" s="7"/>
      <c r="YO163" s="7"/>
      <c r="YP163" s="7"/>
      <c r="YQ163" s="7"/>
      <c r="YR163" s="7"/>
      <c r="YS163" s="7"/>
      <c r="YT163" s="7"/>
      <c r="YU163" s="7"/>
      <c r="YV163" s="7"/>
      <c r="YW163" s="7"/>
      <c r="YX163" s="7"/>
      <c r="YY163" s="7"/>
      <c r="YZ163" s="7"/>
      <c r="ZA163" s="7"/>
      <c r="ZB163" s="7"/>
      <c r="ZC163" s="7"/>
      <c r="ZD163" s="7"/>
      <c r="ZE163" s="7"/>
      <c r="ZF163" s="7"/>
      <c r="ZG163" s="7"/>
      <c r="ZH163" s="7"/>
      <c r="ZI163" s="7"/>
      <c r="ZJ163" s="7"/>
      <c r="ZK163" s="7"/>
      <c r="ZL163" s="7"/>
      <c r="ZM163" s="7"/>
      <c r="ZN163" s="7"/>
      <c r="ZO163" s="7"/>
      <c r="ZP163" s="7"/>
      <c r="ZQ163" s="7"/>
      <c r="ZR163" s="7"/>
      <c r="ZS163" s="7"/>
      <c r="ZT163" s="7"/>
      <c r="ZU163" s="7"/>
      <c r="ZV163" s="7"/>
      <c r="ZW163" s="7"/>
      <c r="ZX163" s="7"/>
      <c r="ZY163" s="7"/>
      <c r="ZZ163" s="7"/>
      <c r="AAA163" s="7"/>
      <c r="AAB163" s="7"/>
      <c r="AAC163" s="7"/>
      <c r="AAD163" s="7"/>
      <c r="AAE163" s="7"/>
      <c r="AAF163" s="7"/>
      <c r="AAG163" s="7"/>
      <c r="AAH163" s="7"/>
      <c r="AAI163" s="7"/>
      <c r="AAJ163" s="7"/>
      <c r="AAK163" s="7"/>
      <c r="AAL163" s="7"/>
      <c r="AAM163" s="7"/>
      <c r="AAN163" s="7"/>
      <c r="AAO163" s="7"/>
      <c r="AAP163" s="7"/>
      <c r="AAQ163" s="7"/>
      <c r="AAR163" s="7"/>
      <c r="AAS163" s="7"/>
      <c r="AAT163" s="7"/>
      <c r="AAU163" s="7"/>
      <c r="AAV163" s="7"/>
      <c r="AAW163" s="7"/>
      <c r="AAX163" s="7"/>
      <c r="AAY163" s="7"/>
      <c r="AAZ163" s="7"/>
      <c r="ABA163" s="7"/>
      <c r="ABB163" s="7"/>
      <c r="ABC163" s="7"/>
      <c r="ABD163" s="7"/>
      <c r="ABE163" s="7"/>
      <c r="ABF163" s="7"/>
      <c r="ABG163" s="7"/>
      <c r="ABH163" s="7"/>
      <c r="ABI163" s="7"/>
      <c r="ABJ163" s="7"/>
      <c r="ABK163" s="7"/>
      <c r="ABL163" s="7"/>
      <c r="ABM163" s="7"/>
      <c r="ABN163" s="7"/>
      <c r="ABO163" s="7"/>
      <c r="ABP163" s="7"/>
      <c r="ABQ163" s="7"/>
      <c r="ABR163" s="7"/>
      <c r="ABS163" s="7"/>
      <c r="ABT163" s="7"/>
      <c r="ABU163" s="7"/>
      <c r="ABV163" s="7"/>
      <c r="ABW163" s="7"/>
      <c r="ABX163" s="7"/>
      <c r="ABY163" s="7"/>
      <c r="ABZ163" s="7"/>
      <c r="ACA163" s="7"/>
      <c r="ACB163" s="7"/>
      <c r="ACC163" s="7"/>
      <c r="ACD163" s="7"/>
      <c r="ACE163" s="7"/>
      <c r="ACF163" s="7"/>
      <c r="ACG163" s="7"/>
      <c r="ACH163" s="7"/>
      <c r="ACI163" s="7"/>
      <c r="ACJ163" s="7"/>
      <c r="ACK163" s="7"/>
      <c r="ACL163" s="7"/>
      <c r="ACM163" s="7"/>
      <c r="ACN163" s="7"/>
      <c r="ACO163" s="7"/>
      <c r="ACP163" s="7"/>
      <c r="ACQ163" s="7"/>
      <c r="ACR163" s="7"/>
      <c r="ACS163" s="7"/>
      <c r="ACT163" s="7"/>
      <c r="ACU163" s="7"/>
      <c r="ACV163" s="7"/>
      <c r="ACW163" s="7"/>
      <c r="ACX163" s="7"/>
      <c r="ACY163" s="7"/>
      <c r="ACZ163" s="7"/>
      <c r="ADA163" s="7"/>
      <c r="ADB163" s="7"/>
      <c r="ADC163" s="7"/>
      <c r="ADD163" s="7"/>
      <c r="ADE163" s="7"/>
      <c r="ADF163" s="7"/>
      <c r="ADG163" s="7"/>
      <c r="ADH163" s="7"/>
      <c r="ADI163" s="7"/>
      <c r="ADJ163" s="7"/>
      <c r="ADK163" s="7"/>
      <c r="ADL163" s="7"/>
      <c r="ADM163" s="7"/>
      <c r="ADN163" s="7"/>
      <c r="ADO163" s="7"/>
      <c r="ADP163" s="7"/>
      <c r="ADQ163" s="7"/>
      <c r="ADR163" s="7"/>
      <c r="ADS163" s="7"/>
      <c r="ADT163" s="7"/>
      <c r="ADU163" s="7"/>
      <c r="ADV163" s="7"/>
      <c r="ADW163" s="7"/>
      <c r="ADX163" s="7"/>
      <c r="ADY163" s="7"/>
      <c r="ADZ163" s="7"/>
      <c r="AEA163" s="7"/>
      <c r="AEB163" s="7"/>
      <c r="AEC163" s="7"/>
      <c r="AED163" s="7"/>
      <c r="AEE163" s="7"/>
      <c r="AEF163" s="7"/>
      <c r="AEG163" s="7"/>
      <c r="AEH163" s="7"/>
      <c r="AEI163" s="7"/>
      <c r="AEJ163" s="7"/>
      <c r="AEK163" s="7"/>
      <c r="AEL163" s="7"/>
      <c r="AEM163" s="7"/>
      <c r="AEN163" s="7"/>
      <c r="AEO163" s="7"/>
      <c r="AEP163" s="7"/>
      <c r="AEQ163" s="7"/>
      <c r="AER163" s="7"/>
      <c r="AES163" s="7"/>
      <c r="AET163" s="7"/>
      <c r="AEU163" s="7"/>
      <c r="AEV163" s="7"/>
      <c r="AEW163" s="7"/>
      <c r="AEX163" s="7"/>
      <c r="AEY163" s="7"/>
      <c r="AEZ163" s="7"/>
      <c r="AFA163" s="7"/>
      <c r="AFB163" s="7"/>
      <c r="AFC163" s="7"/>
      <c r="AFD163" s="7"/>
      <c r="AFE163" s="7"/>
      <c r="AFF163" s="7"/>
      <c r="AFG163" s="7"/>
      <c r="AFH163" s="7"/>
      <c r="AFI163" s="7"/>
      <c r="AFJ163" s="7"/>
      <c r="AFK163" s="7"/>
      <c r="AFL163" s="7"/>
      <c r="AFM163" s="7"/>
      <c r="AFN163" s="7"/>
      <c r="AFO163" s="7"/>
      <c r="AFP163" s="7"/>
      <c r="AFQ163" s="7"/>
      <c r="AFR163" s="7"/>
      <c r="AFS163" s="7"/>
      <c r="AFT163" s="7"/>
      <c r="AFU163" s="7"/>
      <c r="AFV163" s="7"/>
      <c r="AFW163" s="7"/>
      <c r="AFX163" s="7"/>
      <c r="AFY163" s="7"/>
      <c r="AFZ163" s="7"/>
      <c r="AGA163" s="7"/>
      <c r="AGB163" s="7"/>
      <c r="AGC163" s="7"/>
      <c r="AGD163" s="7"/>
      <c r="AGE163" s="7"/>
      <c r="AGF163" s="7"/>
      <c r="AGG163" s="7"/>
      <c r="AGH163" s="7"/>
      <c r="AGI163" s="7"/>
      <c r="AGJ163" s="7"/>
      <c r="AGK163" s="7"/>
      <c r="AGL163" s="7"/>
      <c r="AGM163" s="7"/>
      <c r="AGN163" s="7"/>
      <c r="AGO163" s="7"/>
      <c r="AGP163" s="7"/>
      <c r="AGQ163" s="7"/>
      <c r="AGR163" s="7"/>
      <c r="AGS163" s="7"/>
      <c r="AGT163" s="7"/>
      <c r="AGU163" s="7"/>
      <c r="AGV163" s="7"/>
      <c r="AGW163" s="7"/>
      <c r="AGX163" s="7"/>
      <c r="AGY163" s="7"/>
      <c r="AGZ163" s="7"/>
      <c r="AHA163" s="7"/>
      <c r="AHB163" s="7"/>
      <c r="AHC163" s="7"/>
      <c r="AHD163" s="7"/>
      <c r="AHE163" s="7"/>
      <c r="AHF163" s="7"/>
      <c r="AHG163" s="7"/>
      <c r="AHH163" s="7"/>
      <c r="AHI163" s="7"/>
      <c r="AHJ163" s="7"/>
      <c r="AHK163" s="7"/>
      <c r="AHL163" s="7"/>
      <c r="AHM163" s="7"/>
      <c r="AHN163" s="7"/>
      <c r="AHO163" s="7"/>
      <c r="AHP163" s="7"/>
      <c r="AHQ163" s="7"/>
      <c r="AHR163" s="7"/>
      <c r="AHS163" s="7"/>
      <c r="AHT163" s="7"/>
      <c r="AHU163" s="7"/>
      <c r="AHV163" s="7"/>
      <c r="AHW163" s="7"/>
      <c r="AHX163" s="7"/>
      <c r="AHY163" s="7"/>
      <c r="AHZ163" s="7"/>
      <c r="AIA163" s="7"/>
      <c r="AIB163" s="7"/>
      <c r="AIC163" s="7"/>
      <c r="AID163" s="7"/>
      <c r="AIE163" s="7"/>
      <c r="AIF163" s="7"/>
      <c r="AIG163" s="7"/>
      <c r="AIH163" s="7"/>
      <c r="AII163" s="7"/>
      <c r="AIJ163" s="7"/>
      <c r="AIK163" s="7"/>
      <c r="AIL163" s="7"/>
      <c r="AIM163" s="7"/>
      <c r="AIN163" s="7"/>
      <c r="AIO163" s="7"/>
      <c r="AIP163" s="7"/>
      <c r="AIQ163" s="7"/>
      <c r="AIR163" s="7"/>
      <c r="AIS163" s="7"/>
      <c r="AIT163" s="7"/>
      <c r="AIU163" s="7"/>
      <c r="AIV163" s="7"/>
      <c r="AIW163" s="7"/>
      <c r="AIX163" s="7"/>
      <c r="AIY163" s="7"/>
      <c r="AIZ163" s="7"/>
      <c r="AJA163" s="7"/>
      <c r="AJB163" s="7"/>
      <c r="AJC163" s="7"/>
      <c r="AJD163" s="7"/>
      <c r="AJE163" s="7"/>
      <c r="AJF163" s="7"/>
      <c r="AJG163" s="7"/>
      <c r="AJH163" s="7"/>
      <c r="AJI163" s="7"/>
      <c r="AJJ163" s="7"/>
      <c r="AJK163" s="7"/>
      <c r="AJL163" s="7"/>
      <c r="AJM163" s="7"/>
      <c r="AJN163" s="7"/>
      <c r="AJO163" s="7"/>
      <c r="AJP163" s="7"/>
      <c r="AJQ163" s="7"/>
      <c r="AJR163" s="7"/>
      <c r="AJS163" s="7"/>
      <c r="AJT163" s="7"/>
      <c r="AJU163" s="7"/>
      <c r="AJV163" s="7"/>
      <c r="AJW163" s="7"/>
      <c r="AJX163" s="7"/>
      <c r="AJY163" s="7"/>
      <c r="AJZ163" s="7"/>
      <c r="AKA163" s="7"/>
      <c r="AKB163" s="7"/>
      <c r="AKC163" s="7"/>
      <c r="AKD163" s="7"/>
      <c r="AKE163" s="7"/>
      <c r="AKF163" s="7"/>
      <c r="AKG163" s="7"/>
      <c r="AKH163" s="7"/>
      <c r="AKI163" s="7"/>
      <c r="AKJ163" s="7"/>
      <c r="AKK163" s="7"/>
      <c r="AKL163" s="7"/>
      <c r="AKM163" s="7"/>
      <c r="AKN163" s="7"/>
      <c r="AKO163" s="7"/>
      <c r="AKP163" s="7"/>
      <c r="AKQ163" s="7"/>
      <c r="AKR163" s="7"/>
      <c r="AKS163" s="7"/>
      <c r="AKT163" s="7"/>
      <c r="AKU163" s="7"/>
      <c r="AKV163" s="7"/>
      <c r="AKW163" s="7"/>
      <c r="AKX163" s="7"/>
      <c r="AKY163" s="7"/>
      <c r="AKZ163" s="7"/>
      <c r="ALA163" s="7"/>
      <c r="ALB163" s="7"/>
      <c r="ALC163" s="7"/>
      <c r="ALD163" s="7"/>
      <c r="ALE163" s="7"/>
      <c r="ALF163" s="7"/>
      <c r="ALG163" s="7"/>
      <c r="ALH163" s="7"/>
      <c r="ALI163" s="7"/>
      <c r="ALJ163" s="7"/>
      <c r="ALK163" s="7"/>
      <c r="ALL163" s="7"/>
      <c r="ALM163" s="7"/>
      <c r="ALN163" s="7"/>
      <c r="ALO163" s="7"/>
      <c r="ALP163" s="7"/>
      <c r="ALQ163" s="7"/>
      <c r="ALR163" s="7"/>
      <c r="ALS163" s="7"/>
      <c r="ALT163" s="7"/>
      <c r="ALU163" s="7"/>
      <c r="ALV163" s="7"/>
      <c r="ALW163" s="7"/>
      <c r="ALX163" s="7"/>
      <c r="ALY163" s="7"/>
      <c r="ALZ163" s="7"/>
      <c r="AMA163" s="7"/>
      <c r="AMB163" s="7"/>
      <c r="AMC163" s="7"/>
      <c r="AMD163" s="7"/>
      <c r="AME163" s="7"/>
      <c r="AMF163" s="7"/>
      <c r="AMG163" s="7"/>
      <c r="AMH163" s="7"/>
      <c r="AMI163" s="7"/>
      <c r="AMJ163" s="7"/>
    </row>
    <row r="164" customFormat="false" ht="15.75" hidden="false" customHeight="true" outlineLevel="0" collapsed="false">
      <c r="A164" s="7"/>
      <c r="B164" s="7"/>
      <c r="C164" s="269" t="s">
        <v>33</v>
      </c>
      <c r="D164" s="270" t="n">
        <f aca="false">D32+D58+D87+D114</f>
        <v>141</v>
      </c>
      <c r="E164" s="271" t="n">
        <f aca="false">F31+F57+F86+F113</f>
        <v>7</v>
      </c>
      <c r="F164" s="149"/>
      <c r="G164" s="272"/>
      <c r="H164" s="24"/>
      <c r="I164" s="78"/>
      <c r="J164" s="8"/>
      <c r="K164" s="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  <c r="QL164" s="7"/>
      <c r="QM164" s="7"/>
      <c r="QN164" s="7"/>
      <c r="QO164" s="7"/>
      <c r="QP164" s="7"/>
      <c r="QQ164" s="7"/>
      <c r="QR164" s="7"/>
      <c r="QS164" s="7"/>
      <c r="QT164" s="7"/>
      <c r="Q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RH164" s="7"/>
      <c r="RI164" s="7"/>
      <c r="RJ164" s="7"/>
      <c r="RK164" s="7"/>
      <c r="RL164" s="7"/>
      <c r="RM164" s="7"/>
      <c r="RN164" s="7"/>
      <c r="RO164" s="7"/>
      <c r="RP164" s="7"/>
      <c r="RQ164" s="7"/>
      <c r="RR164" s="7"/>
      <c r="RS164" s="7"/>
      <c r="RT164" s="7"/>
      <c r="RU164" s="7"/>
      <c r="RV164" s="7"/>
      <c r="RW164" s="7"/>
      <c r="RX164" s="7"/>
      <c r="RY164" s="7"/>
      <c r="RZ164" s="7"/>
      <c r="SA164" s="7"/>
      <c r="SB164" s="7"/>
      <c r="SC164" s="7"/>
      <c r="SD164" s="7"/>
      <c r="SE164" s="7"/>
      <c r="SF164" s="7"/>
      <c r="SG164" s="7"/>
      <c r="SH164" s="7"/>
      <c r="SI164" s="7"/>
      <c r="SJ164" s="7"/>
      <c r="SK164" s="7"/>
      <c r="SL164" s="7"/>
      <c r="SM164" s="7"/>
      <c r="SN164" s="7"/>
      <c r="SO164" s="7"/>
      <c r="SP164" s="7"/>
      <c r="SQ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TD164" s="7"/>
      <c r="TE164" s="7"/>
      <c r="TF164" s="7"/>
      <c r="TG164" s="7"/>
      <c r="TH164" s="7"/>
      <c r="TI164" s="7"/>
      <c r="TJ164" s="7"/>
      <c r="TK164" s="7"/>
      <c r="TL164" s="7"/>
      <c r="TM164" s="7"/>
      <c r="TN164" s="7"/>
      <c r="TO164" s="7"/>
      <c r="TP164" s="7"/>
      <c r="TQ164" s="7"/>
      <c r="TR164" s="7"/>
      <c r="TS164" s="7"/>
      <c r="TT164" s="7"/>
      <c r="TU164" s="7"/>
      <c r="TV164" s="7"/>
      <c r="TW164" s="7"/>
      <c r="TX164" s="7"/>
      <c r="TY164" s="7"/>
      <c r="TZ164" s="7"/>
      <c r="UA164" s="7"/>
      <c r="UB164" s="7"/>
      <c r="UC164" s="7"/>
      <c r="UD164" s="7"/>
      <c r="UE164" s="7"/>
      <c r="UF164" s="7"/>
      <c r="UG164" s="7"/>
      <c r="UH164" s="7"/>
      <c r="UI164" s="7"/>
      <c r="UJ164" s="7"/>
      <c r="UK164" s="7"/>
      <c r="UL164" s="7"/>
      <c r="UM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UZ164" s="7"/>
      <c r="VA164" s="7"/>
      <c r="VB164" s="7"/>
      <c r="VC164" s="7"/>
      <c r="VD164" s="7"/>
      <c r="VE164" s="7"/>
      <c r="VF164" s="7"/>
      <c r="VG164" s="7"/>
      <c r="VH164" s="7"/>
      <c r="VI164" s="7"/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  <c r="YI164" s="7"/>
      <c r="YJ164" s="7"/>
      <c r="YK164" s="7"/>
      <c r="YL164" s="7"/>
      <c r="YM164" s="7"/>
      <c r="YN164" s="7"/>
      <c r="YO164" s="7"/>
      <c r="YP164" s="7"/>
      <c r="YQ164" s="7"/>
      <c r="YR164" s="7"/>
      <c r="YS164" s="7"/>
      <c r="YT164" s="7"/>
      <c r="YU164" s="7"/>
      <c r="YV164" s="7"/>
      <c r="YW164" s="7"/>
      <c r="YX164" s="7"/>
      <c r="YY164" s="7"/>
      <c r="YZ164" s="7"/>
      <c r="ZA164" s="7"/>
      <c r="ZB164" s="7"/>
      <c r="ZC164" s="7"/>
      <c r="ZD164" s="7"/>
      <c r="ZE164" s="7"/>
      <c r="ZF164" s="7"/>
      <c r="ZG164" s="7"/>
      <c r="ZH164" s="7"/>
      <c r="ZI164" s="7"/>
      <c r="ZJ164" s="7"/>
      <c r="ZK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ZX164" s="7"/>
      <c r="ZY164" s="7"/>
      <c r="ZZ164" s="7"/>
      <c r="AAA164" s="7"/>
      <c r="AAB164" s="7"/>
      <c r="AAC164" s="7"/>
      <c r="AAD164" s="7"/>
      <c r="AAE164" s="7"/>
      <c r="AAF164" s="7"/>
      <c r="AAG164" s="7"/>
      <c r="AAH164" s="7"/>
      <c r="AAI164" s="7"/>
      <c r="AAJ164" s="7"/>
      <c r="AAK164" s="7"/>
      <c r="AAL164" s="7"/>
      <c r="AAM164" s="7"/>
      <c r="AAN164" s="7"/>
      <c r="AAO164" s="7"/>
      <c r="AAP164" s="7"/>
      <c r="AAQ164" s="7"/>
      <c r="AAR164" s="7"/>
      <c r="AAS164" s="7"/>
      <c r="AAT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  <c r="ABL164" s="7"/>
      <c r="ABM164" s="7"/>
      <c r="ABN164" s="7"/>
      <c r="ABO164" s="7"/>
      <c r="ABP164" s="7"/>
      <c r="ABQ164" s="7"/>
      <c r="ABR164" s="7"/>
      <c r="ABS164" s="7"/>
      <c r="ABT164" s="7"/>
      <c r="ABU164" s="7"/>
      <c r="ABV164" s="7"/>
      <c r="ABW164" s="7"/>
      <c r="ABX164" s="7"/>
      <c r="ABY164" s="7"/>
      <c r="ABZ164" s="7"/>
      <c r="ACA164" s="7"/>
      <c r="ACB164" s="7"/>
      <c r="ACC164" s="7"/>
      <c r="ACD164" s="7"/>
      <c r="ACE164" s="7"/>
      <c r="ACF164" s="7"/>
      <c r="ACG164" s="7"/>
      <c r="ACH164" s="7"/>
      <c r="ACI164" s="7"/>
      <c r="ACJ164" s="7"/>
      <c r="ACK164" s="7"/>
      <c r="ACL164" s="7"/>
      <c r="ACM164" s="7"/>
      <c r="ACN164" s="7"/>
      <c r="ACO164" s="7"/>
      <c r="ACP164" s="7"/>
      <c r="ACQ164" s="7"/>
      <c r="ACR164" s="7"/>
      <c r="ACS164" s="7"/>
      <c r="ACT164" s="7"/>
      <c r="ACU164" s="7"/>
      <c r="ACV164" s="7"/>
      <c r="ACW164" s="7"/>
      <c r="ACX164" s="7"/>
      <c r="ACY164" s="7"/>
      <c r="ACZ164" s="7"/>
      <c r="ADA164" s="7"/>
      <c r="ADB164" s="7"/>
      <c r="ADC164" s="7"/>
      <c r="ADD164" s="7"/>
      <c r="ADE164" s="7"/>
      <c r="ADF164" s="7"/>
      <c r="ADG164" s="7"/>
      <c r="ADH164" s="7"/>
      <c r="ADI164" s="7"/>
      <c r="ADJ164" s="7"/>
      <c r="ADK164" s="7"/>
      <c r="ADL164" s="7"/>
      <c r="ADM164" s="7"/>
      <c r="ADN164" s="7"/>
      <c r="ADO164" s="7"/>
      <c r="ADP164" s="7"/>
      <c r="ADQ164" s="7"/>
      <c r="ADR164" s="7"/>
      <c r="ADS164" s="7"/>
      <c r="ADT164" s="7"/>
      <c r="ADU164" s="7"/>
      <c r="ADV164" s="7"/>
      <c r="ADW164" s="7"/>
      <c r="ADX164" s="7"/>
      <c r="ADY164" s="7"/>
      <c r="ADZ164" s="7"/>
      <c r="AEA164" s="7"/>
      <c r="AEB164" s="7"/>
      <c r="AEC164" s="7"/>
      <c r="AED164" s="7"/>
      <c r="AEE164" s="7"/>
      <c r="AEF164" s="7"/>
      <c r="AEG164" s="7"/>
      <c r="AEH164" s="7"/>
      <c r="AEI164" s="7"/>
      <c r="AEJ164" s="7"/>
      <c r="AEK164" s="7"/>
      <c r="AEL164" s="7"/>
      <c r="AEM164" s="7"/>
      <c r="AEN164" s="7"/>
      <c r="AEO164" s="7"/>
      <c r="AEP164" s="7"/>
      <c r="AEQ164" s="7"/>
      <c r="AER164" s="7"/>
      <c r="AES164" s="7"/>
      <c r="AET164" s="7"/>
      <c r="AEU164" s="7"/>
      <c r="AEV164" s="7"/>
      <c r="AEW164" s="7"/>
      <c r="AEX164" s="7"/>
      <c r="AEY164" s="7"/>
      <c r="AEZ164" s="7"/>
      <c r="AFA164" s="7"/>
      <c r="AFB164" s="7"/>
      <c r="AFC164" s="7"/>
      <c r="AFD164" s="7"/>
      <c r="AFE164" s="7"/>
      <c r="AFF164" s="7"/>
      <c r="AFG164" s="7"/>
      <c r="AFH164" s="7"/>
      <c r="AFI164" s="7"/>
      <c r="AFJ164" s="7"/>
      <c r="AFK164" s="7"/>
      <c r="AFL164" s="7"/>
      <c r="AFM164" s="7"/>
      <c r="AFN164" s="7"/>
      <c r="AFO164" s="7"/>
      <c r="AFP164" s="7"/>
      <c r="AFQ164" s="7"/>
      <c r="AFR164" s="7"/>
      <c r="AFS164" s="7"/>
      <c r="AFT164" s="7"/>
      <c r="AFU164" s="7"/>
      <c r="AFV164" s="7"/>
      <c r="AFW164" s="7"/>
      <c r="AFX164" s="7"/>
      <c r="AFY164" s="7"/>
      <c r="AFZ164" s="7"/>
      <c r="AGA164" s="7"/>
      <c r="AGB164" s="7"/>
      <c r="AGC164" s="7"/>
      <c r="AGD164" s="7"/>
      <c r="AGE164" s="7"/>
      <c r="AGF164" s="7"/>
      <c r="AGG164" s="7"/>
      <c r="AGH164" s="7"/>
      <c r="AGI164" s="7"/>
      <c r="AGJ164" s="7"/>
      <c r="AGK164" s="7"/>
      <c r="AGL164" s="7"/>
      <c r="AGM164" s="7"/>
      <c r="AGN164" s="7"/>
      <c r="AGO164" s="7"/>
      <c r="AGP164" s="7"/>
      <c r="AGQ164" s="7"/>
      <c r="AGR164" s="7"/>
      <c r="AGS164" s="7"/>
      <c r="AGT164" s="7"/>
      <c r="AGU164" s="7"/>
      <c r="AGV164" s="7"/>
      <c r="AGW164" s="7"/>
      <c r="AGX164" s="7"/>
      <c r="AGY164" s="7"/>
      <c r="AGZ164" s="7"/>
      <c r="AHA164" s="7"/>
      <c r="AHB164" s="7"/>
      <c r="AHC164" s="7"/>
      <c r="AHD164" s="7"/>
      <c r="AHE164" s="7"/>
      <c r="AHF164" s="7"/>
      <c r="AHG164" s="7"/>
      <c r="AHH164" s="7"/>
      <c r="AHI164" s="7"/>
      <c r="AHJ164" s="7"/>
      <c r="AHK164" s="7"/>
      <c r="AHL164" s="7"/>
      <c r="AHM164" s="7"/>
      <c r="AHN164" s="7"/>
      <c r="AHO164" s="7"/>
      <c r="AHP164" s="7"/>
      <c r="AHQ164" s="7"/>
      <c r="AHR164" s="7"/>
      <c r="AHS164" s="7"/>
      <c r="AHT164" s="7"/>
      <c r="AHU164" s="7"/>
      <c r="AHV164" s="7"/>
      <c r="AHW164" s="7"/>
      <c r="AHX164" s="7"/>
      <c r="AHY164" s="7"/>
      <c r="AHZ164" s="7"/>
      <c r="AIA164" s="7"/>
      <c r="AIB164" s="7"/>
      <c r="AIC164" s="7"/>
      <c r="AID164" s="7"/>
      <c r="AIE164" s="7"/>
      <c r="AIF164" s="7"/>
      <c r="AIG164" s="7"/>
      <c r="AIH164" s="7"/>
      <c r="AII164" s="7"/>
      <c r="AIJ164" s="7"/>
      <c r="AIK164" s="7"/>
      <c r="AIL164" s="7"/>
      <c r="AIM164" s="7"/>
      <c r="AIN164" s="7"/>
      <c r="AIO164" s="7"/>
      <c r="AIP164" s="7"/>
      <c r="AIQ164" s="7"/>
      <c r="AIR164" s="7"/>
      <c r="AIS164" s="7"/>
      <c r="AIT164" s="7"/>
      <c r="AIU164" s="7"/>
      <c r="AIV164" s="7"/>
      <c r="AIW164" s="7"/>
      <c r="AIX164" s="7"/>
      <c r="AIY164" s="7"/>
      <c r="AIZ164" s="7"/>
      <c r="AJA164" s="7"/>
      <c r="AJB164" s="7"/>
      <c r="AJC164" s="7"/>
      <c r="AJD164" s="7"/>
      <c r="AJE164" s="7"/>
      <c r="AJF164" s="7"/>
      <c r="AJG164" s="7"/>
      <c r="AJH164" s="7"/>
      <c r="AJI164" s="7"/>
      <c r="AJJ164" s="7"/>
      <c r="AJK164" s="7"/>
      <c r="AJL164" s="7"/>
      <c r="AJM164" s="7"/>
      <c r="AJN164" s="7"/>
      <c r="AJO164" s="7"/>
      <c r="AJP164" s="7"/>
      <c r="AJQ164" s="7"/>
      <c r="AJR164" s="7"/>
      <c r="AJS164" s="7"/>
      <c r="AJT164" s="7"/>
      <c r="AJU164" s="7"/>
      <c r="AJV164" s="7"/>
      <c r="AJW164" s="7"/>
      <c r="AJX164" s="7"/>
      <c r="AJY164" s="7"/>
      <c r="AJZ164" s="7"/>
      <c r="AKA164" s="7"/>
      <c r="AKB164" s="7"/>
      <c r="AKC164" s="7"/>
      <c r="AKD164" s="7"/>
      <c r="AKE164" s="7"/>
      <c r="AKF164" s="7"/>
      <c r="AKG164" s="7"/>
      <c r="AKH164" s="7"/>
      <c r="AKI164" s="7"/>
      <c r="AKJ164" s="7"/>
      <c r="AKK164" s="7"/>
      <c r="AKL164" s="7"/>
      <c r="AKM164" s="7"/>
      <c r="AKN164" s="7"/>
      <c r="AKO164" s="7"/>
      <c r="AKP164" s="7"/>
      <c r="AKQ164" s="7"/>
      <c r="AKR164" s="7"/>
      <c r="AKS164" s="7"/>
      <c r="AKT164" s="7"/>
      <c r="AKU164" s="7"/>
      <c r="AKV164" s="7"/>
      <c r="AKW164" s="7"/>
      <c r="AKX164" s="7"/>
      <c r="AKY164" s="7"/>
      <c r="AKZ164" s="7"/>
      <c r="ALA164" s="7"/>
      <c r="ALB164" s="7"/>
      <c r="ALC164" s="7"/>
      <c r="ALD164" s="7"/>
      <c r="ALE164" s="7"/>
      <c r="ALF164" s="7"/>
      <c r="ALG164" s="7"/>
      <c r="ALH164" s="7"/>
      <c r="ALI164" s="7"/>
      <c r="ALJ164" s="7"/>
      <c r="ALK164" s="7"/>
      <c r="ALL164" s="7"/>
      <c r="ALM164" s="7"/>
      <c r="ALN164" s="7"/>
      <c r="ALO164" s="7"/>
      <c r="ALP164" s="7"/>
      <c r="ALQ164" s="7"/>
      <c r="ALR164" s="7"/>
      <c r="ALS164" s="7"/>
      <c r="ALT164" s="7"/>
      <c r="ALU164" s="7"/>
      <c r="ALV164" s="7"/>
      <c r="ALW164" s="7"/>
      <c r="ALX164" s="7"/>
      <c r="ALY164" s="7"/>
      <c r="ALZ164" s="7"/>
      <c r="AMA164" s="7"/>
      <c r="AMB164" s="7"/>
      <c r="AMC164" s="7"/>
      <c r="AMD164" s="7"/>
      <c r="AME164" s="7"/>
      <c r="AMF164" s="7"/>
      <c r="AMG164" s="7"/>
      <c r="AMH164" s="7"/>
      <c r="AMI164" s="7"/>
      <c r="AMJ164" s="7"/>
    </row>
    <row r="165" customFormat="false" ht="15.75" hidden="false" customHeight="true" outlineLevel="0" collapsed="false">
      <c r="A165" s="7"/>
      <c r="B165" s="7"/>
      <c r="C165" s="269" t="s">
        <v>18</v>
      </c>
      <c r="D165" s="270" t="n">
        <f aca="false">D128+D127+D126+D72+D71+D47+D46+D23+D22+D20+D19+D17+D16+D15</f>
        <v>283</v>
      </c>
      <c r="E165" s="271" t="n">
        <f aca="false">F14+F18+F21+F45+F70+F125</f>
        <v>17</v>
      </c>
      <c r="F165" s="149"/>
      <c r="G165" s="272"/>
      <c r="H165" s="24"/>
      <c r="I165" s="78"/>
      <c r="J165" s="8"/>
      <c r="K165" s="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PO165" s="7"/>
      <c r="PP165" s="7"/>
      <c r="PQ165" s="7"/>
      <c r="PR165" s="7"/>
      <c r="PS165" s="7"/>
      <c r="PT165" s="7"/>
      <c r="PU165" s="7"/>
      <c r="PV165" s="7"/>
      <c r="PW165" s="7"/>
      <c r="PX165" s="7"/>
      <c r="PY165" s="7"/>
      <c r="PZ165" s="7"/>
      <c r="QA165" s="7"/>
      <c r="QB165" s="7"/>
      <c r="QC165" s="7"/>
      <c r="QD165" s="7"/>
      <c r="QE165" s="7"/>
      <c r="QF165" s="7"/>
      <c r="QG165" s="7"/>
      <c r="QH165" s="7"/>
      <c r="QI165" s="7"/>
      <c r="QJ165" s="7"/>
      <c r="QK165" s="7"/>
      <c r="QL165" s="7"/>
      <c r="QM165" s="7"/>
      <c r="QN165" s="7"/>
      <c r="QO165" s="7"/>
      <c r="QP165" s="7"/>
      <c r="QQ165" s="7"/>
      <c r="QR165" s="7"/>
      <c r="QS165" s="7"/>
      <c r="QT165" s="7"/>
      <c r="QU165" s="7"/>
      <c r="QV165" s="7"/>
      <c r="QW165" s="7"/>
      <c r="QX165" s="7"/>
      <c r="QY165" s="7"/>
      <c r="QZ165" s="7"/>
      <c r="RA165" s="7"/>
      <c r="RB165" s="7"/>
      <c r="RC165" s="7"/>
      <c r="RD165" s="7"/>
      <c r="RE165" s="7"/>
      <c r="RF165" s="7"/>
      <c r="RG165" s="7"/>
      <c r="RH165" s="7"/>
      <c r="RI165" s="7"/>
      <c r="RJ165" s="7"/>
      <c r="RK165" s="7"/>
      <c r="RL165" s="7"/>
      <c r="RM165" s="7"/>
      <c r="RN165" s="7"/>
      <c r="RO165" s="7"/>
      <c r="RP165" s="7"/>
      <c r="RQ165" s="7"/>
      <c r="RR165" s="7"/>
      <c r="RS165" s="7"/>
      <c r="RT165" s="7"/>
      <c r="RU165" s="7"/>
      <c r="RV165" s="7"/>
      <c r="RW165" s="7"/>
      <c r="RX165" s="7"/>
      <c r="RY165" s="7"/>
      <c r="RZ165" s="7"/>
      <c r="SA165" s="7"/>
      <c r="SB165" s="7"/>
      <c r="SC165" s="7"/>
      <c r="SD165" s="7"/>
      <c r="SE165" s="7"/>
      <c r="SF165" s="7"/>
      <c r="SG165" s="7"/>
      <c r="SH165" s="7"/>
      <c r="SI165" s="7"/>
      <c r="SJ165" s="7"/>
      <c r="SK165" s="7"/>
      <c r="SL165" s="7"/>
      <c r="SM165" s="7"/>
      <c r="SN165" s="7"/>
      <c r="SO165" s="7"/>
      <c r="SP165" s="7"/>
      <c r="SQ165" s="7"/>
      <c r="SR165" s="7"/>
      <c r="SS165" s="7"/>
      <c r="ST165" s="7"/>
      <c r="SU165" s="7"/>
      <c r="SV165" s="7"/>
      <c r="SW165" s="7"/>
      <c r="SX165" s="7"/>
      <c r="SY165" s="7"/>
      <c r="SZ165" s="7"/>
      <c r="TA165" s="7"/>
      <c r="TB165" s="7"/>
      <c r="TC165" s="7"/>
      <c r="TD165" s="7"/>
      <c r="TE165" s="7"/>
      <c r="TF165" s="7"/>
      <c r="TG165" s="7"/>
      <c r="TH165" s="7"/>
      <c r="TI165" s="7"/>
      <c r="TJ165" s="7"/>
      <c r="TK165" s="7"/>
      <c r="TL165" s="7"/>
      <c r="TM165" s="7"/>
      <c r="TN165" s="7"/>
      <c r="TO165" s="7"/>
      <c r="TP165" s="7"/>
      <c r="TQ165" s="7"/>
      <c r="TR165" s="7"/>
      <c r="TS165" s="7"/>
      <c r="TT165" s="7"/>
      <c r="TU165" s="7"/>
      <c r="TV165" s="7"/>
      <c r="TW165" s="7"/>
      <c r="TX165" s="7"/>
      <c r="TY165" s="7"/>
      <c r="TZ165" s="7"/>
      <c r="UA165" s="7"/>
      <c r="UB165" s="7"/>
      <c r="UC165" s="7"/>
      <c r="UD165" s="7"/>
      <c r="UE165" s="7"/>
      <c r="UF165" s="7"/>
      <c r="UG165" s="7"/>
      <c r="UH165" s="7"/>
      <c r="UI165" s="7"/>
      <c r="UJ165" s="7"/>
      <c r="UK165" s="7"/>
      <c r="UL165" s="7"/>
      <c r="UM165" s="7"/>
      <c r="UN165" s="7"/>
      <c r="UO165" s="7"/>
      <c r="UP165" s="7"/>
      <c r="UQ165" s="7"/>
      <c r="UR165" s="7"/>
      <c r="US165" s="7"/>
      <c r="UT165" s="7"/>
      <c r="UU165" s="7"/>
      <c r="UV165" s="7"/>
      <c r="UW165" s="7"/>
      <c r="UX165" s="7"/>
      <c r="UY165" s="7"/>
      <c r="UZ165" s="7"/>
      <c r="VA165" s="7"/>
      <c r="VB165" s="7"/>
      <c r="VC165" s="7"/>
      <c r="VD165" s="7"/>
      <c r="VE165" s="7"/>
      <c r="VF165" s="7"/>
      <c r="VG165" s="7"/>
      <c r="VH165" s="7"/>
      <c r="VI165" s="7"/>
      <c r="VJ165" s="7"/>
      <c r="VK165" s="7"/>
      <c r="VL165" s="7"/>
      <c r="VM165" s="7"/>
      <c r="VN165" s="7"/>
      <c r="VO165" s="7"/>
      <c r="VP165" s="7"/>
      <c r="VQ165" s="7"/>
      <c r="VR165" s="7"/>
      <c r="VS165" s="7"/>
      <c r="VT165" s="7"/>
      <c r="VU165" s="7"/>
      <c r="VV165" s="7"/>
      <c r="VW165" s="7"/>
      <c r="VX165" s="7"/>
      <c r="VY165" s="7"/>
      <c r="VZ165" s="7"/>
      <c r="WA165" s="7"/>
      <c r="WB165" s="7"/>
      <c r="WC165" s="7"/>
      <c r="WD165" s="7"/>
      <c r="WE165" s="7"/>
      <c r="WF165" s="7"/>
      <c r="WG165" s="7"/>
      <c r="WH165" s="7"/>
      <c r="WI165" s="7"/>
      <c r="WJ165" s="7"/>
      <c r="WK165" s="7"/>
      <c r="WL165" s="7"/>
      <c r="WM165" s="7"/>
      <c r="WN165" s="7"/>
      <c r="WO165" s="7"/>
      <c r="WP165" s="7"/>
      <c r="WQ165" s="7"/>
      <c r="WR165" s="7"/>
      <c r="WS165" s="7"/>
      <c r="WT165" s="7"/>
      <c r="WU165" s="7"/>
      <c r="WV165" s="7"/>
      <c r="WW165" s="7"/>
      <c r="WX165" s="7"/>
      <c r="WY165" s="7"/>
      <c r="WZ165" s="7"/>
      <c r="XA165" s="7"/>
      <c r="XB165" s="7"/>
      <c r="XC165" s="7"/>
      <c r="XD165" s="7"/>
      <c r="XE165" s="7"/>
      <c r="XF165" s="7"/>
      <c r="XG165" s="7"/>
      <c r="XH165" s="7"/>
      <c r="XI165" s="7"/>
      <c r="XJ165" s="7"/>
      <c r="XK165" s="7"/>
      <c r="XL165" s="7"/>
      <c r="XM165" s="7"/>
      <c r="XN165" s="7"/>
      <c r="XO165" s="7"/>
      <c r="XP165" s="7"/>
      <c r="XQ165" s="7"/>
      <c r="XR165" s="7"/>
      <c r="XS165" s="7"/>
      <c r="XT165" s="7"/>
      <c r="XU165" s="7"/>
      <c r="XV165" s="7"/>
      <c r="XW165" s="7"/>
      <c r="XX165" s="7"/>
      <c r="XY165" s="7"/>
      <c r="XZ165" s="7"/>
      <c r="YA165" s="7"/>
      <c r="YB165" s="7"/>
      <c r="YC165" s="7"/>
      <c r="YD165" s="7"/>
      <c r="YE165" s="7"/>
      <c r="YF165" s="7"/>
      <c r="YG165" s="7"/>
      <c r="YH165" s="7"/>
      <c r="YI165" s="7"/>
      <c r="YJ165" s="7"/>
      <c r="YK165" s="7"/>
      <c r="YL165" s="7"/>
      <c r="YM165" s="7"/>
      <c r="YN165" s="7"/>
      <c r="YO165" s="7"/>
      <c r="YP165" s="7"/>
      <c r="YQ165" s="7"/>
      <c r="YR165" s="7"/>
      <c r="YS165" s="7"/>
      <c r="YT165" s="7"/>
      <c r="YU165" s="7"/>
      <c r="YV165" s="7"/>
      <c r="YW165" s="7"/>
      <c r="YX165" s="7"/>
      <c r="YY165" s="7"/>
      <c r="YZ165" s="7"/>
      <c r="ZA165" s="7"/>
      <c r="ZB165" s="7"/>
      <c r="ZC165" s="7"/>
      <c r="ZD165" s="7"/>
      <c r="ZE165" s="7"/>
      <c r="ZF165" s="7"/>
      <c r="ZG165" s="7"/>
      <c r="ZH165" s="7"/>
      <c r="ZI165" s="7"/>
      <c r="ZJ165" s="7"/>
      <c r="ZK165" s="7"/>
      <c r="ZL165" s="7"/>
      <c r="ZM165" s="7"/>
      <c r="ZN165" s="7"/>
      <c r="ZO165" s="7"/>
      <c r="ZP165" s="7"/>
      <c r="ZQ165" s="7"/>
      <c r="ZR165" s="7"/>
      <c r="ZS165" s="7"/>
      <c r="ZT165" s="7"/>
      <c r="ZU165" s="7"/>
      <c r="ZV165" s="7"/>
      <c r="ZW165" s="7"/>
      <c r="ZX165" s="7"/>
      <c r="ZY165" s="7"/>
      <c r="ZZ165" s="7"/>
      <c r="AAA165" s="7"/>
      <c r="AAB165" s="7"/>
      <c r="AAC165" s="7"/>
      <c r="AAD165" s="7"/>
      <c r="AAE165" s="7"/>
      <c r="AAF165" s="7"/>
      <c r="AAG165" s="7"/>
      <c r="AAH165" s="7"/>
      <c r="AAI165" s="7"/>
      <c r="AAJ165" s="7"/>
      <c r="AAK165" s="7"/>
      <c r="AAL165" s="7"/>
      <c r="AAM165" s="7"/>
      <c r="AAN165" s="7"/>
      <c r="AAO165" s="7"/>
      <c r="AAP165" s="7"/>
      <c r="AAQ165" s="7"/>
      <c r="AAR165" s="7"/>
      <c r="AAS165" s="7"/>
      <c r="AAT165" s="7"/>
      <c r="AAU165" s="7"/>
      <c r="AAV165" s="7"/>
      <c r="AAW165" s="7"/>
      <c r="AAX165" s="7"/>
      <c r="AAY165" s="7"/>
      <c r="AAZ165" s="7"/>
      <c r="ABA165" s="7"/>
      <c r="ABB165" s="7"/>
      <c r="ABC165" s="7"/>
      <c r="ABD165" s="7"/>
      <c r="ABE165" s="7"/>
      <c r="ABF165" s="7"/>
      <c r="ABG165" s="7"/>
      <c r="ABH165" s="7"/>
      <c r="ABI165" s="7"/>
      <c r="ABJ165" s="7"/>
      <c r="ABK165" s="7"/>
      <c r="ABL165" s="7"/>
      <c r="ABM165" s="7"/>
      <c r="ABN165" s="7"/>
      <c r="ABO165" s="7"/>
      <c r="ABP165" s="7"/>
      <c r="ABQ165" s="7"/>
      <c r="ABR165" s="7"/>
      <c r="ABS165" s="7"/>
      <c r="ABT165" s="7"/>
      <c r="ABU165" s="7"/>
      <c r="ABV165" s="7"/>
      <c r="ABW165" s="7"/>
      <c r="ABX165" s="7"/>
      <c r="ABY165" s="7"/>
      <c r="ABZ165" s="7"/>
      <c r="ACA165" s="7"/>
      <c r="ACB165" s="7"/>
      <c r="ACC165" s="7"/>
      <c r="ACD165" s="7"/>
      <c r="ACE165" s="7"/>
      <c r="ACF165" s="7"/>
      <c r="ACG165" s="7"/>
      <c r="ACH165" s="7"/>
      <c r="ACI165" s="7"/>
      <c r="ACJ165" s="7"/>
      <c r="ACK165" s="7"/>
      <c r="ACL165" s="7"/>
      <c r="ACM165" s="7"/>
      <c r="ACN165" s="7"/>
      <c r="ACO165" s="7"/>
      <c r="ACP165" s="7"/>
      <c r="ACQ165" s="7"/>
      <c r="ACR165" s="7"/>
      <c r="ACS165" s="7"/>
      <c r="ACT165" s="7"/>
      <c r="ACU165" s="7"/>
      <c r="ACV165" s="7"/>
      <c r="ACW165" s="7"/>
      <c r="ACX165" s="7"/>
      <c r="ACY165" s="7"/>
      <c r="ACZ165" s="7"/>
      <c r="ADA165" s="7"/>
      <c r="ADB165" s="7"/>
      <c r="ADC165" s="7"/>
      <c r="ADD165" s="7"/>
      <c r="ADE165" s="7"/>
      <c r="ADF165" s="7"/>
      <c r="ADG165" s="7"/>
      <c r="ADH165" s="7"/>
      <c r="ADI165" s="7"/>
      <c r="ADJ165" s="7"/>
      <c r="ADK165" s="7"/>
      <c r="ADL165" s="7"/>
      <c r="ADM165" s="7"/>
      <c r="ADN165" s="7"/>
      <c r="ADO165" s="7"/>
      <c r="ADP165" s="7"/>
      <c r="ADQ165" s="7"/>
      <c r="ADR165" s="7"/>
      <c r="ADS165" s="7"/>
      <c r="ADT165" s="7"/>
      <c r="ADU165" s="7"/>
      <c r="ADV165" s="7"/>
      <c r="ADW165" s="7"/>
      <c r="ADX165" s="7"/>
      <c r="ADY165" s="7"/>
      <c r="ADZ165" s="7"/>
      <c r="AEA165" s="7"/>
      <c r="AEB165" s="7"/>
      <c r="AEC165" s="7"/>
      <c r="AED165" s="7"/>
      <c r="AEE165" s="7"/>
      <c r="AEF165" s="7"/>
      <c r="AEG165" s="7"/>
      <c r="AEH165" s="7"/>
      <c r="AEI165" s="7"/>
      <c r="AEJ165" s="7"/>
      <c r="AEK165" s="7"/>
      <c r="AEL165" s="7"/>
      <c r="AEM165" s="7"/>
      <c r="AEN165" s="7"/>
      <c r="AEO165" s="7"/>
      <c r="AEP165" s="7"/>
      <c r="AEQ165" s="7"/>
      <c r="AER165" s="7"/>
      <c r="AES165" s="7"/>
      <c r="AET165" s="7"/>
      <c r="AEU165" s="7"/>
      <c r="AEV165" s="7"/>
      <c r="AEW165" s="7"/>
      <c r="AEX165" s="7"/>
      <c r="AEY165" s="7"/>
      <c r="AEZ165" s="7"/>
      <c r="AFA165" s="7"/>
      <c r="AFB165" s="7"/>
      <c r="AFC165" s="7"/>
      <c r="AFD165" s="7"/>
      <c r="AFE165" s="7"/>
      <c r="AFF165" s="7"/>
      <c r="AFG165" s="7"/>
      <c r="AFH165" s="7"/>
      <c r="AFI165" s="7"/>
      <c r="AFJ165" s="7"/>
      <c r="AFK165" s="7"/>
      <c r="AFL165" s="7"/>
      <c r="AFM165" s="7"/>
      <c r="AFN165" s="7"/>
      <c r="AFO165" s="7"/>
      <c r="AFP165" s="7"/>
      <c r="AFQ165" s="7"/>
      <c r="AFR165" s="7"/>
      <c r="AFS165" s="7"/>
      <c r="AFT165" s="7"/>
      <c r="AFU165" s="7"/>
      <c r="AFV165" s="7"/>
      <c r="AFW165" s="7"/>
      <c r="AFX165" s="7"/>
      <c r="AFY165" s="7"/>
      <c r="AFZ165" s="7"/>
      <c r="AGA165" s="7"/>
      <c r="AGB165" s="7"/>
      <c r="AGC165" s="7"/>
      <c r="AGD165" s="7"/>
      <c r="AGE165" s="7"/>
      <c r="AGF165" s="7"/>
      <c r="AGG165" s="7"/>
      <c r="AGH165" s="7"/>
      <c r="AGI165" s="7"/>
      <c r="AGJ165" s="7"/>
      <c r="AGK165" s="7"/>
      <c r="AGL165" s="7"/>
      <c r="AGM165" s="7"/>
      <c r="AGN165" s="7"/>
      <c r="AGO165" s="7"/>
      <c r="AGP165" s="7"/>
      <c r="AGQ165" s="7"/>
      <c r="AGR165" s="7"/>
      <c r="AGS165" s="7"/>
      <c r="AGT165" s="7"/>
      <c r="AGU165" s="7"/>
      <c r="AGV165" s="7"/>
      <c r="AGW165" s="7"/>
      <c r="AGX165" s="7"/>
      <c r="AGY165" s="7"/>
      <c r="AGZ165" s="7"/>
      <c r="AHA165" s="7"/>
      <c r="AHB165" s="7"/>
      <c r="AHC165" s="7"/>
      <c r="AHD165" s="7"/>
      <c r="AHE165" s="7"/>
      <c r="AHF165" s="7"/>
      <c r="AHG165" s="7"/>
      <c r="AHH165" s="7"/>
      <c r="AHI165" s="7"/>
      <c r="AHJ165" s="7"/>
      <c r="AHK165" s="7"/>
      <c r="AHL165" s="7"/>
      <c r="AHM165" s="7"/>
      <c r="AHN165" s="7"/>
      <c r="AHO165" s="7"/>
      <c r="AHP165" s="7"/>
      <c r="AHQ165" s="7"/>
      <c r="AHR165" s="7"/>
      <c r="AHS165" s="7"/>
      <c r="AHT165" s="7"/>
      <c r="AHU165" s="7"/>
      <c r="AHV165" s="7"/>
      <c r="AHW165" s="7"/>
      <c r="AHX165" s="7"/>
      <c r="AHY165" s="7"/>
      <c r="AHZ165" s="7"/>
      <c r="AIA165" s="7"/>
      <c r="AIB165" s="7"/>
      <c r="AIC165" s="7"/>
      <c r="AID165" s="7"/>
      <c r="AIE165" s="7"/>
      <c r="AIF165" s="7"/>
      <c r="AIG165" s="7"/>
      <c r="AIH165" s="7"/>
      <c r="AII165" s="7"/>
      <c r="AIJ165" s="7"/>
      <c r="AIK165" s="7"/>
      <c r="AIL165" s="7"/>
      <c r="AIM165" s="7"/>
      <c r="AIN165" s="7"/>
      <c r="AIO165" s="7"/>
      <c r="AIP165" s="7"/>
      <c r="AIQ165" s="7"/>
      <c r="AIR165" s="7"/>
      <c r="AIS165" s="7"/>
      <c r="AIT165" s="7"/>
      <c r="AIU165" s="7"/>
      <c r="AIV165" s="7"/>
      <c r="AIW165" s="7"/>
      <c r="AIX165" s="7"/>
      <c r="AIY165" s="7"/>
      <c r="AIZ165" s="7"/>
      <c r="AJA165" s="7"/>
      <c r="AJB165" s="7"/>
      <c r="AJC165" s="7"/>
      <c r="AJD165" s="7"/>
      <c r="AJE165" s="7"/>
      <c r="AJF165" s="7"/>
      <c r="AJG165" s="7"/>
      <c r="AJH165" s="7"/>
      <c r="AJI165" s="7"/>
      <c r="AJJ165" s="7"/>
      <c r="AJK165" s="7"/>
      <c r="AJL165" s="7"/>
      <c r="AJM165" s="7"/>
      <c r="AJN165" s="7"/>
      <c r="AJO165" s="7"/>
      <c r="AJP165" s="7"/>
      <c r="AJQ165" s="7"/>
      <c r="AJR165" s="7"/>
      <c r="AJS165" s="7"/>
      <c r="AJT165" s="7"/>
      <c r="AJU165" s="7"/>
      <c r="AJV165" s="7"/>
      <c r="AJW165" s="7"/>
      <c r="AJX165" s="7"/>
      <c r="AJY165" s="7"/>
      <c r="AJZ165" s="7"/>
      <c r="AKA165" s="7"/>
      <c r="AKB165" s="7"/>
      <c r="AKC165" s="7"/>
      <c r="AKD165" s="7"/>
      <c r="AKE165" s="7"/>
      <c r="AKF165" s="7"/>
      <c r="AKG165" s="7"/>
      <c r="AKH165" s="7"/>
      <c r="AKI165" s="7"/>
      <c r="AKJ165" s="7"/>
      <c r="AKK165" s="7"/>
      <c r="AKL165" s="7"/>
      <c r="AKM165" s="7"/>
      <c r="AKN165" s="7"/>
      <c r="AKO165" s="7"/>
      <c r="AKP165" s="7"/>
      <c r="AKQ165" s="7"/>
      <c r="AKR165" s="7"/>
      <c r="AKS165" s="7"/>
      <c r="AKT165" s="7"/>
      <c r="AKU165" s="7"/>
      <c r="AKV165" s="7"/>
      <c r="AKW165" s="7"/>
      <c r="AKX165" s="7"/>
      <c r="AKY165" s="7"/>
      <c r="AKZ165" s="7"/>
      <c r="ALA165" s="7"/>
      <c r="ALB165" s="7"/>
      <c r="ALC165" s="7"/>
      <c r="ALD165" s="7"/>
      <c r="ALE165" s="7"/>
      <c r="ALF165" s="7"/>
      <c r="ALG165" s="7"/>
      <c r="ALH165" s="7"/>
      <c r="ALI165" s="7"/>
      <c r="ALJ165" s="7"/>
      <c r="ALK165" s="7"/>
      <c r="ALL165" s="7"/>
      <c r="ALM165" s="7"/>
      <c r="ALN165" s="7"/>
      <c r="ALO165" s="7"/>
      <c r="ALP165" s="7"/>
      <c r="ALQ165" s="7"/>
      <c r="ALR165" s="7"/>
      <c r="ALS165" s="7"/>
      <c r="ALT165" s="7"/>
      <c r="ALU165" s="7"/>
      <c r="ALV165" s="7"/>
      <c r="ALW165" s="7"/>
      <c r="ALX165" s="7"/>
      <c r="ALY165" s="7"/>
      <c r="ALZ165" s="7"/>
      <c r="AMA165" s="7"/>
      <c r="AMB165" s="7"/>
      <c r="AMC165" s="7"/>
      <c r="AMD165" s="7"/>
      <c r="AME165" s="7"/>
      <c r="AMF165" s="7"/>
      <c r="AMG165" s="7"/>
      <c r="AMH165" s="7"/>
      <c r="AMI165" s="7"/>
      <c r="AMJ165" s="7"/>
    </row>
    <row r="166" customFormat="false" ht="15.75" hidden="false" customHeight="true" outlineLevel="0" collapsed="false">
      <c r="A166" s="7"/>
      <c r="B166" s="7"/>
      <c r="C166" s="273" t="s">
        <v>190</v>
      </c>
      <c r="D166" s="274" t="n">
        <f aca="false">D161+D162+D163+D164+D165</f>
        <v>781</v>
      </c>
      <c r="E166" s="275" t="n">
        <f aca="false">E161+E162+E163+E164+E165</f>
        <v>54</v>
      </c>
      <c r="F166" s="149"/>
      <c r="G166" s="272"/>
      <c r="H166" s="24"/>
      <c r="I166" s="268"/>
      <c r="J166" s="222"/>
      <c r="K166" s="22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  <c r="PZ166" s="7"/>
      <c r="QA166" s="7"/>
      <c r="QB166" s="7"/>
      <c r="QC166" s="7"/>
      <c r="QD166" s="7"/>
      <c r="QE166" s="7"/>
      <c r="QF166" s="7"/>
      <c r="QG166" s="7"/>
      <c r="QH166" s="7"/>
      <c r="QI166" s="7"/>
      <c r="QJ166" s="7"/>
      <c r="QK166" s="7"/>
      <c r="QL166" s="7"/>
      <c r="QM166" s="7"/>
      <c r="QN166" s="7"/>
      <c r="QO166" s="7"/>
      <c r="QP166" s="7"/>
      <c r="QQ166" s="7"/>
      <c r="QR166" s="7"/>
      <c r="QS166" s="7"/>
      <c r="QT166" s="7"/>
      <c r="QU166" s="7"/>
      <c r="QV166" s="7"/>
      <c r="QW166" s="7"/>
      <c r="QX166" s="7"/>
      <c r="QY166" s="7"/>
      <c r="QZ166" s="7"/>
      <c r="RA166" s="7"/>
      <c r="RB166" s="7"/>
      <c r="RC166" s="7"/>
      <c r="RD166" s="7"/>
      <c r="RE166" s="7"/>
      <c r="RF166" s="7"/>
      <c r="RG166" s="7"/>
      <c r="RH166" s="7"/>
      <c r="RI166" s="7"/>
      <c r="RJ166" s="7"/>
      <c r="RK166" s="7"/>
      <c r="RL166" s="7"/>
      <c r="RM166" s="7"/>
      <c r="RN166" s="7"/>
      <c r="RO166" s="7"/>
      <c r="RP166" s="7"/>
      <c r="RQ166" s="7"/>
      <c r="RR166" s="7"/>
      <c r="RS166" s="7"/>
      <c r="RT166" s="7"/>
      <c r="RU166" s="7"/>
      <c r="RV166" s="7"/>
      <c r="RW166" s="7"/>
      <c r="RX166" s="7"/>
      <c r="RY166" s="7"/>
      <c r="RZ166" s="7"/>
      <c r="SA166" s="7"/>
      <c r="SB166" s="7"/>
      <c r="SC166" s="7"/>
      <c r="SD166" s="7"/>
      <c r="SE166" s="7"/>
      <c r="SF166" s="7"/>
      <c r="SG166" s="7"/>
      <c r="SH166" s="7"/>
      <c r="SI166" s="7"/>
      <c r="SJ166" s="7"/>
      <c r="SK166" s="7"/>
      <c r="SL166" s="7"/>
      <c r="SM166" s="7"/>
      <c r="SN166" s="7"/>
      <c r="SO166" s="7"/>
      <c r="SP166" s="7"/>
      <c r="SQ166" s="7"/>
      <c r="SR166" s="7"/>
      <c r="SS166" s="7"/>
      <c r="ST166" s="7"/>
      <c r="SU166" s="7"/>
      <c r="SV166" s="7"/>
      <c r="SW166" s="7"/>
      <c r="SX166" s="7"/>
      <c r="SY166" s="7"/>
      <c r="SZ166" s="7"/>
      <c r="TA166" s="7"/>
      <c r="TB166" s="7"/>
      <c r="TC166" s="7"/>
      <c r="TD166" s="7"/>
      <c r="TE166" s="7"/>
      <c r="TF166" s="7"/>
      <c r="TG166" s="7"/>
      <c r="TH166" s="7"/>
      <c r="TI166" s="7"/>
      <c r="TJ166" s="7"/>
      <c r="TK166" s="7"/>
      <c r="TL166" s="7"/>
      <c r="TM166" s="7"/>
      <c r="TN166" s="7"/>
      <c r="TO166" s="7"/>
      <c r="TP166" s="7"/>
      <c r="TQ166" s="7"/>
      <c r="TR166" s="7"/>
      <c r="TS166" s="7"/>
      <c r="TT166" s="7"/>
      <c r="TU166" s="7"/>
      <c r="TV166" s="7"/>
      <c r="TW166" s="7"/>
      <c r="TX166" s="7"/>
      <c r="TY166" s="7"/>
      <c r="TZ166" s="7"/>
      <c r="UA166" s="7"/>
      <c r="UB166" s="7"/>
      <c r="UC166" s="7"/>
      <c r="UD166" s="7"/>
      <c r="UE166" s="7"/>
      <c r="UF166" s="7"/>
      <c r="UG166" s="7"/>
      <c r="UH166" s="7"/>
      <c r="UI166" s="7"/>
      <c r="UJ166" s="7"/>
      <c r="UK166" s="7"/>
      <c r="UL166" s="7"/>
      <c r="UM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UZ166" s="7"/>
      <c r="VA166" s="7"/>
      <c r="VB166" s="7"/>
      <c r="VC166" s="7"/>
      <c r="VD166" s="7"/>
      <c r="VE166" s="7"/>
      <c r="VF166" s="7"/>
      <c r="VG166" s="7"/>
      <c r="VH166" s="7"/>
      <c r="VI166" s="7"/>
      <c r="VJ166" s="7"/>
      <c r="VK166" s="7"/>
      <c r="VL166" s="7"/>
      <c r="VM166" s="7"/>
      <c r="VN166" s="7"/>
      <c r="VO166" s="7"/>
      <c r="VP166" s="7"/>
      <c r="VQ166" s="7"/>
      <c r="VR166" s="7"/>
      <c r="VS166" s="7"/>
      <c r="VT166" s="7"/>
      <c r="VU166" s="7"/>
      <c r="VV166" s="7"/>
      <c r="VW166" s="7"/>
      <c r="VX166" s="7"/>
      <c r="VY166" s="7"/>
      <c r="VZ166" s="7"/>
      <c r="WA166" s="7"/>
      <c r="WB166" s="7"/>
      <c r="WC166" s="7"/>
      <c r="WD166" s="7"/>
      <c r="WE166" s="7"/>
      <c r="WF166" s="7"/>
      <c r="WG166" s="7"/>
      <c r="WH166" s="7"/>
      <c r="WI166" s="7"/>
      <c r="WJ166" s="7"/>
      <c r="WK166" s="7"/>
      <c r="WL166" s="7"/>
      <c r="WM166" s="7"/>
      <c r="WN166" s="7"/>
      <c r="WO166" s="7"/>
      <c r="WP166" s="7"/>
      <c r="WQ166" s="7"/>
      <c r="WR166" s="7"/>
      <c r="WS166" s="7"/>
      <c r="WT166" s="7"/>
      <c r="WU166" s="7"/>
      <c r="WV166" s="7"/>
      <c r="WW166" s="7"/>
      <c r="WX166" s="7"/>
      <c r="WY166" s="7"/>
      <c r="WZ166" s="7"/>
      <c r="XA166" s="7"/>
      <c r="XB166" s="7"/>
      <c r="XC166" s="7"/>
      <c r="XD166" s="7"/>
      <c r="XE166" s="7"/>
      <c r="XF166" s="7"/>
      <c r="XG166" s="7"/>
      <c r="XH166" s="7"/>
      <c r="XI166" s="7"/>
      <c r="XJ166" s="7"/>
      <c r="XK166" s="7"/>
      <c r="XL166" s="7"/>
      <c r="XM166" s="7"/>
      <c r="XN166" s="7"/>
      <c r="XO166" s="7"/>
      <c r="XP166" s="7"/>
      <c r="XQ166" s="7"/>
      <c r="XR166" s="7"/>
      <c r="XS166" s="7"/>
      <c r="XT166" s="7"/>
      <c r="XU166" s="7"/>
      <c r="XV166" s="7"/>
      <c r="XW166" s="7"/>
      <c r="XX166" s="7"/>
      <c r="XY166" s="7"/>
      <c r="XZ166" s="7"/>
      <c r="YA166" s="7"/>
      <c r="YB166" s="7"/>
      <c r="YC166" s="7"/>
      <c r="YD166" s="7"/>
      <c r="YE166" s="7"/>
      <c r="YF166" s="7"/>
      <c r="YG166" s="7"/>
      <c r="YH166" s="7"/>
      <c r="YI166" s="7"/>
      <c r="YJ166" s="7"/>
      <c r="YK166" s="7"/>
      <c r="YL166" s="7"/>
      <c r="YM166" s="7"/>
      <c r="YN166" s="7"/>
      <c r="YO166" s="7"/>
      <c r="YP166" s="7"/>
      <c r="YQ166" s="7"/>
      <c r="YR166" s="7"/>
      <c r="YS166" s="7"/>
      <c r="YT166" s="7"/>
      <c r="YU166" s="7"/>
      <c r="YV166" s="7"/>
      <c r="YW166" s="7"/>
      <c r="YX166" s="7"/>
      <c r="YY166" s="7"/>
      <c r="YZ166" s="7"/>
      <c r="ZA166" s="7"/>
      <c r="ZB166" s="7"/>
      <c r="ZC166" s="7"/>
      <c r="ZD166" s="7"/>
      <c r="ZE166" s="7"/>
      <c r="ZF166" s="7"/>
      <c r="ZG166" s="7"/>
      <c r="ZH166" s="7"/>
      <c r="ZI166" s="7"/>
      <c r="ZJ166" s="7"/>
      <c r="ZK166" s="7"/>
      <c r="ZL166" s="7"/>
      <c r="ZM166" s="7"/>
      <c r="ZN166" s="7"/>
      <c r="ZO166" s="7"/>
      <c r="ZP166" s="7"/>
      <c r="ZQ166" s="7"/>
      <c r="ZR166" s="7"/>
      <c r="ZS166" s="7"/>
      <c r="ZT166" s="7"/>
      <c r="ZU166" s="7"/>
      <c r="ZV166" s="7"/>
      <c r="ZW166" s="7"/>
      <c r="ZX166" s="7"/>
      <c r="ZY166" s="7"/>
      <c r="ZZ166" s="7"/>
      <c r="AAA166" s="7"/>
      <c r="AAB166" s="7"/>
      <c r="AAC166" s="7"/>
      <c r="AAD166" s="7"/>
      <c r="AAE166" s="7"/>
      <c r="AAF166" s="7"/>
      <c r="AAG166" s="7"/>
      <c r="AAH166" s="7"/>
      <c r="AAI166" s="7"/>
      <c r="AAJ166" s="7"/>
      <c r="AAK166" s="7"/>
      <c r="AAL166" s="7"/>
      <c r="AAM166" s="7"/>
      <c r="AAN166" s="7"/>
      <c r="AAO166" s="7"/>
      <c r="AAP166" s="7"/>
      <c r="AAQ166" s="7"/>
      <c r="AAR166" s="7"/>
      <c r="AAS166" s="7"/>
      <c r="AAT166" s="7"/>
      <c r="AAU166" s="7"/>
      <c r="AAV166" s="7"/>
      <c r="AAW166" s="7"/>
      <c r="AAX166" s="7"/>
      <c r="AAY166" s="7"/>
      <c r="AAZ166" s="7"/>
      <c r="ABA166" s="7"/>
      <c r="ABB166" s="7"/>
      <c r="ABC166" s="7"/>
      <c r="ABD166" s="7"/>
      <c r="ABE166" s="7"/>
      <c r="ABF166" s="7"/>
      <c r="ABG166" s="7"/>
      <c r="ABH166" s="7"/>
      <c r="ABI166" s="7"/>
      <c r="ABJ166" s="7"/>
      <c r="ABK166" s="7"/>
      <c r="ABL166" s="7"/>
      <c r="ABM166" s="7"/>
      <c r="ABN166" s="7"/>
      <c r="ABO166" s="7"/>
      <c r="ABP166" s="7"/>
      <c r="ABQ166" s="7"/>
      <c r="ABR166" s="7"/>
      <c r="ABS166" s="7"/>
      <c r="ABT166" s="7"/>
      <c r="ABU166" s="7"/>
      <c r="ABV166" s="7"/>
      <c r="ABW166" s="7"/>
      <c r="ABX166" s="7"/>
      <c r="ABY166" s="7"/>
      <c r="ABZ166" s="7"/>
      <c r="ACA166" s="7"/>
      <c r="ACB166" s="7"/>
      <c r="ACC166" s="7"/>
      <c r="ACD166" s="7"/>
      <c r="ACE166" s="7"/>
      <c r="ACF166" s="7"/>
      <c r="ACG166" s="7"/>
      <c r="ACH166" s="7"/>
      <c r="ACI166" s="7"/>
      <c r="ACJ166" s="7"/>
      <c r="ACK166" s="7"/>
      <c r="ACL166" s="7"/>
      <c r="ACM166" s="7"/>
      <c r="ACN166" s="7"/>
      <c r="ACO166" s="7"/>
      <c r="ACP166" s="7"/>
      <c r="ACQ166" s="7"/>
      <c r="ACR166" s="7"/>
      <c r="ACS166" s="7"/>
      <c r="ACT166" s="7"/>
      <c r="ACU166" s="7"/>
      <c r="ACV166" s="7"/>
      <c r="ACW166" s="7"/>
      <c r="ACX166" s="7"/>
      <c r="ACY166" s="7"/>
      <c r="ACZ166" s="7"/>
      <c r="ADA166" s="7"/>
      <c r="ADB166" s="7"/>
      <c r="ADC166" s="7"/>
      <c r="ADD166" s="7"/>
      <c r="ADE166" s="7"/>
      <c r="ADF166" s="7"/>
      <c r="ADG166" s="7"/>
      <c r="ADH166" s="7"/>
      <c r="ADI166" s="7"/>
      <c r="ADJ166" s="7"/>
      <c r="ADK166" s="7"/>
      <c r="ADL166" s="7"/>
      <c r="ADM166" s="7"/>
      <c r="ADN166" s="7"/>
      <c r="ADO166" s="7"/>
      <c r="ADP166" s="7"/>
      <c r="ADQ166" s="7"/>
      <c r="ADR166" s="7"/>
      <c r="ADS166" s="7"/>
      <c r="ADT166" s="7"/>
      <c r="ADU166" s="7"/>
      <c r="ADV166" s="7"/>
      <c r="ADW166" s="7"/>
      <c r="ADX166" s="7"/>
      <c r="ADY166" s="7"/>
      <c r="ADZ166" s="7"/>
      <c r="AEA166" s="7"/>
      <c r="AEB166" s="7"/>
      <c r="AEC166" s="7"/>
      <c r="AED166" s="7"/>
      <c r="AEE166" s="7"/>
      <c r="AEF166" s="7"/>
      <c r="AEG166" s="7"/>
      <c r="AEH166" s="7"/>
      <c r="AEI166" s="7"/>
      <c r="AEJ166" s="7"/>
      <c r="AEK166" s="7"/>
      <c r="AEL166" s="7"/>
      <c r="AEM166" s="7"/>
      <c r="AEN166" s="7"/>
      <c r="AEO166" s="7"/>
      <c r="AEP166" s="7"/>
      <c r="AEQ166" s="7"/>
      <c r="AER166" s="7"/>
      <c r="AES166" s="7"/>
      <c r="AET166" s="7"/>
      <c r="AEU166" s="7"/>
      <c r="AEV166" s="7"/>
      <c r="AEW166" s="7"/>
      <c r="AEX166" s="7"/>
      <c r="AEY166" s="7"/>
      <c r="AEZ166" s="7"/>
      <c r="AFA166" s="7"/>
      <c r="AFB166" s="7"/>
      <c r="AFC166" s="7"/>
      <c r="AFD166" s="7"/>
      <c r="AFE166" s="7"/>
      <c r="AFF166" s="7"/>
      <c r="AFG166" s="7"/>
      <c r="AFH166" s="7"/>
      <c r="AFI166" s="7"/>
      <c r="AFJ166" s="7"/>
      <c r="AFK166" s="7"/>
      <c r="AFL166" s="7"/>
      <c r="AFM166" s="7"/>
      <c r="AFN166" s="7"/>
      <c r="AFO166" s="7"/>
      <c r="AFP166" s="7"/>
      <c r="AFQ166" s="7"/>
      <c r="AFR166" s="7"/>
      <c r="AFS166" s="7"/>
      <c r="AFT166" s="7"/>
      <c r="AFU166" s="7"/>
      <c r="AFV166" s="7"/>
      <c r="AFW166" s="7"/>
      <c r="AFX166" s="7"/>
      <c r="AFY166" s="7"/>
      <c r="AFZ166" s="7"/>
      <c r="AGA166" s="7"/>
      <c r="AGB166" s="7"/>
      <c r="AGC166" s="7"/>
      <c r="AGD166" s="7"/>
      <c r="AGE166" s="7"/>
      <c r="AGF166" s="7"/>
      <c r="AGG166" s="7"/>
      <c r="AGH166" s="7"/>
      <c r="AGI166" s="7"/>
      <c r="AGJ166" s="7"/>
      <c r="AGK166" s="7"/>
      <c r="AGL166" s="7"/>
      <c r="AGM166" s="7"/>
      <c r="AGN166" s="7"/>
      <c r="AGO166" s="7"/>
      <c r="AGP166" s="7"/>
      <c r="AGQ166" s="7"/>
      <c r="AGR166" s="7"/>
      <c r="AGS166" s="7"/>
      <c r="AGT166" s="7"/>
      <c r="AGU166" s="7"/>
      <c r="AGV166" s="7"/>
      <c r="AGW166" s="7"/>
      <c r="AGX166" s="7"/>
      <c r="AGY166" s="7"/>
      <c r="AGZ166" s="7"/>
      <c r="AHA166" s="7"/>
      <c r="AHB166" s="7"/>
      <c r="AHC166" s="7"/>
      <c r="AHD166" s="7"/>
      <c r="AHE166" s="7"/>
      <c r="AHF166" s="7"/>
      <c r="AHG166" s="7"/>
      <c r="AHH166" s="7"/>
      <c r="AHI166" s="7"/>
      <c r="AHJ166" s="7"/>
      <c r="AHK166" s="7"/>
      <c r="AHL166" s="7"/>
      <c r="AHM166" s="7"/>
      <c r="AHN166" s="7"/>
      <c r="AHO166" s="7"/>
      <c r="AHP166" s="7"/>
      <c r="AHQ166" s="7"/>
      <c r="AHR166" s="7"/>
      <c r="AHS166" s="7"/>
      <c r="AHT166" s="7"/>
      <c r="AHU166" s="7"/>
      <c r="AHV166" s="7"/>
      <c r="AHW166" s="7"/>
      <c r="AHX166" s="7"/>
      <c r="AHY166" s="7"/>
      <c r="AHZ166" s="7"/>
      <c r="AIA166" s="7"/>
      <c r="AIB166" s="7"/>
      <c r="AIC166" s="7"/>
      <c r="AID166" s="7"/>
      <c r="AIE166" s="7"/>
      <c r="AIF166" s="7"/>
      <c r="AIG166" s="7"/>
      <c r="AIH166" s="7"/>
      <c r="AII166" s="7"/>
      <c r="AIJ166" s="7"/>
      <c r="AIK166" s="7"/>
      <c r="AIL166" s="7"/>
      <c r="AIM166" s="7"/>
      <c r="AIN166" s="7"/>
      <c r="AIO166" s="7"/>
      <c r="AIP166" s="7"/>
      <c r="AIQ166" s="7"/>
      <c r="AIR166" s="7"/>
      <c r="AIS166" s="7"/>
      <c r="AIT166" s="7"/>
      <c r="AIU166" s="7"/>
      <c r="AIV166" s="7"/>
      <c r="AIW166" s="7"/>
      <c r="AIX166" s="7"/>
      <c r="AIY166" s="7"/>
      <c r="AIZ166" s="7"/>
      <c r="AJA166" s="7"/>
      <c r="AJB166" s="7"/>
      <c r="AJC166" s="7"/>
      <c r="AJD166" s="7"/>
      <c r="AJE166" s="7"/>
      <c r="AJF166" s="7"/>
      <c r="AJG166" s="7"/>
      <c r="AJH166" s="7"/>
      <c r="AJI166" s="7"/>
      <c r="AJJ166" s="7"/>
      <c r="AJK166" s="7"/>
      <c r="AJL166" s="7"/>
      <c r="AJM166" s="7"/>
      <c r="AJN166" s="7"/>
      <c r="AJO166" s="7"/>
      <c r="AJP166" s="7"/>
      <c r="AJQ166" s="7"/>
      <c r="AJR166" s="7"/>
      <c r="AJS166" s="7"/>
      <c r="AJT166" s="7"/>
      <c r="AJU166" s="7"/>
      <c r="AJV166" s="7"/>
      <c r="AJW166" s="7"/>
      <c r="AJX166" s="7"/>
      <c r="AJY166" s="7"/>
      <c r="AJZ166" s="7"/>
      <c r="AKA166" s="7"/>
      <c r="AKB166" s="7"/>
      <c r="AKC166" s="7"/>
      <c r="AKD166" s="7"/>
      <c r="AKE166" s="7"/>
      <c r="AKF166" s="7"/>
      <c r="AKG166" s="7"/>
      <c r="AKH166" s="7"/>
      <c r="AKI166" s="7"/>
      <c r="AKJ166" s="7"/>
      <c r="AKK166" s="7"/>
      <c r="AKL166" s="7"/>
      <c r="AKM166" s="7"/>
      <c r="AKN166" s="7"/>
      <c r="AKO166" s="7"/>
      <c r="AKP166" s="7"/>
      <c r="AKQ166" s="7"/>
      <c r="AKR166" s="7"/>
      <c r="AKS166" s="7"/>
      <c r="AKT166" s="7"/>
      <c r="AKU166" s="7"/>
      <c r="AKV166" s="7"/>
      <c r="AKW166" s="7"/>
      <c r="AKX166" s="7"/>
      <c r="AKY166" s="7"/>
      <c r="AKZ166" s="7"/>
      <c r="ALA166" s="7"/>
      <c r="ALB166" s="7"/>
      <c r="ALC166" s="7"/>
      <c r="ALD166" s="7"/>
      <c r="ALE166" s="7"/>
      <c r="ALF166" s="7"/>
      <c r="ALG166" s="7"/>
      <c r="ALH166" s="7"/>
      <c r="ALI166" s="7"/>
      <c r="ALJ166" s="7"/>
      <c r="ALK166" s="7"/>
      <c r="ALL166" s="7"/>
      <c r="ALM166" s="7"/>
      <c r="ALN166" s="7"/>
      <c r="ALO166" s="7"/>
      <c r="ALP166" s="7"/>
      <c r="ALQ166" s="7"/>
      <c r="ALR166" s="7"/>
      <c r="ALS166" s="7"/>
      <c r="ALT166" s="7"/>
      <c r="ALU166" s="7"/>
      <c r="ALV166" s="7"/>
      <c r="ALW166" s="7"/>
      <c r="ALX166" s="7"/>
      <c r="ALY166" s="7"/>
      <c r="ALZ166" s="7"/>
      <c r="AMA166" s="7"/>
      <c r="AMB166" s="7"/>
      <c r="AMC166" s="7"/>
      <c r="AMD166" s="7"/>
      <c r="AME166" s="7"/>
      <c r="AMF166" s="7"/>
      <c r="AMG166" s="7"/>
      <c r="AMH166" s="7"/>
      <c r="AMI166" s="7"/>
      <c r="AMJ166" s="7"/>
    </row>
    <row r="167" customFormat="false" ht="15.75" hidden="false" customHeight="true" outlineLevel="0" collapsed="false">
      <c r="A167" s="7"/>
      <c r="B167" s="7"/>
      <c r="C167" s="78"/>
      <c r="D167" s="8"/>
      <c r="E167" s="8"/>
      <c r="F167" s="149"/>
      <c r="G167" s="10"/>
      <c r="H167" s="24"/>
      <c r="I167" s="230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OV167" s="7"/>
      <c r="OW167" s="7"/>
      <c r="OX167" s="7"/>
      <c r="OY167" s="7"/>
      <c r="OZ167" s="7"/>
      <c r="PA167" s="7"/>
      <c r="PB167" s="7"/>
      <c r="PC167" s="7"/>
      <c r="PD167" s="7"/>
      <c r="PE167" s="7"/>
      <c r="PF167" s="7"/>
      <c r="PG167" s="7"/>
      <c r="PH167" s="7"/>
      <c r="PI167" s="7"/>
      <c r="PJ167" s="7"/>
      <c r="PK167" s="7"/>
      <c r="PL167" s="7"/>
      <c r="PM167" s="7"/>
      <c r="PN167" s="7"/>
      <c r="PO167" s="7"/>
      <c r="PP167" s="7"/>
      <c r="PQ167" s="7"/>
      <c r="PR167" s="7"/>
      <c r="PS167" s="7"/>
      <c r="PT167" s="7"/>
      <c r="PU167" s="7"/>
      <c r="PV167" s="7"/>
      <c r="PW167" s="7"/>
      <c r="PX167" s="7"/>
      <c r="PY167" s="7"/>
      <c r="PZ167" s="7"/>
      <c r="QA167" s="7"/>
      <c r="QB167" s="7"/>
      <c r="QC167" s="7"/>
      <c r="QD167" s="7"/>
      <c r="QE167" s="7"/>
      <c r="QF167" s="7"/>
      <c r="QG167" s="7"/>
      <c r="QH167" s="7"/>
      <c r="QI167" s="7"/>
      <c r="QJ167" s="7"/>
      <c r="QK167" s="7"/>
      <c r="QL167" s="7"/>
      <c r="QM167" s="7"/>
      <c r="QN167" s="7"/>
      <c r="QO167" s="7"/>
      <c r="QP167" s="7"/>
      <c r="QQ167" s="7"/>
      <c r="QR167" s="7"/>
      <c r="QS167" s="7"/>
      <c r="QT167" s="7"/>
      <c r="QU167" s="7"/>
      <c r="QV167" s="7"/>
      <c r="QW167" s="7"/>
      <c r="QX167" s="7"/>
      <c r="QY167" s="7"/>
      <c r="QZ167" s="7"/>
      <c r="RA167" s="7"/>
      <c r="RB167" s="7"/>
      <c r="RC167" s="7"/>
      <c r="RD167" s="7"/>
      <c r="RE167" s="7"/>
      <c r="RF167" s="7"/>
      <c r="RG167" s="7"/>
      <c r="RH167" s="7"/>
      <c r="RI167" s="7"/>
      <c r="RJ167" s="7"/>
      <c r="RK167" s="7"/>
      <c r="RL167" s="7"/>
      <c r="RM167" s="7"/>
      <c r="RN167" s="7"/>
      <c r="RO167" s="7"/>
      <c r="RP167" s="7"/>
      <c r="RQ167" s="7"/>
      <c r="RR167" s="7"/>
      <c r="RS167" s="7"/>
      <c r="RT167" s="7"/>
      <c r="RU167" s="7"/>
      <c r="RV167" s="7"/>
      <c r="RW167" s="7"/>
      <c r="RX167" s="7"/>
      <c r="RY167" s="7"/>
      <c r="RZ167" s="7"/>
      <c r="SA167" s="7"/>
      <c r="SB167" s="7"/>
      <c r="SC167" s="7"/>
      <c r="SD167" s="7"/>
      <c r="SE167" s="7"/>
      <c r="SF167" s="7"/>
      <c r="SG167" s="7"/>
      <c r="SH167" s="7"/>
      <c r="SI167" s="7"/>
      <c r="SJ167" s="7"/>
      <c r="SK167" s="7"/>
      <c r="SL167" s="7"/>
      <c r="SM167" s="7"/>
      <c r="SN167" s="7"/>
      <c r="SO167" s="7"/>
      <c r="SP167" s="7"/>
      <c r="SQ167" s="7"/>
      <c r="SR167" s="7"/>
      <c r="SS167" s="7"/>
      <c r="ST167" s="7"/>
      <c r="SU167" s="7"/>
      <c r="SV167" s="7"/>
      <c r="SW167" s="7"/>
      <c r="SX167" s="7"/>
      <c r="SY167" s="7"/>
      <c r="SZ167" s="7"/>
      <c r="TA167" s="7"/>
      <c r="TB167" s="7"/>
      <c r="TC167" s="7"/>
      <c r="TD167" s="7"/>
      <c r="TE167" s="7"/>
      <c r="TF167" s="7"/>
      <c r="TG167" s="7"/>
      <c r="TH167" s="7"/>
      <c r="TI167" s="7"/>
      <c r="TJ167" s="7"/>
      <c r="TK167" s="7"/>
      <c r="TL167" s="7"/>
      <c r="TM167" s="7"/>
      <c r="TN167" s="7"/>
      <c r="TO167" s="7"/>
      <c r="TP167" s="7"/>
      <c r="TQ167" s="7"/>
      <c r="TR167" s="7"/>
      <c r="TS167" s="7"/>
      <c r="TT167" s="7"/>
      <c r="TU167" s="7"/>
      <c r="TV167" s="7"/>
      <c r="TW167" s="7"/>
      <c r="TX167" s="7"/>
      <c r="TY167" s="7"/>
      <c r="TZ167" s="7"/>
      <c r="UA167" s="7"/>
      <c r="UB167" s="7"/>
      <c r="UC167" s="7"/>
      <c r="UD167" s="7"/>
      <c r="UE167" s="7"/>
      <c r="UF167" s="7"/>
      <c r="UG167" s="7"/>
      <c r="UH167" s="7"/>
      <c r="UI167" s="7"/>
      <c r="UJ167" s="7"/>
      <c r="UK167" s="7"/>
      <c r="UL167" s="7"/>
      <c r="UM167" s="7"/>
      <c r="UN167" s="7"/>
      <c r="UO167" s="7"/>
      <c r="UP167" s="7"/>
      <c r="UQ167" s="7"/>
      <c r="UR167" s="7"/>
      <c r="US167" s="7"/>
      <c r="UT167" s="7"/>
      <c r="UU167" s="7"/>
      <c r="UV167" s="7"/>
      <c r="UW167" s="7"/>
      <c r="UX167" s="7"/>
      <c r="UY167" s="7"/>
      <c r="UZ167" s="7"/>
      <c r="VA167" s="7"/>
      <c r="VB167" s="7"/>
      <c r="VC167" s="7"/>
      <c r="VD167" s="7"/>
      <c r="VE167" s="7"/>
      <c r="VF167" s="7"/>
      <c r="VG167" s="7"/>
      <c r="VH167" s="7"/>
      <c r="VI167" s="7"/>
      <c r="VJ167" s="7"/>
      <c r="VK167" s="7"/>
      <c r="VL167" s="7"/>
      <c r="VM167" s="7"/>
      <c r="VN167" s="7"/>
      <c r="VO167" s="7"/>
      <c r="VP167" s="7"/>
      <c r="VQ167" s="7"/>
      <c r="VR167" s="7"/>
      <c r="VS167" s="7"/>
      <c r="VT167" s="7"/>
      <c r="VU167" s="7"/>
      <c r="VV167" s="7"/>
      <c r="VW167" s="7"/>
      <c r="VX167" s="7"/>
      <c r="VY167" s="7"/>
      <c r="VZ167" s="7"/>
      <c r="WA167" s="7"/>
      <c r="WB167" s="7"/>
      <c r="WC167" s="7"/>
      <c r="WD167" s="7"/>
      <c r="WE167" s="7"/>
      <c r="WF167" s="7"/>
      <c r="WG167" s="7"/>
      <c r="WH167" s="7"/>
      <c r="WI167" s="7"/>
      <c r="WJ167" s="7"/>
      <c r="WK167" s="7"/>
      <c r="WL167" s="7"/>
      <c r="WM167" s="7"/>
      <c r="WN167" s="7"/>
      <c r="WO167" s="7"/>
      <c r="WP167" s="7"/>
      <c r="WQ167" s="7"/>
      <c r="WR167" s="7"/>
      <c r="WS167" s="7"/>
      <c r="WT167" s="7"/>
      <c r="WU167" s="7"/>
      <c r="WV167" s="7"/>
      <c r="WW167" s="7"/>
      <c r="WX167" s="7"/>
      <c r="WY167" s="7"/>
      <c r="WZ167" s="7"/>
      <c r="XA167" s="7"/>
      <c r="XB167" s="7"/>
      <c r="XC167" s="7"/>
      <c r="XD167" s="7"/>
      <c r="XE167" s="7"/>
      <c r="XF167" s="7"/>
      <c r="XG167" s="7"/>
      <c r="XH167" s="7"/>
      <c r="XI167" s="7"/>
      <c r="XJ167" s="7"/>
      <c r="XK167" s="7"/>
      <c r="XL167" s="7"/>
      <c r="XM167" s="7"/>
      <c r="XN167" s="7"/>
      <c r="XO167" s="7"/>
      <c r="XP167" s="7"/>
      <c r="XQ167" s="7"/>
      <c r="XR167" s="7"/>
      <c r="XS167" s="7"/>
      <c r="XT167" s="7"/>
      <c r="XU167" s="7"/>
      <c r="XV167" s="7"/>
      <c r="XW167" s="7"/>
      <c r="XX167" s="7"/>
      <c r="XY167" s="7"/>
      <c r="XZ167" s="7"/>
      <c r="YA167" s="7"/>
      <c r="YB167" s="7"/>
      <c r="YC167" s="7"/>
      <c r="YD167" s="7"/>
      <c r="YE167" s="7"/>
      <c r="YF167" s="7"/>
      <c r="YG167" s="7"/>
      <c r="YH167" s="7"/>
      <c r="YI167" s="7"/>
      <c r="YJ167" s="7"/>
      <c r="YK167" s="7"/>
      <c r="YL167" s="7"/>
      <c r="YM167" s="7"/>
      <c r="YN167" s="7"/>
      <c r="YO167" s="7"/>
      <c r="YP167" s="7"/>
      <c r="YQ167" s="7"/>
      <c r="YR167" s="7"/>
      <c r="YS167" s="7"/>
      <c r="YT167" s="7"/>
      <c r="YU167" s="7"/>
      <c r="YV167" s="7"/>
      <c r="YW167" s="7"/>
      <c r="YX167" s="7"/>
      <c r="YY167" s="7"/>
      <c r="YZ167" s="7"/>
      <c r="ZA167" s="7"/>
      <c r="ZB167" s="7"/>
      <c r="ZC167" s="7"/>
      <c r="ZD167" s="7"/>
      <c r="ZE167" s="7"/>
      <c r="ZF167" s="7"/>
      <c r="ZG167" s="7"/>
      <c r="ZH167" s="7"/>
      <c r="ZI167" s="7"/>
      <c r="ZJ167" s="7"/>
      <c r="ZK167" s="7"/>
      <c r="ZL167" s="7"/>
      <c r="ZM167" s="7"/>
      <c r="ZN167" s="7"/>
      <c r="ZO167" s="7"/>
      <c r="ZP167" s="7"/>
      <c r="ZQ167" s="7"/>
      <c r="ZR167" s="7"/>
      <c r="ZS167" s="7"/>
      <c r="ZT167" s="7"/>
      <c r="ZU167" s="7"/>
      <c r="ZV167" s="7"/>
      <c r="ZW167" s="7"/>
      <c r="ZX167" s="7"/>
      <c r="ZY167" s="7"/>
      <c r="ZZ167" s="7"/>
      <c r="AAA167" s="7"/>
      <c r="AAB167" s="7"/>
      <c r="AAC167" s="7"/>
      <c r="AAD167" s="7"/>
      <c r="AAE167" s="7"/>
      <c r="AAF167" s="7"/>
      <c r="AAG167" s="7"/>
      <c r="AAH167" s="7"/>
      <c r="AAI167" s="7"/>
      <c r="AAJ167" s="7"/>
      <c r="AAK167" s="7"/>
      <c r="AAL167" s="7"/>
      <c r="AAM167" s="7"/>
      <c r="AAN167" s="7"/>
      <c r="AAO167" s="7"/>
      <c r="AAP167" s="7"/>
      <c r="AAQ167" s="7"/>
      <c r="AAR167" s="7"/>
      <c r="AAS167" s="7"/>
      <c r="AAT167" s="7"/>
      <c r="AAU167" s="7"/>
      <c r="AAV167" s="7"/>
      <c r="AAW167" s="7"/>
      <c r="AAX167" s="7"/>
      <c r="AAY167" s="7"/>
      <c r="AAZ167" s="7"/>
      <c r="ABA167" s="7"/>
      <c r="ABB167" s="7"/>
      <c r="ABC167" s="7"/>
      <c r="ABD167" s="7"/>
      <c r="ABE167" s="7"/>
      <c r="ABF167" s="7"/>
      <c r="ABG167" s="7"/>
      <c r="ABH167" s="7"/>
      <c r="ABI167" s="7"/>
      <c r="ABJ167" s="7"/>
      <c r="ABK167" s="7"/>
      <c r="ABL167" s="7"/>
      <c r="ABM167" s="7"/>
      <c r="ABN167" s="7"/>
      <c r="ABO167" s="7"/>
      <c r="ABP167" s="7"/>
      <c r="ABQ167" s="7"/>
      <c r="ABR167" s="7"/>
      <c r="ABS167" s="7"/>
      <c r="ABT167" s="7"/>
      <c r="ABU167" s="7"/>
      <c r="ABV167" s="7"/>
      <c r="ABW167" s="7"/>
      <c r="ABX167" s="7"/>
      <c r="ABY167" s="7"/>
      <c r="ABZ167" s="7"/>
      <c r="ACA167" s="7"/>
      <c r="ACB167" s="7"/>
      <c r="ACC167" s="7"/>
      <c r="ACD167" s="7"/>
      <c r="ACE167" s="7"/>
      <c r="ACF167" s="7"/>
      <c r="ACG167" s="7"/>
      <c r="ACH167" s="7"/>
      <c r="ACI167" s="7"/>
      <c r="ACJ167" s="7"/>
      <c r="ACK167" s="7"/>
      <c r="ACL167" s="7"/>
      <c r="ACM167" s="7"/>
      <c r="ACN167" s="7"/>
      <c r="ACO167" s="7"/>
      <c r="ACP167" s="7"/>
      <c r="ACQ167" s="7"/>
      <c r="ACR167" s="7"/>
      <c r="ACS167" s="7"/>
      <c r="ACT167" s="7"/>
      <c r="ACU167" s="7"/>
      <c r="ACV167" s="7"/>
      <c r="ACW167" s="7"/>
      <c r="ACX167" s="7"/>
      <c r="ACY167" s="7"/>
      <c r="ACZ167" s="7"/>
      <c r="ADA167" s="7"/>
      <c r="ADB167" s="7"/>
      <c r="ADC167" s="7"/>
      <c r="ADD167" s="7"/>
      <c r="ADE167" s="7"/>
      <c r="ADF167" s="7"/>
      <c r="ADG167" s="7"/>
      <c r="ADH167" s="7"/>
      <c r="ADI167" s="7"/>
      <c r="ADJ167" s="7"/>
      <c r="ADK167" s="7"/>
      <c r="ADL167" s="7"/>
      <c r="ADM167" s="7"/>
      <c r="ADN167" s="7"/>
      <c r="ADO167" s="7"/>
      <c r="ADP167" s="7"/>
      <c r="ADQ167" s="7"/>
      <c r="ADR167" s="7"/>
      <c r="ADS167" s="7"/>
      <c r="ADT167" s="7"/>
      <c r="ADU167" s="7"/>
      <c r="ADV167" s="7"/>
      <c r="ADW167" s="7"/>
      <c r="ADX167" s="7"/>
      <c r="ADY167" s="7"/>
      <c r="ADZ167" s="7"/>
      <c r="AEA167" s="7"/>
      <c r="AEB167" s="7"/>
      <c r="AEC167" s="7"/>
      <c r="AED167" s="7"/>
      <c r="AEE167" s="7"/>
      <c r="AEF167" s="7"/>
      <c r="AEG167" s="7"/>
      <c r="AEH167" s="7"/>
      <c r="AEI167" s="7"/>
      <c r="AEJ167" s="7"/>
      <c r="AEK167" s="7"/>
      <c r="AEL167" s="7"/>
      <c r="AEM167" s="7"/>
      <c r="AEN167" s="7"/>
      <c r="AEO167" s="7"/>
      <c r="AEP167" s="7"/>
      <c r="AEQ167" s="7"/>
      <c r="AER167" s="7"/>
      <c r="AES167" s="7"/>
      <c r="AET167" s="7"/>
      <c r="AEU167" s="7"/>
      <c r="AEV167" s="7"/>
      <c r="AEW167" s="7"/>
      <c r="AEX167" s="7"/>
      <c r="AEY167" s="7"/>
      <c r="AEZ167" s="7"/>
      <c r="AFA167" s="7"/>
      <c r="AFB167" s="7"/>
      <c r="AFC167" s="7"/>
      <c r="AFD167" s="7"/>
      <c r="AFE167" s="7"/>
      <c r="AFF167" s="7"/>
      <c r="AFG167" s="7"/>
      <c r="AFH167" s="7"/>
      <c r="AFI167" s="7"/>
      <c r="AFJ167" s="7"/>
      <c r="AFK167" s="7"/>
      <c r="AFL167" s="7"/>
      <c r="AFM167" s="7"/>
      <c r="AFN167" s="7"/>
      <c r="AFO167" s="7"/>
      <c r="AFP167" s="7"/>
      <c r="AFQ167" s="7"/>
      <c r="AFR167" s="7"/>
      <c r="AFS167" s="7"/>
      <c r="AFT167" s="7"/>
      <c r="AFU167" s="7"/>
      <c r="AFV167" s="7"/>
      <c r="AFW167" s="7"/>
      <c r="AFX167" s="7"/>
      <c r="AFY167" s="7"/>
      <c r="AFZ167" s="7"/>
      <c r="AGA167" s="7"/>
      <c r="AGB167" s="7"/>
      <c r="AGC167" s="7"/>
      <c r="AGD167" s="7"/>
      <c r="AGE167" s="7"/>
      <c r="AGF167" s="7"/>
      <c r="AGG167" s="7"/>
      <c r="AGH167" s="7"/>
      <c r="AGI167" s="7"/>
      <c r="AGJ167" s="7"/>
      <c r="AGK167" s="7"/>
      <c r="AGL167" s="7"/>
      <c r="AGM167" s="7"/>
      <c r="AGN167" s="7"/>
      <c r="AGO167" s="7"/>
      <c r="AGP167" s="7"/>
      <c r="AGQ167" s="7"/>
      <c r="AGR167" s="7"/>
      <c r="AGS167" s="7"/>
      <c r="AGT167" s="7"/>
      <c r="AGU167" s="7"/>
      <c r="AGV167" s="7"/>
      <c r="AGW167" s="7"/>
      <c r="AGX167" s="7"/>
      <c r="AGY167" s="7"/>
      <c r="AGZ167" s="7"/>
      <c r="AHA167" s="7"/>
      <c r="AHB167" s="7"/>
      <c r="AHC167" s="7"/>
      <c r="AHD167" s="7"/>
      <c r="AHE167" s="7"/>
      <c r="AHF167" s="7"/>
      <c r="AHG167" s="7"/>
      <c r="AHH167" s="7"/>
      <c r="AHI167" s="7"/>
      <c r="AHJ167" s="7"/>
      <c r="AHK167" s="7"/>
      <c r="AHL167" s="7"/>
      <c r="AHM167" s="7"/>
      <c r="AHN167" s="7"/>
      <c r="AHO167" s="7"/>
      <c r="AHP167" s="7"/>
      <c r="AHQ167" s="7"/>
      <c r="AHR167" s="7"/>
      <c r="AHS167" s="7"/>
      <c r="AHT167" s="7"/>
      <c r="AHU167" s="7"/>
      <c r="AHV167" s="7"/>
      <c r="AHW167" s="7"/>
      <c r="AHX167" s="7"/>
      <c r="AHY167" s="7"/>
      <c r="AHZ167" s="7"/>
      <c r="AIA167" s="7"/>
      <c r="AIB167" s="7"/>
      <c r="AIC167" s="7"/>
      <c r="AID167" s="7"/>
      <c r="AIE167" s="7"/>
      <c r="AIF167" s="7"/>
      <c r="AIG167" s="7"/>
      <c r="AIH167" s="7"/>
      <c r="AII167" s="7"/>
      <c r="AIJ167" s="7"/>
      <c r="AIK167" s="7"/>
      <c r="AIL167" s="7"/>
      <c r="AIM167" s="7"/>
      <c r="AIN167" s="7"/>
      <c r="AIO167" s="7"/>
      <c r="AIP167" s="7"/>
      <c r="AIQ167" s="7"/>
      <c r="AIR167" s="7"/>
      <c r="AIS167" s="7"/>
      <c r="AIT167" s="7"/>
      <c r="AIU167" s="7"/>
      <c r="AIV167" s="7"/>
      <c r="AIW167" s="7"/>
      <c r="AIX167" s="7"/>
      <c r="AIY167" s="7"/>
      <c r="AIZ167" s="7"/>
      <c r="AJA167" s="7"/>
      <c r="AJB167" s="7"/>
      <c r="AJC167" s="7"/>
      <c r="AJD167" s="7"/>
      <c r="AJE167" s="7"/>
      <c r="AJF167" s="7"/>
      <c r="AJG167" s="7"/>
      <c r="AJH167" s="7"/>
      <c r="AJI167" s="7"/>
      <c r="AJJ167" s="7"/>
      <c r="AJK167" s="7"/>
      <c r="AJL167" s="7"/>
      <c r="AJM167" s="7"/>
      <c r="AJN167" s="7"/>
      <c r="AJO167" s="7"/>
      <c r="AJP167" s="7"/>
      <c r="AJQ167" s="7"/>
      <c r="AJR167" s="7"/>
      <c r="AJS167" s="7"/>
      <c r="AJT167" s="7"/>
      <c r="AJU167" s="7"/>
      <c r="AJV167" s="7"/>
      <c r="AJW167" s="7"/>
      <c r="AJX167" s="7"/>
      <c r="AJY167" s="7"/>
      <c r="AJZ167" s="7"/>
      <c r="AKA167" s="7"/>
      <c r="AKB167" s="7"/>
      <c r="AKC167" s="7"/>
      <c r="AKD167" s="7"/>
      <c r="AKE167" s="7"/>
      <c r="AKF167" s="7"/>
      <c r="AKG167" s="7"/>
      <c r="AKH167" s="7"/>
      <c r="AKI167" s="7"/>
      <c r="AKJ167" s="7"/>
      <c r="AKK167" s="7"/>
      <c r="AKL167" s="7"/>
      <c r="AKM167" s="7"/>
      <c r="AKN167" s="7"/>
      <c r="AKO167" s="7"/>
      <c r="AKP167" s="7"/>
      <c r="AKQ167" s="7"/>
      <c r="AKR167" s="7"/>
      <c r="AKS167" s="7"/>
      <c r="AKT167" s="7"/>
      <c r="AKU167" s="7"/>
      <c r="AKV167" s="7"/>
      <c r="AKW167" s="7"/>
      <c r="AKX167" s="7"/>
      <c r="AKY167" s="7"/>
      <c r="AKZ167" s="7"/>
      <c r="ALA167" s="7"/>
      <c r="ALB167" s="7"/>
      <c r="ALC167" s="7"/>
      <c r="ALD167" s="7"/>
      <c r="ALE167" s="7"/>
      <c r="ALF167" s="7"/>
      <c r="ALG167" s="7"/>
      <c r="ALH167" s="7"/>
      <c r="ALI167" s="7"/>
      <c r="ALJ167" s="7"/>
      <c r="ALK167" s="7"/>
      <c r="ALL167" s="7"/>
      <c r="ALM167" s="7"/>
      <c r="ALN167" s="7"/>
      <c r="ALO167" s="7"/>
      <c r="ALP167" s="7"/>
      <c r="ALQ167" s="7"/>
      <c r="ALR167" s="7"/>
      <c r="ALS167" s="7"/>
      <c r="ALT167" s="7"/>
      <c r="ALU167" s="7"/>
      <c r="ALV167" s="7"/>
      <c r="ALW167" s="7"/>
      <c r="ALX167" s="7"/>
      <c r="ALY167" s="7"/>
      <c r="ALZ167" s="7"/>
      <c r="AMA167" s="7"/>
      <c r="AMB167" s="7"/>
      <c r="AMC167" s="7"/>
      <c r="AMD167" s="7"/>
      <c r="AME167" s="7"/>
      <c r="AMF167" s="7"/>
      <c r="AMG167" s="7"/>
      <c r="AMH167" s="7"/>
      <c r="AMI167" s="7"/>
      <c r="AMJ167" s="7"/>
    </row>
    <row r="168" customFormat="false" ht="15.75" hidden="false" customHeight="true" outlineLevel="0" collapsed="false">
      <c r="A168" s="7"/>
      <c r="B168" s="7"/>
      <c r="C168" s="276" t="s">
        <v>191</v>
      </c>
      <c r="D168" s="277" t="s">
        <v>189</v>
      </c>
      <c r="E168" s="278" t="s">
        <v>4</v>
      </c>
      <c r="F168" s="149"/>
      <c r="G168" s="10"/>
      <c r="H168" s="24"/>
      <c r="I168" s="276" t="s">
        <v>192</v>
      </c>
      <c r="J168" s="277" t="s">
        <v>189</v>
      </c>
      <c r="K168" s="278" t="s">
        <v>4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OV168" s="7"/>
      <c r="OW168" s="7"/>
      <c r="OX168" s="7"/>
      <c r="OY168" s="7"/>
      <c r="OZ168" s="7"/>
      <c r="PA168" s="7"/>
      <c r="PB168" s="7"/>
      <c r="PC168" s="7"/>
      <c r="PD168" s="7"/>
      <c r="PE168" s="7"/>
      <c r="PF168" s="7"/>
      <c r="PG168" s="7"/>
      <c r="PH168" s="7"/>
      <c r="PI168" s="7"/>
      <c r="PJ168" s="7"/>
      <c r="PK168" s="7"/>
      <c r="PL168" s="7"/>
      <c r="PM168" s="7"/>
      <c r="PN168" s="7"/>
      <c r="PO168" s="7"/>
      <c r="PP168" s="7"/>
      <c r="PQ168" s="7"/>
      <c r="PR168" s="7"/>
      <c r="PS168" s="7"/>
      <c r="PT168" s="7"/>
      <c r="PU168" s="7"/>
      <c r="PV168" s="7"/>
      <c r="PW168" s="7"/>
      <c r="PX168" s="7"/>
      <c r="PY168" s="7"/>
      <c r="PZ168" s="7"/>
      <c r="QA168" s="7"/>
      <c r="QB168" s="7"/>
      <c r="QC168" s="7"/>
      <c r="QD168" s="7"/>
      <c r="QE168" s="7"/>
      <c r="QF168" s="7"/>
      <c r="QG168" s="7"/>
      <c r="QH168" s="7"/>
      <c r="QI168" s="7"/>
      <c r="QJ168" s="7"/>
      <c r="QK168" s="7"/>
      <c r="QL168" s="7"/>
      <c r="QM168" s="7"/>
      <c r="QN168" s="7"/>
      <c r="QO168" s="7"/>
      <c r="QP168" s="7"/>
      <c r="QQ168" s="7"/>
      <c r="QR168" s="7"/>
      <c r="QS168" s="7"/>
      <c r="QT168" s="7"/>
      <c r="QU168" s="7"/>
      <c r="QV168" s="7"/>
      <c r="QW168" s="7"/>
      <c r="QX168" s="7"/>
      <c r="QY168" s="7"/>
      <c r="QZ168" s="7"/>
      <c r="RA168" s="7"/>
      <c r="RB168" s="7"/>
      <c r="RC168" s="7"/>
      <c r="RD168" s="7"/>
      <c r="RE168" s="7"/>
      <c r="RF168" s="7"/>
      <c r="RG168" s="7"/>
      <c r="RH168" s="7"/>
      <c r="RI168" s="7"/>
      <c r="RJ168" s="7"/>
      <c r="RK168" s="7"/>
      <c r="RL168" s="7"/>
      <c r="RM168" s="7"/>
      <c r="RN168" s="7"/>
      <c r="RO168" s="7"/>
      <c r="RP168" s="7"/>
      <c r="RQ168" s="7"/>
      <c r="RR168" s="7"/>
      <c r="RS168" s="7"/>
      <c r="RT168" s="7"/>
      <c r="RU168" s="7"/>
      <c r="RV168" s="7"/>
      <c r="RW168" s="7"/>
      <c r="RX168" s="7"/>
      <c r="RY168" s="7"/>
      <c r="RZ168" s="7"/>
      <c r="SA168" s="7"/>
      <c r="SB168" s="7"/>
      <c r="SC168" s="7"/>
      <c r="SD168" s="7"/>
      <c r="SE168" s="7"/>
      <c r="SF168" s="7"/>
      <c r="SG168" s="7"/>
      <c r="SH168" s="7"/>
      <c r="SI168" s="7"/>
      <c r="SJ168" s="7"/>
      <c r="SK168" s="7"/>
      <c r="SL168" s="7"/>
      <c r="SM168" s="7"/>
      <c r="SN168" s="7"/>
      <c r="SO168" s="7"/>
      <c r="SP168" s="7"/>
      <c r="SQ168" s="7"/>
      <c r="SR168" s="7"/>
      <c r="SS168" s="7"/>
      <c r="ST168" s="7"/>
      <c r="SU168" s="7"/>
      <c r="SV168" s="7"/>
      <c r="SW168" s="7"/>
      <c r="SX168" s="7"/>
      <c r="SY168" s="7"/>
      <c r="SZ168" s="7"/>
      <c r="TA168" s="7"/>
      <c r="TB168" s="7"/>
      <c r="TC168" s="7"/>
      <c r="TD168" s="7"/>
      <c r="TE168" s="7"/>
      <c r="TF168" s="7"/>
      <c r="TG168" s="7"/>
      <c r="TH168" s="7"/>
      <c r="TI168" s="7"/>
      <c r="TJ168" s="7"/>
      <c r="TK168" s="7"/>
      <c r="TL168" s="7"/>
      <c r="TM168" s="7"/>
      <c r="TN168" s="7"/>
      <c r="TO168" s="7"/>
      <c r="TP168" s="7"/>
      <c r="TQ168" s="7"/>
      <c r="TR168" s="7"/>
      <c r="TS168" s="7"/>
      <c r="TT168" s="7"/>
      <c r="TU168" s="7"/>
      <c r="TV168" s="7"/>
      <c r="TW168" s="7"/>
      <c r="TX168" s="7"/>
      <c r="TY168" s="7"/>
      <c r="TZ168" s="7"/>
      <c r="UA168" s="7"/>
      <c r="UB168" s="7"/>
      <c r="UC168" s="7"/>
      <c r="UD168" s="7"/>
      <c r="UE168" s="7"/>
      <c r="UF168" s="7"/>
      <c r="UG168" s="7"/>
      <c r="UH168" s="7"/>
      <c r="UI168" s="7"/>
      <c r="UJ168" s="7"/>
      <c r="UK168" s="7"/>
      <c r="UL168" s="7"/>
      <c r="UM168" s="7"/>
      <c r="UN168" s="7"/>
      <c r="UO168" s="7"/>
      <c r="UP168" s="7"/>
      <c r="UQ168" s="7"/>
      <c r="UR168" s="7"/>
      <c r="US168" s="7"/>
      <c r="UT168" s="7"/>
      <c r="UU168" s="7"/>
      <c r="UV168" s="7"/>
      <c r="UW168" s="7"/>
      <c r="UX168" s="7"/>
      <c r="UY168" s="7"/>
      <c r="UZ168" s="7"/>
      <c r="VA168" s="7"/>
      <c r="VB168" s="7"/>
      <c r="VC168" s="7"/>
      <c r="VD168" s="7"/>
      <c r="VE168" s="7"/>
      <c r="VF168" s="7"/>
      <c r="VG168" s="7"/>
      <c r="VH168" s="7"/>
      <c r="VI168" s="7"/>
      <c r="VJ168" s="7"/>
      <c r="VK168" s="7"/>
      <c r="VL168" s="7"/>
      <c r="VM168" s="7"/>
      <c r="VN168" s="7"/>
      <c r="VO168" s="7"/>
      <c r="VP168" s="7"/>
      <c r="VQ168" s="7"/>
      <c r="VR168" s="7"/>
      <c r="VS168" s="7"/>
      <c r="VT168" s="7"/>
      <c r="VU168" s="7"/>
      <c r="VV168" s="7"/>
      <c r="VW168" s="7"/>
      <c r="VX168" s="7"/>
      <c r="VY168" s="7"/>
      <c r="VZ168" s="7"/>
      <c r="WA168" s="7"/>
      <c r="WB168" s="7"/>
      <c r="WC168" s="7"/>
      <c r="WD168" s="7"/>
      <c r="WE168" s="7"/>
      <c r="WF168" s="7"/>
      <c r="WG168" s="7"/>
      <c r="WH168" s="7"/>
      <c r="WI168" s="7"/>
      <c r="WJ168" s="7"/>
      <c r="WK168" s="7"/>
      <c r="WL168" s="7"/>
      <c r="WM168" s="7"/>
      <c r="WN168" s="7"/>
      <c r="WO168" s="7"/>
      <c r="WP168" s="7"/>
      <c r="WQ168" s="7"/>
      <c r="WR168" s="7"/>
      <c r="WS168" s="7"/>
      <c r="WT168" s="7"/>
      <c r="WU168" s="7"/>
      <c r="WV168" s="7"/>
      <c r="WW168" s="7"/>
      <c r="WX168" s="7"/>
      <c r="WY168" s="7"/>
      <c r="WZ168" s="7"/>
      <c r="XA168" s="7"/>
      <c r="XB168" s="7"/>
      <c r="XC168" s="7"/>
      <c r="XD168" s="7"/>
      <c r="XE168" s="7"/>
      <c r="XF168" s="7"/>
      <c r="XG168" s="7"/>
      <c r="XH168" s="7"/>
      <c r="XI168" s="7"/>
      <c r="XJ168" s="7"/>
      <c r="XK168" s="7"/>
      <c r="XL168" s="7"/>
      <c r="XM168" s="7"/>
      <c r="XN168" s="7"/>
      <c r="XO168" s="7"/>
      <c r="XP168" s="7"/>
      <c r="XQ168" s="7"/>
      <c r="XR168" s="7"/>
      <c r="XS168" s="7"/>
      <c r="XT168" s="7"/>
      <c r="XU168" s="7"/>
      <c r="XV168" s="7"/>
      <c r="XW168" s="7"/>
      <c r="XX168" s="7"/>
      <c r="XY168" s="7"/>
      <c r="XZ168" s="7"/>
      <c r="YA168" s="7"/>
      <c r="YB168" s="7"/>
      <c r="YC168" s="7"/>
      <c r="YD168" s="7"/>
      <c r="YE168" s="7"/>
      <c r="YF168" s="7"/>
      <c r="YG168" s="7"/>
      <c r="YH168" s="7"/>
      <c r="YI168" s="7"/>
      <c r="YJ168" s="7"/>
      <c r="YK168" s="7"/>
      <c r="YL168" s="7"/>
      <c r="YM168" s="7"/>
      <c r="YN168" s="7"/>
      <c r="YO168" s="7"/>
      <c r="YP168" s="7"/>
      <c r="YQ168" s="7"/>
      <c r="YR168" s="7"/>
      <c r="YS168" s="7"/>
      <c r="YT168" s="7"/>
      <c r="YU168" s="7"/>
      <c r="YV168" s="7"/>
      <c r="YW168" s="7"/>
      <c r="YX168" s="7"/>
      <c r="YY168" s="7"/>
      <c r="YZ168" s="7"/>
      <c r="ZA168" s="7"/>
      <c r="ZB168" s="7"/>
      <c r="ZC168" s="7"/>
      <c r="ZD168" s="7"/>
      <c r="ZE168" s="7"/>
      <c r="ZF168" s="7"/>
      <c r="ZG168" s="7"/>
      <c r="ZH168" s="7"/>
      <c r="ZI168" s="7"/>
      <c r="ZJ168" s="7"/>
      <c r="ZK168" s="7"/>
      <c r="ZL168" s="7"/>
      <c r="ZM168" s="7"/>
      <c r="ZN168" s="7"/>
      <c r="ZO168" s="7"/>
      <c r="ZP168" s="7"/>
      <c r="ZQ168" s="7"/>
      <c r="ZR168" s="7"/>
      <c r="ZS168" s="7"/>
      <c r="ZT168" s="7"/>
      <c r="ZU168" s="7"/>
      <c r="ZV168" s="7"/>
      <c r="ZW168" s="7"/>
      <c r="ZX168" s="7"/>
      <c r="ZY168" s="7"/>
      <c r="ZZ168" s="7"/>
      <c r="AAA168" s="7"/>
      <c r="AAB168" s="7"/>
      <c r="AAC168" s="7"/>
      <c r="AAD168" s="7"/>
      <c r="AAE168" s="7"/>
      <c r="AAF168" s="7"/>
      <c r="AAG168" s="7"/>
      <c r="AAH168" s="7"/>
      <c r="AAI168" s="7"/>
      <c r="AAJ168" s="7"/>
      <c r="AAK168" s="7"/>
      <c r="AAL168" s="7"/>
      <c r="AAM168" s="7"/>
      <c r="AAN168" s="7"/>
      <c r="AAO168" s="7"/>
      <c r="AAP168" s="7"/>
      <c r="AAQ168" s="7"/>
      <c r="AAR168" s="7"/>
      <c r="AAS168" s="7"/>
      <c r="AAT168" s="7"/>
      <c r="AAU168" s="7"/>
      <c r="AAV168" s="7"/>
      <c r="AAW168" s="7"/>
      <c r="AAX168" s="7"/>
      <c r="AAY168" s="7"/>
      <c r="AAZ168" s="7"/>
      <c r="ABA168" s="7"/>
      <c r="ABB168" s="7"/>
      <c r="ABC168" s="7"/>
      <c r="ABD168" s="7"/>
      <c r="ABE168" s="7"/>
      <c r="ABF168" s="7"/>
      <c r="ABG168" s="7"/>
      <c r="ABH168" s="7"/>
      <c r="ABI168" s="7"/>
      <c r="ABJ168" s="7"/>
      <c r="ABK168" s="7"/>
      <c r="ABL168" s="7"/>
      <c r="ABM168" s="7"/>
      <c r="ABN168" s="7"/>
      <c r="ABO168" s="7"/>
      <c r="ABP168" s="7"/>
      <c r="ABQ168" s="7"/>
      <c r="ABR168" s="7"/>
      <c r="ABS168" s="7"/>
      <c r="ABT168" s="7"/>
      <c r="ABU168" s="7"/>
      <c r="ABV168" s="7"/>
      <c r="ABW168" s="7"/>
      <c r="ABX168" s="7"/>
      <c r="ABY168" s="7"/>
      <c r="ABZ168" s="7"/>
      <c r="ACA168" s="7"/>
      <c r="ACB168" s="7"/>
      <c r="ACC168" s="7"/>
      <c r="ACD168" s="7"/>
      <c r="ACE168" s="7"/>
      <c r="ACF168" s="7"/>
      <c r="ACG168" s="7"/>
      <c r="ACH168" s="7"/>
      <c r="ACI168" s="7"/>
      <c r="ACJ168" s="7"/>
      <c r="ACK168" s="7"/>
      <c r="ACL168" s="7"/>
      <c r="ACM168" s="7"/>
      <c r="ACN168" s="7"/>
      <c r="ACO168" s="7"/>
      <c r="ACP168" s="7"/>
      <c r="ACQ168" s="7"/>
      <c r="ACR168" s="7"/>
      <c r="ACS168" s="7"/>
      <c r="ACT168" s="7"/>
      <c r="ACU168" s="7"/>
      <c r="ACV168" s="7"/>
      <c r="ACW168" s="7"/>
      <c r="ACX168" s="7"/>
      <c r="ACY168" s="7"/>
      <c r="ACZ168" s="7"/>
      <c r="ADA168" s="7"/>
      <c r="ADB168" s="7"/>
      <c r="ADC168" s="7"/>
      <c r="ADD168" s="7"/>
      <c r="ADE168" s="7"/>
      <c r="ADF168" s="7"/>
      <c r="ADG168" s="7"/>
      <c r="ADH168" s="7"/>
      <c r="ADI168" s="7"/>
      <c r="ADJ168" s="7"/>
      <c r="ADK168" s="7"/>
      <c r="ADL168" s="7"/>
      <c r="ADM168" s="7"/>
      <c r="ADN168" s="7"/>
      <c r="ADO168" s="7"/>
      <c r="ADP168" s="7"/>
      <c r="ADQ168" s="7"/>
      <c r="ADR168" s="7"/>
      <c r="ADS168" s="7"/>
      <c r="ADT168" s="7"/>
      <c r="ADU168" s="7"/>
      <c r="ADV168" s="7"/>
      <c r="ADW168" s="7"/>
      <c r="ADX168" s="7"/>
      <c r="ADY168" s="7"/>
      <c r="ADZ168" s="7"/>
      <c r="AEA168" s="7"/>
      <c r="AEB168" s="7"/>
      <c r="AEC168" s="7"/>
      <c r="AED168" s="7"/>
      <c r="AEE168" s="7"/>
      <c r="AEF168" s="7"/>
      <c r="AEG168" s="7"/>
      <c r="AEH168" s="7"/>
      <c r="AEI168" s="7"/>
      <c r="AEJ168" s="7"/>
      <c r="AEK168" s="7"/>
      <c r="AEL168" s="7"/>
      <c r="AEM168" s="7"/>
      <c r="AEN168" s="7"/>
      <c r="AEO168" s="7"/>
      <c r="AEP168" s="7"/>
      <c r="AEQ168" s="7"/>
      <c r="AER168" s="7"/>
      <c r="AES168" s="7"/>
      <c r="AET168" s="7"/>
      <c r="AEU168" s="7"/>
      <c r="AEV168" s="7"/>
      <c r="AEW168" s="7"/>
      <c r="AEX168" s="7"/>
      <c r="AEY168" s="7"/>
      <c r="AEZ168" s="7"/>
      <c r="AFA168" s="7"/>
      <c r="AFB168" s="7"/>
      <c r="AFC168" s="7"/>
      <c r="AFD168" s="7"/>
      <c r="AFE168" s="7"/>
      <c r="AFF168" s="7"/>
      <c r="AFG168" s="7"/>
      <c r="AFH168" s="7"/>
      <c r="AFI168" s="7"/>
      <c r="AFJ168" s="7"/>
      <c r="AFK168" s="7"/>
      <c r="AFL168" s="7"/>
      <c r="AFM168" s="7"/>
      <c r="AFN168" s="7"/>
      <c r="AFO168" s="7"/>
      <c r="AFP168" s="7"/>
      <c r="AFQ168" s="7"/>
      <c r="AFR168" s="7"/>
      <c r="AFS168" s="7"/>
      <c r="AFT168" s="7"/>
      <c r="AFU168" s="7"/>
      <c r="AFV168" s="7"/>
      <c r="AFW168" s="7"/>
      <c r="AFX168" s="7"/>
      <c r="AFY168" s="7"/>
      <c r="AFZ168" s="7"/>
      <c r="AGA168" s="7"/>
      <c r="AGB168" s="7"/>
      <c r="AGC168" s="7"/>
      <c r="AGD168" s="7"/>
      <c r="AGE168" s="7"/>
      <c r="AGF168" s="7"/>
      <c r="AGG168" s="7"/>
      <c r="AGH168" s="7"/>
      <c r="AGI168" s="7"/>
      <c r="AGJ168" s="7"/>
      <c r="AGK168" s="7"/>
      <c r="AGL168" s="7"/>
      <c r="AGM168" s="7"/>
      <c r="AGN168" s="7"/>
      <c r="AGO168" s="7"/>
      <c r="AGP168" s="7"/>
      <c r="AGQ168" s="7"/>
      <c r="AGR168" s="7"/>
      <c r="AGS168" s="7"/>
      <c r="AGT168" s="7"/>
      <c r="AGU168" s="7"/>
      <c r="AGV168" s="7"/>
      <c r="AGW168" s="7"/>
      <c r="AGX168" s="7"/>
      <c r="AGY168" s="7"/>
      <c r="AGZ168" s="7"/>
      <c r="AHA168" s="7"/>
      <c r="AHB168" s="7"/>
      <c r="AHC168" s="7"/>
      <c r="AHD168" s="7"/>
      <c r="AHE168" s="7"/>
      <c r="AHF168" s="7"/>
      <c r="AHG168" s="7"/>
      <c r="AHH168" s="7"/>
      <c r="AHI168" s="7"/>
      <c r="AHJ168" s="7"/>
      <c r="AHK168" s="7"/>
      <c r="AHL168" s="7"/>
      <c r="AHM168" s="7"/>
      <c r="AHN168" s="7"/>
      <c r="AHO168" s="7"/>
      <c r="AHP168" s="7"/>
      <c r="AHQ168" s="7"/>
      <c r="AHR168" s="7"/>
      <c r="AHS168" s="7"/>
      <c r="AHT168" s="7"/>
      <c r="AHU168" s="7"/>
      <c r="AHV168" s="7"/>
      <c r="AHW168" s="7"/>
      <c r="AHX168" s="7"/>
      <c r="AHY168" s="7"/>
      <c r="AHZ168" s="7"/>
      <c r="AIA168" s="7"/>
      <c r="AIB168" s="7"/>
      <c r="AIC168" s="7"/>
      <c r="AID168" s="7"/>
      <c r="AIE168" s="7"/>
      <c r="AIF168" s="7"/>
      <c r="AIG168" s="7"/>
      <c r="AIH168" s="7"/>
      <c r="AII168" s="7"/>
      <c r="AIJ168" s="7"/>
      <c r="AIK168" s="7"/>
      <c r="AIL168" s="7"/>
      <c r="AIM168" s="7"/>
      <c r="AIN168" s="7"/>
      <c r="AIO168" s="7"/>
      <c r="AIP168" s="7"/>
      <c r="AIQ168" s="7"/>
      <c r="AIR168" s="7"/>
      <c r="AIS168" s="7"/>
      <c r="AIT168" s="7"/>
      <c r="AIU168" s="7"/>
      <c r="AIV168" s="7"/>
      <c r="AIW168" s="7"/>
      <c r="AIX168" s="7"/>
      <c r="AIY168" s="7"/>
      <c r="AIZ168" s="7"/>
      <c r="AJA168" s="7"/>
      <c r="AJB168" s="7"/>
      <c r="AJC168" s="7"/>
      <c r="AJD168" s="7"/>
      <c r="AJE168" s="7"/>
      <c r="AJF168" s="7"/>
      <c r="AJG168" s="7"/>
      <c r="AJH168" s="7"/>
      <c r="AJI168" s="7"/>
      <c r="AJJ168" s="7"/>
      <c r="AJK168" s="7"/>
      <c r="AJL168" s="7"/>
      <c r="AJM168" s="7"/>
      <c r="AJN168" s="7"/>
      <c r="AJO168" s="7"/>
      <c r="AJP168" s="7"/>
      <c r="AJQ168" s="7"/>
      <c r="AJR168" s="7"/>
      <c r="AJS168" s="7"/>
      <c r="AJT168" s="7"/>
      <c r="AJU168" s="7"/>
      <c r="AJV168" s="7"/>
      <c r="AJW168" s="7"/>
      <c r="AJX168" s="7"/>
      <c r="AJY168" s="7"/>
      <c r="AJZ168" s="7"/>
      <c r="AKA168" s="7"/>
      <c r="AKB168" s="7"/>
      <c r="AKC168" s="7"/>
      <c r="AKD168" s="7"/>
      <c r="AKE168" s="7"/>
      <c r="AKF168" s="7"/>
      <c r="AKG168" s="7"/>
      <c r="AKH168" s="7"/>
      <c r="AKI168" s="7"/>
      <c r="AKJ168" s="7"/>
      <c r="AKK168" s="7"/>
      <c r="AKL168" s="7"/>
      <c r="AKM168" s="7"/>
      <c r="AKN168" s="7"/>
      <c r="AKO168" s="7"/>
      <c r="AKP168" s="7"/>
      <c r="AKQ168" s="7"/>
      <c r="AKR168" s="7"/>
      <c r="AKS168" s="7"/>
      <c r="AKT168" s="7"/>
      <c r="AKU168" s="7"/>
      <c r="AKV168" s="7"/>
      <c r="AKW168" s="7"/>
      <c r="AKX168" s="7"/>
      <c r="AKY168" s="7"/>
      <c r="AKZ168" s="7"/>
      <c r="ALA168" s="7"/>
      <c r="ALB168" s="7"/>
      <c r="ALC168" s="7"/>
      <c r="ALD168" s="7"/>
      <c r="ALE168" s="7"/>
      <c r="ALF168" s="7"/>
      <c r="ALG168" s="7"/>
      <c r="ALH168" s="7"/>
      <c r="ALI168" s="7"/>
      <c r="ALJ168" s="7"/>
      <c r="ALK168" s="7"/>
      <c r="ALL168" s="7"/>
      <c r="ALM168" s="7"/>
      <c r="ALN168" s="7"/>
      <c r="ALO168" s="7"/>
      <c r="ALP168" s="7"/>
      <c r="ALQ168" s="7"/>
      <c r="ALR168" s="7"/>
      <c r="ALS168" s="7"/>
      <c r="ALT168" s="7"/>
      <c r="ALU168" s="7"/>
      <c r="ALV168" s="7"/>
      <c r="ALW168" s="7"/>
      <c r="ALX168" s="7"/>
      <c r="ALY168" s="7"/>
      <c r="ALZ168" s="7"/>
      <c r="AMA168" s="7"/>
      <c r="AMB168" s="7"/>
      <c r="AMC168" s="7"/>
      <c r="AMD168" s="7"/>
      <c r="AME168" s="7"/>
      <c r="AMF168" s="7"/>
      <c r="AMG168" s="7"/>
      <c r="AMH168" s="7"/>
      <c r="AMI168" s="7"/>
      <c r="AMJ168" s="7"/>
    </row>
    <row r="169" customFormat="false" ht="15.75" hidden="false" customHeight="true" outlineLevel="0" collapsed="false">
      <c r="A169" s="7"/>
      <c r="B169" s="7"/>
      <c r="C169" s="279" t="s">
        <v>25</v>
      </c>
      <c r="D169" s="280" t="n">
        <f aca="false">D141+D140+D53+D52+D26+D25+D50+D49+D74+D75+D76</f>
        <v>252</v>
      </c>
      <c r="E169" s="281" t="n">
        <f aca="false">F139+F73+F51+F48+F24</f>
        <v>14</v>
      </c>
      <c r="F169" s="149"/>
      <c r="G169" s="272"/>
      <c r="H169" s="24"/>
      <c r="I169" s="279" t="s">
        <v>25</v>
      </c>
      <c r="J169" s="280" t="n">
        <f aca="false">J141+J140+J76+J75+J74+D53+D52+D50+D49+D26+D25+J139</f>
        <v>290</v>
      </c>
      <c r="K169" s="281" t="n">
        <f aca="false">L138+L73+F51+F48+F24</f>
        <v>16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OV169" s="7"/>
      <c r="OW169" s="7"/>
      <c r="OX169" s="7"/>
      <c r="OY169" s="7"/>
      <c r="OZ169" s="7"/>
      <c r="PA169" s="7"/>
      <c r="PB169" s="7"/>
      <c r="PC169" s="7"/>
      <c r="PD169" s="7"/>
      <c r="PE169" s="7"/>
      <c r="PF169" s="7"/>
      <c r="PG169" s="7"/>
      <c r="PH169" s="7"/>
      <c r="PI169" s="7"/>
      <c r="PJ169" s="7"/>
      <c r="PK169" s="7"/>
      <c r="PL169" s="7"/>
      <c r="PM169" s="7"/>
      <c r="PN169" s="7"/>
      <c r="PO169" s="7"/>
      <c r="PP169" s="7"/>
      <c r="PQ169" s="7"/>
      <c r="PR169" s="7"/>
      <c r="PS169" s="7"/>
      <c r="PT169" s="7"/>
      <c r="PU169" s="7"/>
      <c r="PV169" s="7"/>
      <c r="PW169" s="7"/>
      <c r="PX169" s="7"/>
      <c r="PY169" s="7"/>
      <c r="PZ169" s="7"/>
      <c r="QA169" s="7"/>
      <c r="QB169" s="7"/>
      <c r="QC169" s="7"/>
      <c r="QD169" s="7"/>
      <c r="QE169" s="7"/>
      <c r="QF169" s="7"/>
      <c r="QG169" s="7"/>
      <c r="QH169" s="7"/>
      <c r="QI169" s="7"/>
      <c r="QJ169" s="7"/>
      <c r="QK169" s="7"/>
      <c r="QL169" s="7"/>
      <c r="QM169" s="7"/>
      <c r="QN169" s="7"/>
      <c r="QO169" s="7"/>
      <c r="QP169" s="7"/>
      <c r="QQ169" s="7"/>
      <c r="QR169" s="7"/>
      <c r="QS169" s="7"/>
      <c r="QT169" s="7"/>
      <c r="QU169" s="7"/>
      <c r="QV169" s="7"/>
      <c r="QW169" s="7"/>
      <c r="QX169" s="7"/>
      <c r="QY169" s="7"/>
      <c r="QZ169" s="7"/>
      <c r="RA169" s="7"/>
      <c r="RB169" s="7"/>
      <c r="RC169" s="7"/>
      <c r="RD169" s="7"/>
      <c r="RE169" s="7"/>
      <c r="RF169" s="7"/>
      <c r="RG169" s="7"/>
      <c r="RH169" s="7"/>
      <c r="RI169" s="7"/>
      <c r="RJ169" s="7"/>
      <c r="RK169" s="7"/>
      <c r="RL169" s="7"/>
      <c r="RM169" s="7"/>
      <c r="RN169" s="7"/>
      <c r="RO169" s="7"/>
      <c r="RP169" s="7"/>
      <c r="RQ169" s="7"/>
      <c r="RR169" s="7"/>
      <c r="RS169" s="7"/>
      <c r="RT169" s="7"/>
      <c r="RU169" s="7"/>
      <c r="RV169" s="7"/>
      <c r="RW169" s="7"/>
      <c r="RX169" s="7"/>
      <c r="RY169" s="7"/>
      <c r="RZ169" s="7"/>
      <c r="SA169" s="7"/>
      <c r="SB169" s="7"/>
      <c r="SC169" s="7"/>
      <c r="SD169" s="7"/>
      <c r="SE169" s="7"/>
      <c r="SF169" s="7"/>
      <c r="SG169" s="7"/>
      <c r="SH169" s="7"/>
      <c r="SI169" s="7"/>
      <c r="SJ169" s="7"/>
      <c r="SK169" s="7"/>
      <c r="SL169" s="7"/>
      <c r="SM169" s="7"/>
      <c r="SN169" s="7"/>
      <c r="SO169" s="7"/>
      <c r="SP169" s="7"/>
      <c r="SQ169" s="7"/>
      <c r="SR169" s="7"/>
      <c r="SS169" s="7"/>
      <c r="ST169" s="7"/>
      <c r="SU169" s="7"/>
      <c r="SV169" s="7"/>
      <c r="SW169" s="7"/>
      <c r="SX169" s="7"/>
      <c r="SY169" s="7"/>
      <c r="SZ169" s="7"/>
      <c r="TA169" s="7"/>
      <c r="TB169" s="7"/>
      <c r="TC169" s="7"/>
      <c r="TD169" s="7"/>
      <c r="TE169" s="7"/>
      <c r="TF169" s="7"/>
      <c r="TG169" s="7"/>
      <c r="TH169" s="7"/>
      <c r="TI169" s="7"/>
      <c r="TJ169" s="7"/>
      <c r="TK169" s="7"/>
      <c r="TL169" s="7"/>
      <c r="TM169" s="7"/>
      <c r="TN169" s="7"/>
      <c r="TO169" s="7"/>
      <c r="TP169" s="7"/>
      <c r="TQ169" s="7"/>
      <c r="TR169" s="7"/>
      <c r="TS169" s="7"/>
      <c r="TT169" s="7"/>
      <c r="TU169" s="7"/>
      <c r="TV169" s="7"/>
      <c r="TW169" s="7"/>
      <c r="TX169" s="7"/>
      <c r="TY169" s="7"/>
      <c r="TZ169" s="7"/>
      <c r="UA169" s="7"/>
      <c r="UB169" s="7"/>
      <c r="UC169" s="7"/>
      <c r="UD169" s="7"/>
      <c r="UE169" s="7"/>
      <c r="UF169" s="7"/>
      <c r="UG169" s="7"/>
      <c r="UH169" s="7"/>
      <c r="UI169" s="7"/>
      <c r="UJ169" s="7"/>
      <c r="UK169" s="7"/>
      <c r="UL169" s="7"/>
      <c r="UM169" s="7"/>
      <c r="UN169" s="7"/>
      <c r="UO169" s="7"/>
      <c r="UP169" s="7"/>
      <c r="UQ169" s="7"/>
      <c r="UR169" s="7"/>
      <c r="US169" s="7"/>
      <c r="UT169" s="7"/>
      <c r="UU169" s="7"/>
      <c r="UV169" s="7"/>
      <c r="UW169" s="7"/>
      <c r="UX169" s="7"/>
      <c r="UY169" s="7"/>
      <c r="UZ169" s="7"/>
      <c r="VA169" s="7"/>
      <c r="VB169" s="7"/>
      <c r="VC169" s="7"/>
      <c r="VD169" s="7"/>
      <c r="VE169" s="7"/>
      <c r="VF169" s="7"/>
      <c r="VG169" s="7"/>
      <c r="VH169" s="7"/>
      <c r="VI169" s="7"/>
      <c r="VJ169" s="7"/>
      <c r="VK169" s="7"/>
      <c r="VL169" s="7"/>
      <c r="VM169" s="7"/>
      <c r="VN169" s="7"/>
      <c r="VO169" s="7"/>
      <c r="VP169" s="7"/>
      <c r="VQ169" s="7"/>
      <c r="VR169" s="7"/>
      <c r="VS169" s="7"/>
      <c r="VT169" s="7"/>
      <c r="VU169" s="7"/>
      <c r="VV169" s="7"/>
      <c r="VW169" s="7"/>
      <c r="VX169" s="7"/>
      <c r="VY169" s="7"/>
      <c r="VZ169" s="7"/>
      <c r="WA169" s="7"/>
      <c r="WB169" s="7"/>
      <c r="WC169" s="7"/>
      <c r="WD169" s="7"/>
      <c r="WE169" s="7"/>
      <c r="WF169" s="7"/>
      <c r="WG169" s="7"/>
      <c r="WH169" s="7"/>
      <c r="WI169" s="7"/>
      <c r="WJ169" s="7"/>
      <c r="WK169" s="7"/>
      <c r="WL169" s="7"/>
      <c r="WM169" s="7"/>
      <c r="WN169" s="7"/>
      <c r="WO169" s="7"/>
      <c r="WP169" s="7"/>
      <c r="WQ169" s="7"/>
      <c r="WR169" s="7"/>
      <c r="WS169" s="7"/>
      <c r="WT169" s="7"/>
      <c r="WU169" s="7"/>
      <c r="WV169" s="7"/>
      <c r="WW169" s="7"/>
      <c r="WX169" s="7"/>
      <c r="WY169" s="7"/>
      <c r="WZ169" s="7"/>
      <c r="XA169" s="7"/>
      <c r="XB169" s="7"/>
      <c r="XC169" s="7"/>
      <c r="XD169" s="7"/>
      <c r="XE169" s="7"/>
      <c r="XF169" s="7"/>
      <c r="XG169" s="7"/>
      <c r="XH169" s="7"/>
      <c r="XI169" s="7"/>
      <c r="XJ169" s="7"/>
      <c r="XK169" s="7"/>
      <c r="XL169" s="7"/>
      <c r="XM169" s="7"/>
      <c r="XN169" s="7"/>
      <c r="XO169" s="7"/>
      <c r="XP169" s="7"/>
      <c r="XQ169" s="7"/>
      <c r="XR169" s="7"/>
      <c r="XS169" s="7"/>
      <c r="XT169" s="7"/>
      <c r="XU169" s="7"/>
      <c r="XV169" s="7"/>
      <c r="XW169" s="7"/>
      <c r="XX169" s="7"/>
      <c r="XY169" s="7"/>
      <c r="XZ169" s="7"/>
      <c r="YA169" s="7"/>
      <c r="YB169" s="7"/>
      <c r="YC169" s="7"/>
      <c r="YD169" s="7"/>
      <c r="YE169" s="7"/>
      <c r="YF169" s="7"/>
      <c r="YG169" s="7"/>
      <c r="YH169" s="7"/>
      <c r="YI169" s="7"/>
      <c r="YJ169" s="7"/>
      <c r="YK169" s="7"/>
      <c r="YL169" s="7"/>
      <c r="YM169" s="7"/>
      <c r="YN169" s="7"/>
      <c r="YO169" s="7"/>
      <c r="YP169" s="7"/>
      <c r="YQ169" s="7"/>
      <c r="YR169" s="7"/>
      <c r="YS169" s="7"/>
      <c r="YT169" s="7"/>
      <c r="YU169" s="7"/>
      <c r="YV169" s="7"/>
      <c r="YW169" s="7"/>
      <c r="YX169" s="7"/>
      <c r="YY169" s="7"/>
      <c r="YZ169" s="7"/>
      <c r="ZA169" s="7"/>
      <c r="ZB169" s="7"/>
      <c r="ZC169" s="7"/>
      <c r="ZD169" s="7"/>
      <c r="ZE169" s="7"/>
      <c r="ZF169" s="7"/>
      <c r="ZG169" s="7"/>
      <c r="ZH169" s="7"/>
      <c r="ZI169" s="7"/>
      <c r="ZJ169" s="7"/>
      <c r="ZK169" s="7"/>
      <c r="ZL169" s="7"/>
      <c r="ZM169" s="7"/>
      <c r="ZN169" s="7"/>
      <c r="ZO169" s="7"/>
      <c r="ZP169" s="7"/>
      <c r="ZQ169" s="7"/>
      <c r="ZR169" s="7"/>
      <c r="ZS169" s="7"/>
      <c r="ZT169" s="7"/>
      <c r="ZU169" s="7"/>
      <c r="ZV169" s="7"/>
      <c r="ZW169" s="7"/>
      <c r="ZX169" s="7"/>
      <c r="ZY169" s="7"/>
      <c r="ZZ169" s="7"/>
      <c r="AAA169" s="7"/>
      <c r="AAB169" s="7"/>
      <c r="AAC169" s="7"/>
      <c r="AAD169" s="7"/>
      <c r="AAE169" s="7"/>
      <c r="AAF169" s="7"/>
      <c r="AAG169" s="7"/>
      <c r="AAH169" s="7"/>
      <c r="AAI169" s="7"/>
      <c r="AAJ169" s="7"/>
      <c r="AAK169" s="7"/>
      <c r="AAL169" s="7"/>
      <c r="AAM169" s="7"/>
      <c r="AAN169" s="7"/>
      <c r="AAO169" s="7"/>
      <c r="AAP169" s="7"/>
      <c r="AAQ169" s="7"/>
      <c r="AAR169" s="7"/>
      <c r="AAS169" s="7"/>
      <c r="AAT169" s="7"/>
      <c r="AAU169" s="7"/>
      <c r="AAV169" s="7"/>
      <c r="AAW169" s="7"/>
      <c r="AAX169" s="7"/>
      <c r="AAY169" s="7"/>
      <c r="AAZ169" s="7"/>
      <c r="ABA169" s="7"/>
      <c r="ABB169" s="7"/>
      <c r="ABC169" s="7"/>
      <c r="ABD169" s="7"/>
      <c r="ABE169" s="7"/>
      <c r="ABF169" s="7"/>
      <c r="ABG169" s="7"/>
      <c r="ABH169" s="7"/>
      <c r="ABI169" s="7"/>
      <c r="ABJ169" s="7"/>
      <c r="ABK169" s="7"/>
      <c r="ABL169" s="7"/>
      <c r="ABM169" s="7"/>
      <c r="ABN169" s="7"/>
      <c r="ABO169" s="7"/>
      <c r="ABP169" s="7"/>
      <c r="ABQ169" s="7"/>
      <c r="ABR169" s="7"/>
      <c r="ABS169" s="7"/>
      <c r="ABT169" s="7"/>
      <c r="ABU169" s="7"/>
      <c r="ABV169" s="7"/>
      <c r="ABW169" s="7"/>
      <c r="ABX169" s="7"/>
      <c r="ABY169" s="7"/>
      <c r="ABZ169" s="7"/>
      <c r="ACA169" s="7"/>
      <c r="ACB169" s="7"/>
      <c r="ACC169" s="7"/>
      <c r="ACD169" s="7"/>
      <c r="ACE169" s="7"/>
      <c r="ACF169" s="7"/>
      <c r="ACG169" s="7"/>
      <c r="ACH169" s="7"/>
      <c r="ACI169" s="7"/>
      <c r="ACJ169" s="7"/>
      <c r="ACK169" s="7"/>
      <c r="ACL169" s="7"/>
      <c r="ACM169" s="7"/>
      <c r="ACN169" s="7"/>
      <c r="ACO169" s="7"/>
      <c r="ACP169" s="7"/>
      <c r="ACQ169" s="7"/>
      <c r="ACR169" s="7"/>
      <c r="ACS169" s="7"/>
      <c r="ACT169" s="7"/>
      <c r="ACU169" s="7"/>
      <c r="ACV169" s="7"/>
      <c r="ACW169" s="7"/>
      <c r="ACX169" s="7"/>
      <c r="ACY169" s="7"/>
      <c r="ACZ169" s="7"/>
      <c r="ADA169" s="7"/>
      <c r="ADB169" s="7"/>
      <c r="ADC169" s="7"/>
      <c r="ADD169" s="7"/>
      <c r="ADE169" s="7"/>
      <c r="ADF169" s="7"/>
      <c r="ADG169" s="7"/>
      <c r="ADH169" s="7"/>
      <c r="ADI169" s="7"/>
      <c r="ADJ169" s="7"/>
      <c r="ADK169" s="7"/>
      <c r="ADL169" s="7"/>
      <c r="ADM169" s="7"/>
      <c r="ADN169" s="7"/>
      <c r="ADO169" s="7"/>
      <c r="ADP169" s="7"/>
      <c r="ADQ169" s="7"/>
      <c r="ADR169" s="7"/>
      <c r="ADS169" s="7"/>
      <c r="ADT169" s="7"/>
      <c r="ADU169" s="7"/>
      <c r="ADV169" s="7"/>
      <c r="ADW169" s="7"/>
      <c r="ADX169" s="7"/>
      <c r="ADY169" s="7"/>
      <c r="ADZ169" s="7"/>
      <c r="AEA169" s="7"/>
      <c r="AEB169" s="7"/>
      <c r="AEC169" s="7"/>
      <c r="AED169" s="7"/>
      <c r="AEE169" s="7"/>
      <c r="AEF169" s="7"/>
      <c r="AEG169" s="7"/>
      <c r="AEH169" s="7"/>
      <c r="AEI169" s="7"/>
      <c r="AEJ169" s="7"/>
      <c r="AEK169" s="7"/>
      <c r="AEL169" s="7"/>
      <c r="AEM169" s="7"/>
      <c r="AEN169" s="7"/>
      <c r="AEO169" s="7"/>
      <c r="AEP169" s="7"/>
      <c r="AEQ169" s="7"/>
      <c r="AER169" s="7"/>
      <c r="AES169" s="7"/>
      <c r="AET169" s="7"/>
      <c r="AEU169" s="7"/>
      <c r="AEV169" s="7"/>
      <c r="AEW169" s="7"/>
      <c r="AEX169" s="7"/>
      <c r="AEY169" s="7"/>
      <c r="AEZ169" s="7"/>
      <c r="AFA169" s="7"/>
      <c r="AFB169" s="7"/>
      <c r="AFC169" s="7"/>
      <c r="AFD169" s="7"/>
      <c r="AFE169" s="7"/>
      <c r="AFF169" s="7"/>
      <c r="AFG169" s="7"/>
      <c r="AFH169" s="7"/>
      <c r="AFI169" s="7"/>
      <c r="AFJ169" s="7"/>
      <c r="AFK169" s="7"/>
      <c r="AFL169" s="7"/>
      <c r="AFM169" s="7"/>
      <c r="AFN169" s="7"/>
      <c r="AFO169" s="7"/>
      <c r="AFP169" s="7"/>
      <c r="AFQ169" s="7"/>
      <c r="AFR169" s="7"/>
      <c r="AFS169" s="7"/>
      <c r="AFT169" s="7"/>
      <c r="AFU169" s="7"/>
      <c r="AFV169" s="7"/>
      <c r="AFW169" s="7"/>
      <c r="AFX169" s="7"/>
      <c r="AFY169" s="7"/>
      <c r="AFZ169" s="7"/>
      <c r="AGA169" s="7"/>
      <c r="AGB169" s="7"/>
      <c r="AGC169" s="7"/>
      <c r="AGD169" s="7"/>
      <c r="AGE169" s="7"/>
      <c r="AGF169" s="7"/>
      <c r="AGG169" s="7"/>
      <c r="AGH169" s="7"/>
      <c r="AGI169" s="7"/>
      <c r="AGJ169" s="7"/>
      <c r="AGK169" s="7"/>
      <c r="AGL169" s="7"/>
      <c r="AGM169" s="7"/>
      <c r="AGN169" s="7"/>
      <c r="AGO169" s="7"/>
      <c r="AGP169" s="7"/>
      <c r="AGQ169" s="7"/>
      <c r="AGR169" s="7"/>
      <c r="AGS169" s="7"/>
      <c r="AGT169" s="7"/>
      <c r="AGU169" s="7"/>
      <c r="AGV169" s="7"/>
      <c r="AGW169" s="7"/>
      <c r="AGX169" s="7"/>
      <c r="AGY169" s="7"/>
      <c r="AGZ169" s="7"/>
      <c r="AHA169" s="7"/>
      <c r="AHB169" s="7"/>
      <c r="AHC169" s="7"/>
      <c r="AHD169" s="7"/>
      <c r="AHE169" s="7"/>
      <c r="AHF169" s="7"/>
      <c r="AHG169" s="7"/>
      <c r="AHH169" s="7"/>
      <c r="AHI169" s="7"/>
      <c r="AHJ169" s="7"/>
      <c r="AHK169" s="7"/>
      <c r="AHL169" s="7"/>
      <c r="AHM169" s="7"/>
      <c r="AHN169" s="7"/>
      <c r="AHO169" s="7"/>
      <c r="AHP169" s="7"/>
      <c r="AHQ169" s="7"/>
      <c r="AHR169" s="7"/>
      <c r="AHS169" s="7"/>
      <c r="AHT169" s="7"/>
      <c r="AHU169" s="7"/>
      <c r="AHV169" s="7"/>
      <c r="AHW169" s="7"/>
      <c r="AHX169" s="7"/>
      <c r="AHY169" s="7"/>
      <c r="AHZ169" s="7"/>
      <c r="AIA169" s="7"/>
      <c r="AIB169" s="7"/>
      <c r="AIC169" s="7"/>
      <c r="AID169" s="7"/>
      <c r="AIE169" s="7"/>
      <c r="AIF169" s="7"/>
      <c r="AIG169" s="7"/>
      <c r="AIH169" s="7"/>
      <c r="AII169" s="7"/>
      <c r="AIJ169" s="7"/>
      <c r="AIK169" s="7"/>
      <c r="AIL169" s="7"/>
      <c r="AIM169" s="7"/>
      <c r="AIN169" s="7"/>
      <c r="AIO169" s="7"/>
      <c r="AIP169" s="7"/>
      <c r="AIQ169" s="7"/>
      <c r="AIR169" s="7"/>
      <c r="AIS169" s="7"/>
      <c r="AIT169" s="7"/>
      <c r="AIU169" s="7"/>
      <c r="AIV169" s="7"/>
      <c r="AIW169" s="7"/>
      <c r="AIX169" s="7"/>
      <c r="AIY169" s="7"/>
      <c r="AIZ169" s="7"/>
      <c r="AJA169" s="7"/>
      <c r="AJB169" s="7"/>
      <c r="AJC169" s="7"/>
      <c r="AJD169" s="7"/>
      <c r="AJE169" s="7"/>
      <c r="AJF169" s="7"/>
      <c r="AJG169" s="7"/>
      <c r="AJH169" s="7"/>
      <c r="AJI169" s="7"/>
      <c r="AJJ169" s="7"/>
      <c r="AJK169" s="7"/>
      <c r="AJL169" s="7"/>
      <c r="AJM169" s="7"/>
      <c r="AJN169" s="7"/>
      <c r="AJO169" s="7"/>
      <c r="AJP169" s="7"/>
      <c r="AJQ169" s="7"/>
      <c r="AJR169" s="7"/>
      <c r="AJS169" s="7"/>
      <c r="AJT169" s="7"/>
      <c r="AJU169" s="7"/>
      <c r="AJV169" s="7"/>
      <c r="AJW169" s="7"/>
      <c r="AJX169" s="7"/>
      <c r="AJY169" s="7"/>
      <c r="AJZ169" s="7"/>
      <c r="AKA169" s="7"/>
      <c r="AKB169" s="7"/>
      <c r="AKC169" s="7"/>
      <c r="AKD169" s="7"/>
      <c r="AKE169" s="7"/>
      <c r="AKF169" s="7"/>
      <c r="AKG169" s="7"/>
      <c r="AKH169" s="7"/>
      <c r="AKI169" s="7"/>
      <c r="AKJ169" s="7"/>
      <c r="AKK169" s="7"/>
      <c r="AKL169" s="7"/>
      <c r="AKM169" s="7"/>
      <c r="AKN169" s="7"/>
      <c r="AKO169" s="7"/>
      <c r="AKP169" s="7"/>
      <c r="AKQ169" s="7"/>
      <c r="AKR169" s="7"/>
      <c r="AKS169" s="7"/>
      <c r="AKT169" s="7"/>
      <c r="AKU169" s="7"/>
      <c r="AKV169" s="7"/>
      <c r="AKW169" s="7"/>
      <c r="AKX169" s="7"/>
      <c r="AKY169" s="7"/>
      <c r="AKZ169" s="7"/>
      <c r="ALA169" s="7"/>
      <c r="ALB169" s="7"/>
      <c r="ALC169" s="7"/>
      <c r="ALD169" s="7"/>
      <c r="ALE169" s="7"/>
      <c r="ALF169" s="7"/>
      <c r="ALG169" s="7"/>
      <c r="ALH169" s="7"/>
      <c r="ALI169" s="7"/>
      <c r="ALJ169" s="7"/>
      <c r="ALK169" s="7"/>
      <c r="ALL169" s="7"/>
      <c r="ALM169" s="7"/>
      <c r="ALN169" s="7"/>
      <c r="ALO169" s="7"/>
      <c r="ALP169" s="7"/>
      <c r="ALQ169" s="7"/>
      <c r="ALR169" s="7"/>
      <c r="ALS169" s="7"/>
      <c r="ALT169" s="7"/>
      <c r="ALU169" s="7"/>
      <c r="ALV169" s="7"/>
      <c r="ALW169" s="7"/>
      <c r="ALX169" s="7"/>
      <c r="ALY169" s="7"/>
      <c r="ALZ169" s="7"/>
      <c r="AMA169" s="7"/>
      <c r="AMB169" s="7"/>
      <c r="AMC169" s="7"/>
      <c r="AMD169" s="7"/>
      <c r="AME169" s="7"/>
      <c r="AMF169" s="7"/>
      <c r="AMG169" s="7"/>
      <c r="AMH169" s="7"/>
      <c r="AMI169" s="7"/>
      <c r="AMJ169" s="7"/>
    </row>
    <row r="170" customFormat="false" ht="15.75" hidden="false" customHeight="true" outlineLevel="0" collapsed="false">
      <c r="A170" s="7"/>
      <c r="B170" s="7"/>
      <c r="C170" s="279" t="s">
        <v>74</v>
      </c>
      <c r="D170" s="280" t="n">
        <f aca="false">D135+D134+D82+D81+D79+D78+D137+D138+D104+D105</f>
        <v>232</v>
      </c>
      <c r="E170" s="281" t="n">
        <f aca="false">F133+F136+F80+F77+F103</f>
        <v>12</v>
      </c>
      <c r="F170" s="149"/>
      <c r="G170" s="272"/>
      <c r="H170" s="24"/>
      <c r="I170" s="279" t="s">
        <v>174</v>
      </c>
      <c r="J170" s="280" t="n">
        <f aca="false">J133+J134+J132+J131+J130+J100+J99+J98+J79+J78</f>
        <v>211</v>
      </c>
      <c r="K170" s="281" t="n">
        <f aca="false">L132+L129+L97+L77</f>
        <v>11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OV170" s="7"/>
      <c r="OW170" s="7"/>
      <c r="OX170" s="7"/>
      <c r="OY170" s="7"/>
      <c r="OZ170" s="7"/>
      <c r="PA170" s="7"/>
      <c r="PB170" s="7"/>
      <c r="PC170" s="7"/>
      <c r="PD170" s="7"/>
      <c r="PE170" s="7"/>
      <c r="PF170" s="7"/>
      <c r="PG170" s="7"/>
      <c r="PH170" s="7"/>
      <c r="PI170" s="7"/>
      <c r="PJ170" s="7"/>
      <c r="PK170" s="7"/>
      <c r="PL170" s="7"/>
      <c r="PM170" s="7"/>
      <c r="PN170" s="7"/>
      <c r="PO170" s="7"/>
      <c r="PP170" s="7"/>
      <c r="PQ170" s="7"/>
      <c r="PR170" s="7"/>
      <c r="PS170" s="7"/>
      <c r="PT170" s="7"/>
      <c r="PU170" s="7"/>
      <c r="PV170" s="7"/>
      <c r="PW170" s="7"/>
      <c r="PX170" s="7"/>
      <c r="PY170" s="7"/>
      <c r="PZ170" s="7"/>
      <c r="QA170" s="7"/>
      <c r="QB170" s="7"/>
      <c r="QC170" s="7"/>
      <c r="QD170" s="7"/>
      <c r="QE170" s="7"/>
      <c r="QF170" s="7"/>
      <c r="QG170" s="7"/>
      <c r="QH170" s="7"/>
      <c r="QI170" s="7"/>
      <c r="QJ170" s="7"/>
      <c r="QK170" s="7"/>
      <c r="QL170" s="7"/>
      <c r="QM170" s="7"/>
      <c r="QN170" s="7"/>
      <c r="QO170" s="7"/>
      <c r="QP170" s="7"/>
      <c r="QQ170" s="7"/>
      <c r="QR170" s="7"/>
      <c r="QS170" s="7"/>
      <c r="QT170" s="7"/>
      <c r="QU170" s="7"/>
      <c r="QV170" s="7"/>
      <c r="QW170" s="7"/>
      <c r="QX170" s="7"/>
      <c r="QY170" s="7"/>
      <c r="QZ170" s="7"/>
      <c r="RA170" s="7"/>
      <c r="RB170" s="7"/>
      <c r="RC170" s="7"/>
      <c r="RD170" s="7"/>
      <c r="RE170" s="7"/>
      <c r="RF170" s="7"/>
      <c r="RG170" s="7"/>
      <c r="RH170" s="7"/>
      <c r="RI170" s="7"/>
      <c r="RJ170" s="7"/>
      <c r="RK170" s="7"/>
      <c r="RL170" s="7"/>
      <c r="RM170" s="7"/>
      <c r="RN170" s="7"/>
      <c r="RO170" s="7"/>
      <c r="RP170" s="7"/>
      <c r="RQ170" s="7"/>
      <c r="RR170" s="7"/>
      <c r="RS170" s="7"/>
      <c r="RT170" s="7"/>
      <c r="RU170" s="7"/>
      <c r="RV170" s="7"/>
      <c r="RW170" s="7"/>
      <c r="RX170" s="7"/>
      <c r="RY170" s="7"/>
      <c r="RZ170" s="7"/>
      <c r="SA170" s="7"/>
      <c r="SB170" s="7"/>
      <c r="SC170" s="7"/>
      <c r="SD170" s="7"/>
      <c r="SE170" s="7"/>
      <c r="SF170" s="7"/>
      <c r="SG170" s="7"/>
      <c r="SH170" s="7"/>
      <c r="SI170" s="7"/>
      <c r="SJ170" s="7"/>
      <c r="SK170" s="7"/>
      <c r="SL170" s="7"/>
      <c r="SM170" s="7"/>
      <c r="SN170" s="7"/>
      <c r="SO170" s="7"/>
      <c r="SP170" s="7"/>
      <c r="SQ170" s="7"/>
      <c r="SR170" s="7"/>
      <c r="SS170" s="7"/>
      <c r="ST170" s="7"/>
      <c r="SU170" s="7"/>
      <c r="SV170" s="7"/>
      <c r="SW170" s="7"/>
      <c r="SX170" s="7"/>
      <c r="SY170" s="7"/>
      <c r="SZ170" s="7"/>
      <c r="TA170" s="7"/>
      <c r="TB170" s="7"/>
      <c r="TC170" s="7"/>
      <c r="TD170" s="7"/>
      <c r="TE170" s="7"/>
      <c r="TF170" s="7"/>
      <c r="TG170" s="7"/>
      <c r="TH170" s="7"/>
      <c r="TI170" s="7"/>
      <c r="TJ170" s="7"/>
      <c r="TK170" s="7"/>
      <c r="TL170" s="7"/>
      <c r="TM170" s="7"/>
      <c r="TN170" s="7"/>
      <c r="TO170" s="7"/>
      <c r="TP170" s="7"/>
      <c r="TQ170" s="7"/>
      <c r="TR170" s="7"/>
      <c r="TS170" s="7"/>
      <c r="TT170" s="7"/>
      <c r="TU170" s="7"/>
      <c r="TV170" s="7"/>
      <c r="TW170" s="7"/>
      <c r="TX170" s="7"/>
      <c r="TY170" s="7"/>
      <c r="TZ170" s="7"/>
      <c r="UA170" s="7"/>
      <c r="UB170" s="7"/>
      <c r="UC170" s="7"/>
      <c r="UD170" s="7"/>
      <c r="UE170" s="7"/>
      <c r="UF170" s="7"/>
      <c r="UG170" s="7"/>
      <c r="UH170" s="7"/>
      <c r="UI170" s="7"/>
      <c r="UJ170" s="7"/>
      <c r="UK170" s="7"/>
      <c r="UL170" s="7"/>
      <c r="UM170" s="7"/>
      <c r="UN170" s="7"/>
      <c r="UO170" s="7"/>
      <c r="UP170" s="7"/>
      <c r="UQ170" s="7"/>
      <c r="UR170" s="7"/>
      <c r="US170" s="7"/>
      <c r="UT170" s="7"/>
      <c r="UU170" s="7"/>
      <c r="UV170" s="7"/>
      <c r="UW170" s="7"/>
      <c r="UX170" s="7"/>
      <c r="UY170" s="7"/>
      <c r="UZ170" s="7"/>
      <c r="VA170" s="7"/>
      <c r="VB170" s="7"/>
      <c r="VC170" s="7"/>
      <c r="VD170" s="7"/>
      <c r="VE170" s="7"/>
      <c r="VF170" s="7"/>
      <c r="VG170" s="7"/>
      <c r="VH170" s="7"/>
      <c r="VI170" s="7"/>
      <c r="VJ170" s="7"/>
      <c r="VK170" s="7"/>
      <c r="VL170" s="7"/>
      <c r="VM170" s="7"/>
      <c r="VN170" s="7"/>
      <c r="VO170" s="7"/>
      <c r="VP170" s="7"/>
      <c r="VQ170" s="7"/>
      <c r="VR170" s="7"/>
      <c r="VS170" s="7"/>
      <c r="VT170" s="7"/>
      <c r="VU170" s="7"/>
      <c r="VV170" s="7"/>
      <c r="VW170" s="7"/>
      <c r="VX170" s="7"/>
      <c r="VY170" s="7"/>
      <c r="VZ170" s="7"/>
      <c r="WA170" s="7"/>
      <c r="WB170" s="7"/>
      <c r="WC170" s="7"/>
      <c r="WD170" s="7"/>
      <c r="WE170" s="7"/>
      <c r="WF170" s="7"/>
      <c r="WG170" s="7"/>
      <c r="WH170" s="7"/>
      <c r="WI170" s="7"/>
      <c r="WJ170" s="7"/>
      <c r="WK170" s="7"/>
      <c r="WL170" s="7"/>
      <c r="WM170" s="7"/>
      <c r="WN170" s="7"/>
      <c r="WO170" s="7"/>
      <c r="WP170" s="7"/>
      <c r="WQ170" s="7"/>
      <c r="WR170" s="7"/>
      <c r="WS170" s="7"/>
      <c r="WT170" s="7"/>
      <c r="WU170" s="7"/>
      <c r="WV170" s="7"/>
      <c r="WW170" s="7"/>
      <c r="WX170" s="7"/>
      <c r="WY170" s="7"/>
      <c r="WZ170" s="7"/>
      <c r="XA170" s="7"/>
      <c r="XB170" s="7"/>
      <c r="XC170" s="7"/>
      <c r="XD170" s="7"/>
      <c r="XE170" s="7"/>
      <c r="XF170" s="7"/>
      <c r="XG170" s="7"/>
      <c r="XH170" s="7"/>
      <c r="XI170" s="7"/>
      <c r="XJ170" s="7"/>
      <c r="XK170" s="7"/>
      <c r="XL170" s="7"/>
      <c r="XM170" s="7"/>
      <c r="XN170" s="7"/>
      <c r="XO170" s="7"/>
      <c r="XP170" s="7"/>
      <c r="XQ170" s="7"/>
      <c r="XR170" s="7"/>
      <c r="XS170" s="7"/>
      <c r="XT170" s="7"/>
      <c r="XU170" s="7"/>
      <c r="XV170" s="7"/>
      <c r="XW170" s="7"/>
      <c r="XX170" s="7"/>
      <c r="XY170" s="7"/>
      <c r="XZ170" s="7"/>
      <c r="YA170" s="7"/>
      <c r="YB170" s="7"/>
      <c r="YC170" s="7"/>
      <c r="YD170" s="7"/>
      <c r="YE170" s="7"/>
      <c r="YF170" s="7"/>
      <c r="YG170" s="7"/>
      <c r="YH170" s="7"/>
      <c r="YI170" s="7"/>
      <c r="YJ170" s="7"/>
      <c r="YK170" s="7"/>
      <c r="YL170" s="7"/>
      <c r="YM170" s="7"/>
      <c r="YN170" s="7"/>
      <c r="YO170" s="7"/>
      <c r="YP170" s="7"/>
      <c r="YQ170" s="7"/>
      <c r="YR170" s="7"/>
      <c r="YS170" s="7"/>
      <c r="YT170" s="7"/>
      <c r="YU170" s="7"/>
      <c r="YV170" s="7"/>
      <c r="YW170" s="7"/>
      <c r="YX170" s="7"/>
      <c r="YY170" s="7"/>
      <c r="YZ170" s="7"/>
      <c r="ZA170" s="7"/>
      <c r="ZB170" s="7"/>
      <c r="ZC170" s="7"/>
      <c r="ZD170" s="7"/>
      <c r="ZE170" s="7"/>
      <c r="ZF170" s="7"/>
      <c r="ZG170" s="7"/>
      <c r="ZH170" s="7"/>
      <c r="ZI170" s="7"/>
      <c r="ZJ170" s="7"/>
      <c r="ZK170" s="7"/>
      <c r="ZL170" s="7"/>
      <c r="ZM170" s="7"/>
      <c r="ZN170" s="7"/>
      <c r="ZO170" s="7"/>
      <c r="ZP170" s="7"/>
      <c r="ZQ170" s="7"/>
      <c r="ZR170" s="7"/>
      <c r="ZS170" s="7"/>
      <c r="ZT170" s="7"/>
      <c r="ZU170" s="7"/>
      <c r="ZV170" s="7"/>
      <c r="ZW170" s="7"/>
      <c r="ZX170" s="7"/>
      <c r="ZY170" s="7"/>
      <c r="ZZ170" s="7"/>
      <c r="AAA170" s="7"/>
      <c r="AAB170" s="7"/>
      <c r="AAC170" s="7"/>
      <c r="AAD170" s="7"/>
      <c r="AAE170" s="7"/>
      <c r="AAF170" s="7"/>
      <c r="AAG170" s="7"/>
      <c r="AAH170" s="7"/>
      <c r="AAI170" s="7"/>
      <c r="AAJ170" s="7"/>
      <c r="AAK170" s="7"/>
      <c r="AAL170" s="7"/>
      <c r="AAM170" s="7"/>
      <c r="AAN170" s="7"/>
      <c r="AAO170" s="7"/>
      <c r="AAP170" s="7"/>
      <c r="AAQ170" s="7"/>
      <c r="AAR170" s="7"/>
      <c r="AAS170" s="7"/>
      <c r="AAT170" s="7"/>
      <c r="AAU170" s="7"/>
      <c r="AAV170" s="7"/>
      <c r="AAW170" s="7"/>
      <c r="AAX170" s="7"/>
      <c r="AAY170" s="7"/>
      <c r="AAZ170" s="7"/>
      <c r="ABA170" s="7"/>
      <c r="ABB170" s="7"/>
      <c r="ABC170" s="7"/>
      <c r="ABD170" s="7"/>
      <c r="ABE170" s="7"/>
      <c r="ABF170" s="7"/>
      <c r="ABG170" s="7"/>
      <c r="ABH170" s="7"/>
      <c r="ABI170" s="7"/>
      <c r="ABJ170" s="7"/>
      <c r="ABK170" s="7"/>
      <c r="ABL170" s="7"/>
      <c r="ABM170" s="7"/>
      <c r="ABN170" s="7"/>
      <c r="ABO170" s="7"/>
      <c r="ABP170" s="7"/>
      <c r="ABQ170" s="7"/>
      <c r="ABR170" s="7"/>
      <c r="ABS170" s="7"/>
      <c r="ABT170" s="7"/>
      <c r="ABU170" s="7"/>
      <c r="ABV170" s="7"/>
      <c r="ABW170" s="7"/>
      <c r="ABX170" s="7"/>
      <c r="ABY170" s="7"/>
      <c r="ABZ170" s="7"/>
      <c r="ACA170" s="7"/>
      <c r="ACB170" s="7"/>
      <c r="ACC170" s="7"/>
      <c r="ACD170" s="7"/>
      <c r="ACE170" s="7"/>
      <c r="ACF170" s="7"/>
      <c r="ACG170" s="7"/>
      <c r="ACH170" s="7"/>
      <c r="ACI170" s="7"/>
      <c r="ACJ170" s="7"/>
      <c r="ACK170" s="7"/>
      <c r="ACL170" s="7"/>
      <c r="ACM170" s="7"/>
      <c r="ACN170" s="7"/>
      <c r="ACO170" s="7"/>
      <c r="ACP170" s="7"/>
      <c r="ACQ170" s="7"/>
      <c r="ACR170" s="7"/>
      <c r="ACS170" s="7"/>
      <c r="ACT170" s="7"/>
      <c r="ACU170" s="7"/>
      <c r="ACV170" s="7"/>
      <c r="ACW170" s="7"/>
      <c r="ACX170" s="7"/>
      <c r="ACY170" s="7"/>
      <c r="ACZ170" s="7"/>
      <c r="ADA170" s="7"/>
      <c r="ADB170" s="7"/>
      <c r="ADC170" s="7"/>
      <c r="ADD170" s="7"/>
      <c r="ADE170" s="7"/>
      <c r="ADF170" s="7"/>
      <c r="ADG170" s="7"/>
      <c r="ADH170" s="7"/>
      <c r="ADI170" s="7"/>
      <c r="ADJ170" s="7"/>
      <c r="ADK170" s="7"/>
      <c r="ADL170" s="7"/>
      <c r="ADM170" s="7"/>
      <c r="ADN170" s="7"/>
      <c r="ADO170" s="7"/>
      <c r="ADP170" s="7"/>
      <c r="ADQ170" s="7"/>
      <c r="ADR170" s="7"/>
      <c r="ADS170" s="7"/>
      <c r="ADT170" s="7"/>
      <c r="ADU170" s="7"/>
      <c r="ADV170" s="7"/>
      <c r="ADW170" s="7"/>
      <c r="ADX170" s="7"/>
      <c r="ADY170" s="7"/>
      <c r="ADZ170" s="7"/>
      <c r="AEA170" s="7"/>
      <c r="AEB170" s="7"/>
      <c r="AEC170" s="7"/>
      <c r="AED170" s="7"/>
      <c r="AEE170" s="7"/>
      <c r="AEF170" s="7"/>
      <c r="AEG170" s="7"/>
      <c r="AEH170" s="7"/>
      <c r="AEI170" s="7"/>
      <c r="AEJ170" s="7"/>
      <c r="AEK170" s="7"/>
      <c r="AEL170" s="7"/>
      <c r="AEM170" s="7"/>
      <c r="AEN170" s="7"/>
      <c r="AEO170" s="7"/>
      <c r="AEP170" s="7"/>
      <c r="AEQ170" s="7"/>
      <c r="AER170" s="7"/>
      <c r="AES170" s="7"/>
      <c r="AET170" s="7"/>
      <c r="AEU170" s="7"/>
      <c r="AEV170" s="7"/>
      <c r="AEW170" s="7"/>
      <c r="AEX170" s="7"/>
      <c r="AEY170" s="7"/>
      <c r="AEZ170" s="7"/>
      <c r="AFA170" s="7"/>
      <c r="AFB170" s="7"/>
      <c r="AFC170" s="7"/>
      <c r="AFD170" s="7"/>
      <c r="AFE170" s="7"/>
      <c r="AFF170" s="7"/>
      <c r="AFG170" s="7"/>
      <c r="AFH170" s="7"/>
      <c r="AFI170" s="7"/>
      <c r="AFJ170" s="7"/>
      <c r="AFK170" s="7"/>
      <c r="AFL170" s="7"/>
      <c r="AFM170" s="7"/>
      <c r="AFN170" s="7"/>
      <c r="AFO170" s="7"/>
      <c r="AFP170" s="7"/>
      <c r="AFQ170" s="7"/>
      <c r="AFR170" s="7"/>
      <c r="AFS170" s="7"/>
      <c r="AFT170" s="7"/>
      <c r="AFU170" s="7"/>
      <c r="AFV170" s="7"/>
      <c r="AFW170" s="7"/>
      <c r="AFX170" s="7"/>
      <c r="AFY170" s="7"/>
      <c r="AFZ170" s="7"/>
      <c r="AGA170" s="7"/>
      <c r="AGB170" s="7"/>
      <c r="AGC170" s="7"/>
      <c r="AGD170" s="7"/>
      <c r="AGE170" s="7"/>
      <c r="AGF170" s="7"/>
      <c r="AGG170" s="7"/>
      <c r="AGH170" s="7"/>
      <c r="AGI170" s="7"/>
      <c r="AGJ170" s="7"/>
      <c r="AGK170" s="7"/>
      <c r="AGL170" s="7"/>
      <c r="AGM170" s="7"/>
      <c r="AGN170" s="7"/>
      <c r="AGO170" s="7"/>
      <c r="AGP170" s="7"/>
      <c r="AGQ170" s="7"/>
      <c r="AGR170" s="7"/>
      <c r="AGS170" s="7"/>
      <c r="AGT170" s="7"/>
      <c r="AGU170" s="7"/>
      <c r="AGV170" s="7"/>
      <c r="AGW170" s="7"/>
      <c r="AGX170" s="7"/>
      <c r="AGY170" s="7"/>
      <c r="AGZ170" s="7"/>
      <c r="AHA170" s="7"/>
      <c r="AHB170" s="7"/>
      <c r="AHC170" s="7"/>
      <c r="AHD170" s="7"/>
      <c r="AHE170" s="7"/>
      <c r="AHF170" s="7"/>
      <c r="AHG170" s="7"/>
      <c r="AHH170" s="7"/>
      <c r="AHI170" s="7"/>
      <c r="AHJ170" s="7"/>
      <c r="AHK170" s="7"/>
      <c r="AHL170" s="7"/>
      <c r="AHM170" s="7"/>
      <c r="AHN170" s="7"/>
      <c r="AHO170" s="7"/>
      <c r="AHP170" s="7"/>
      <c r="AHQ170" s="7"/>
      <c r="AHR170" s="7"/>
      <c r="AHS170" s="7"/>
      <c r="AHT170" s="7"/>
      <c r="AHU170" s="7"/>
      <c r="AHV170" s="7"/>
      <c r="AHW170" s="7"/>
      <c r="AHX170" s="7"/>
      <c r="AHY170" s="7"/>
      <c r="AHZ170" s="7"/>
      <c r="AIA170" s="7"/>
      <c r="AIB170" s="7"/>
      <c r="AIC170" s="7"/>
      <c r="AID170" s="7"/>
      <c r="AIE170" s="7"/>
      <c r="AIF170" s="7"/>
      <c r="AIG170" s="7"/>
      <c r="AIH170" s="7"/>
      <c r="AII170" s="7"/>
      <c r="AIJ170" s="7"/>
      <c r="AIK170" s="7"/>
      <c r="AIL170" s="7"/>
      <c r="AIM170" s="7"/>
      <c r="AIN170" s="7"/>
      <c r="AIO170" s="7"/>
      <c r="AIP170" s="7"/>
      <c r="AIQ170" s="7"/>
      <c r="AIR170" s="7"/>
      <c r="AIS170" s="7"/>
      <c r="AIT170" s="7"/>
      <c r="AIU170" s="7"/>
      <c r="AIV170" s="7"/>
      <c r="AIW170" s="7"/>
      <c r="AIX170" s="7"/>
      <c r="AIY170" s="7"/>
      <c r="AIZ170" s="7"/>
      <c r="AJA170" s="7"/>
      <c r="AJB170" s="7"/>
      <c r="AJC170" s="7"/>
      <c r="AJD170" s="7"/>
      <c r="AJE170" s="7"/>
      <c r="AJF170" s="7"/>
      <c r="AJG170" s="7"/>
      <c r="AJH170" s="7"/>
      <c r="AJI170" s="7"/>
      <c r="AJJ170" s="7"/>
      <c r="AJK170" s="7"/>
      <c r="AJL170" s="7"/>
      <c r="AJM170" s="7"/>
      <c r="AJN170" s="7"/>
      <c r="AJO170" s="7"/>
      <c r="AJP170" s="7"/>
      <c r="AJQ170" s="7"/>
      <c r="AJR170" s="7"/>
      <c r="AJS170" s="7"/>
      <c r="AJT170" s="7"/>
      <c r="AJU170" s="7"/>
      <c r="AJV170" s="7"/>
      <c r="AJW170" s="7"/>
      <c r="AJX170" s="7"/>
      <c r="AJY170" s="7"/>
      <c r="AJZ170" s="7"/>
      <c r="AKA170" s="7"/>
      <c r="AKB170" s="7"/>
      <c r="AKC170" s="7"/>
      <c r="AKD170" s="7"/>
      <c r="AKE170" s="7"/>
      <c r="AKF170" s="7"/>
      <c r="AKG170" s="7"/>
      <c r="AKH170" s="7"/>
      <c r="AKI170" s="7"/>
      <c r="AKJ170" s="7"/>
      <c r="AKK170" s="7"/>
      <c r="AKL170" s="7"/>
      <c r="AKM170" s="7"/>
      <c r="AKN170" s="7"/>
      <c r="AKO170" s="7"/>
      <c r="AKP170" s="7"/>
      <c r="AKQ170" s="7"/>
      <c r="AKR170" s="7"/>
      <c r="AKS170" s="7"/>
      <c r="AKT170" s="7"/>
      <c r="AKU170" s="7"/>
      <c r="AKV170" s="7"/>
      <c r="AKW170" s="7"/>
      <c r="AKX170" s="7"/>
      <c r="AKY170" s="7"/>
      <c r="AKZ170" s="7"/>
      <c r="ALA170" s="7"/>
      <c r="ALB170" s="7"/>
      <c r="ALC170" s="7"/>
      <c r="ALD170" s="7"/>
      <c r="ALE170" s="7"/>
      <c r="ALF170" s="7"/>
      <c r="ALG170" s="7"/>
      <c r="ALH170" s="7"/>
      <c r="ALI170" s="7"/>
      <c r="ALJ170" s="7"/>
      <c r="ALK170" s="7"/>
      <c r="ALL170" s="7"/>
      <c r="ALM170" s="7"/>
      <c r="ALN170" s="7"/>
      <c r="ALO170" s="7"/>
      <c r="ALP170" s="7"/>
      <c r="ALQ170" s="7"/>
      <c r="ALR170" s="7"/>
      <c r="ALS170" s="7"/>
      <c r="ALT170" s="7"/>
      <c r="ALU170" s="7"/>
      <c r="ALV170" s="7"/>
      <c r="ALW170" s="7"/>
      <c r="ALX170" s="7"/>
      <c r="ALY170" s="7"/>
      <c r="ALZ170" s="7"/>
      <c r="AMA170" s="7"/>
      <c r="AMB170" s="7"/>
      <c r="AMC170" s="7"/>
      <c r="AMD170" s="7"/>
      <c r="AME170" s="7"/>
      <c r="AMF170" s="7"/>
      <c r="AMG170" s="7"/>
      <c r="AMH170" s="7"/>
      <c r="AMI170" s="7"/>
      <c r="AMJ170" s="7"/>
    </row>
    <row r="171" customFormat="false" ht="15.75" hidden="false" customHeight="true" outlineLevel="0" collapsed="false">
      <c r="A171" s="7"/>
      <c r="B171" s="7"/>
      <c r="C171" s="279" t="s">
        <v>91</v>
      </c>
      <c r="D171" s="280" t="n">
        <f aca="false">D132+D131+D98+D101+D102+D130+D99</f>
        <v>220</v>
      </c>
      <c r="E171" s="281" t="n">
        <f aca="false">F129+F100+F97</f>
        <v>11</v>
      </c>
      <c r="F171" s="149"/>
      <c r="G171" s="272"/>
      <c r="H171" s="24"/>
      <c r="I171" s="279" t="s">
        <v>193</v>
      </c>
      <c r="J171" s="280" t="n">
        <f aca="false">J136+J103+J102+J82+J81+J137</f>
        <v>203</v>
      </c>
      <c r="K171" s="281" t="n">
        <f aca="false">L80+L101+L135</f>
        <v>10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OV171" s="7"/>
      <c r="OW171" s="7"/>
      <c r="OX171" s="7"/>
      <c r="OY171" s="7"/>
      <c r="OZ171" s="7"/>
      <c r="PA171" s="7"/>
      <c r="PB171" s="7"/>
      <c r="PC171" s="7"/>
      <c r="PD171" s="7"/>
      <c r="PE171" s="7"/>
      <c r="PF171" s="7"/>
      <c r="PG171" s="7"/>
      <c r="PH171" s="7"/>
      <c r="PI171" s="7"/>
      <c r="PJ171" s="7"/>
      <c r="PK171" s="7"/>
      <c r="PL171" s="7"/>
      <c r="PM171" s="7"/>
      <c r="PN171" s="7"/>
      <c r="PO171" s="7"/>
      <c r="PP171" s="7"/>
      <c r="PQ171" s="7"/>
      <c r="PR171" s="7"/>
      <c r="PS171" s="7"/>
      <c r="PT171" s="7"/>
      <c r="PU171" s="7"/>
      <c r="PV171" s="7"/>
      <c r="PW171" s="7"/>
      <c r="PX171" s="7"/>
      <c r="PY171" s="7"/>
      <c r="PZ171" s="7"/>
      <c r="QA171" s="7"/>
      <c r="QB171" s="7"/>
      <c r="QC171" s="7"/>
      <c r="QD171" s="7"/>
      <c r="QE171" s="7"/>
      <c r="QF171" s="7"/>
      <c r="QG171" s="7"/>
      <c r="QH171" s="7"/>
      <c r="QI171" s="7"/>
      <c r="QJ171" s="7"/>
      <c r="QK171" s="7"/>
      <c r="QL171" s="7"/>
      <c r="QM171" s="7"/>
      <c r="QN171" s="7"/>
      <c r="QO171" s="7"/>
      <c r="QP171" s="7"/>
      <c r="QQ171" s="7"/>
      <c r="QR171" s="7"/>
      <c r="QS171" s="7"/>
      <c r="QT171" s="7"/>
      <c r="QU171" s="7"/>
      <c r="QV171" s="7"/>
      <c r="QW171" s="7"/>
      <c r="QX171" s="7"/>
      <c r="QY171" s="7"/>
      <c r="QZ171" s="7"/>
      <c r="RA171" s="7"/>
      <c r="RB171" s="7"/>
      <c r="RC171" s="7"/>
      <c r="RD171" s="7"/>
      <c r="RE171" s="7"/>
      <c r="RF171" s="7"/>
      <c r="RG171" s="7"/>
      <c r="RH171" s="7"/>
      <c r="RI171" s="7"/>
      <c r="RJ171" s="7"/>
      <c r="RK171" s="7"/>
      <c r="RL171" s="7"/>
      <c r="RM171" s="7"/>
      <c r="RN171" s="7"/>
      <c r="RO171" s="7"/>
      <c r="RP171" s="7"/>
      <c r="RQ171" s="7"/>
      <c r="RR171" s="7"/>
      <c r="RS171" s="7"/>
      <c r="RT171" s="7"/>
      <c r="RU171" s="7"/>
      <c r="RV171" s="7"/>
      <c r="RW171" s="7"/>
      <c r="RX171" s="7"/>
      <c r="RY171" s="7"/>
      <c r="RZ171" s="7"/>
      <c r="SA171" s="7"/>
      <c r="SB171" s="7"/>
      <c r="SC171" s="7"/>
      <c r="SD171" s="7"/>
      <c r="SE171" s="7"/>
      <c r="SF171" s="7"/>
      <c r="SG171" s="7"/>
      <c r="SH171" s="7"/>
      <c r="SI171" s="7"/>
      <c r="SJ171" s="7"/>
      <c r="SK171" s="7"/>
      <c r="SL171" s="7"/>
      <c r="SM171" s="7"/>
      <c r="SN171" s="7"/>
      <c r="SO171" s="7"/>
      <c r="SP171" s="7"/>
      <c r="SQ171" s="7"/>
      <c r="SR171" s="7"/>
      <c r="SS171" s="7"/>
      <c r="ST171" s="7"/>
      <c r="SU171" s="7"/>
      <c r="SV171" s="7"/>
      <c r="SW171" s="7"/>
      <c r="SX171" s="7"/>
      <c r="SY171" s="7"/>
      <c r="SZ171" s="7"/>
      <c r="TA171" s="7"/>
      <c r="TB171" s="7"/>
      <c r="TC171" s="7"/>
      <c r="TD171" s="7"/>
      <c r="TE171" s="7"/>
      <c r="TF171" s="7"/>
      <c r="TG171" s="7"/>
      <c r="TH171" s="7"/>
      <c r="TI171" s="7"/>
      <c r="TJ171" s="7"/>
      <c r="TK171" s="7"/>
      <c r="TL171" s="7"/>
      <c r="TM171" s="7"/>
      <c r="TN171" s="7"/>
      <c r="TO171" s="7"/>
      <c r="TP171" s="7"/>
      <c r="TQ171" s="7"/>
      <c r="TR171" s="7"/>
      <c r="TS171" s="7"/>
      <c r="TT171" s="7"/>
      <c r="TU171" s="7"/>
      <c r="TV171" s="7"/>
      <c r="TW171" s="7"/>
      <c r="TX171" s="7"/>
      <c r="TY171" s="7"/>
      <c r="TZ171" s="7"/>
      <c r="UA171" s="7"/>
      <c r="UB171" s="7"/>
      <c r="UC171" s="7"/>
      <c r="UD171" s="7"/>
      <c r="UE171" s="7"/>
      <c r="UF171" s="7"/>
      <c r="UG171" s="7"/>
      <c r="UH171" s="7"/>
      <c r="UI171" s="7"/>
      <c r="UJ171" s="7"/>
      <c r="UK171" s="7"/>
      <c r="UL171" s="7"/>
      <c r="UM171" s="7"/>
      <c r="UN171" s="7"/>
      <c r="UO171" s="7"/>
      <c r="UP171" s="7"/>
      <c r="UQ171" s="7"/>
      <c r="UR171" s="7"/>
      <c r="US171" s="7"/>
      <c r="UT171" s="7"/>
      <c r="UU171" s="7"/>
      <c r="UV171" s="7"/>
      <c r="UW171" s="7"/>
      <c r="UX171" s="7"/>
      <c r="UY171" s="7"/>
      <c r="UZ171" s="7"/>
      <c r="VA171" s="7"/>
      <c r="VB171" s="7"/>
      <c r="VC171" s="7"/>
      <c r="VD171" s="7"/>
      <c r="VE171" s="7"/>
      <c r="VF171" s="7"/>
      <c r="VG171" s="7"/>
      <c r="VH171" s="7"/>
      <c r="VI171" s="7"/>
      <c r="VJ171" s="7"/>
      <c r="VK171" s="7"/>
      <c r="VL171" s="7"/>
      <c r="VM171" s="7"/>
      <c r="VN171" s="7"/>
      <c r="VO171" s="7"/>
      <c r="VP171" s="7"/>
      <c r="VQ171" s="7"/>
      <c r="VR171" s="7"/>
      <c r="VS171" s="7"/>
      <c r="VT171" s="7"/>
      <c r="VU171" s="7"/>
      <c r="VV171" s="7"/>
      <c r="VW171" s="7"/>
      <c r="VX171" s="7"/>
      <c r="VY171" s="7"/>
      <c r="VZ171" s="7"/>
      <c r="WA171" s="7"/>
      <c r="WB171" s="7"/>
      <c r="WC171" s="7"/>
      <c r="WD171" s="7"/>
      <c r="WE171" s="7"/>
      <c r="WF171" s="7"/>
      <c r="WG171" s="7"/>
      <c r="WH171" s="7"/>
      <c r="WI171" s="7"/>
      <c r="WJ171" s="7"/>
      <c r="WK171" s="7"/>
      <c r="WL171" s="7"/>
      <c r="WM171" s="7"/>
      <c r="WN171" s="7"/>
      <c r="WO171" s="7"/>
      <c r="WP171" s="7"/>
      <c r="WQ171" s="7"/>
      <c r="WR171" s="7"/>
      <c r="WS171" s="7"/>
      <c r="WT171" s="7"/>
      <c r="WU171" s="7"/>
      <c r="WV171" s="7"/>
      <c r="WW171" s="7"/>
      <c r="WX171" s="7"/>
      <c r="WY171" s="7"/>
      <c r="WZ171" s="7"/>
      <c r="XA171" s="7"/>
      <c r="XB171" s="7"/>
      <c r="XC171" s="7"/>
      <c r="XD171" s="7"/>
      <c r="XE171" s="7"/>
      <c r="XF171" s="7"/>
      <c r="XG171" s="7"/>
      <c r="XH171" s="7"/>
      <c r="XI171" s="7"/>
      <c r="XJ171" s="7"/>
      <c r="XK171" s="7"/>
      <c r="XL171" s="7"/>
      <c r="XM171" s="7"/>
      <c r="XN171" s="7"/>
      <c r="XO171" s="7"/>
      <c r="XP171" s="7"/>
      <c r="XQ171" s="7"/>
      <c r="XR171" s="7"/>
      <c r="XS171" s="7"/>
      <c r="XT171" s="7"/>
      <c r="XU171" s="7"/>
      <c r="XV171" s="7"/>
      <c r="XW171" s="7"/>
      <c r="XX171" s="7"/>
      <c r="XY171" s="7"/>
      <c r="XZ171" s="7"/>
      <c r="YA171" s="7"/>
      <c r="YB171" s="7"/>
      <c r="YC171" s="7"/>
      <c r="YD171" s="7"/>
      <c r="YE171" s="7"/>
      <c r="YF171" s="7"/>
      <c r="YG171" s="7"/>
      <c r="YH171" s="7"/>
      <c r="YI171" s="7"/>
      <c r="YJ171" s="7"/>
      <c r="YK171" s="7"/>
      <c r="YL171" s="7"/>
      <c r="YM171" s="7"/>
      <c r="YN171" s="7"/>
      <c r="YO171" s="7"/>
      <c r="YP171" s="7"/>
      <c r="YQ171" s="7"/>
      <c r="YR171" s="7"/>
      <c r="YS171" s="7"/>
      <c r="YT171" s="7"/>
      <c r="YU171" s="7"/>
      <c r="YV171" s="7"/>
      <c r="YW171" s="7"/>
      <c r="YX171" s="7"/>
      <c r="YY171" s="7"/>
      <c r="YZ171" s="7"/>
      <c r="ZA171" s="7"/>
      <c r="ZB171" s="7"/>
      <c r="ZC171" s="7"/>
      <c r="ZD171" s="7"/>
      <c r="ZE171" s="7"/>
      <c r="ZF171" s="7"/>
      <c r="ZG171" s="7"/>
      <c r="ZH171" s="7"/>
      <c r="ZI171" s="7"/>
      <c r="ZJ171" s="7"/>
      <c r="ZK171" s="7"/>
      <c r="ZL171" s="7"/>
      <c r="ZM171" s="7"/>
      <c r="ZN171" s="7"/>
      <c r="ZO171" s="7"/>
      <c r="ZP171" s="7"/>
      <c r="ZQ171" s="7"/>
      <c r="ZR171" s="7"/>
      <c r="ZS171" s="7"/>
      <c r="ZT171" s="7"/>
      <c r="ZU171" s="7"/>
      <c r="ZV171" s="7"/>
      <c r="ZW171" s="7"/>
      <c r="ZX171" s="7"/>
      <c r="ZY171" s="7"/>
      <c r="ZZ171" s="7"/>
      <c r="AAA171" s="7"/>
      <c r="AAB171" s="7"/>
      <c r="AAC171" s="7"/>
      <c r="AAD171" s="7"/>
      <c r="AAE171" s="7"/>
      <c r="AAF171" s="7"/>
      <c r="AAG171" s="7"/>
      <c r="AAH171" s="7"/>
      <c r="AAI171" s="7"/>
      <c r="AAJ171" s="7"/>
      <c r="AAK171" s="7"/>
      <c r="AAL171" s="7"/>
      <c r="AAM171" s="7"/>
      <c r="AAN171" s="7"/>
      <c r="AAO171" s="7"/>
      <c r="AAP171" s="7"/>
      <c r="AAQ171" s="7"/>
      <c r="AAR171" s="7"/>
      <c r="AAS171" s="7"/>
      <c r="AAT171" s="7"/>
      <c r="AAU171" s="7"/>
      <c r="AAV171" s="7"/>
      <c r="AAW171" s="7"/>
      <c r="AAX171" s="7"/>
      <c r="AAY171" s="7"/>
      <c r="AAZ171" s="7"/>
      <c r="ABA171" s="7"/>
      <c r="ABB171" s="7"/>
      <c r="ABC171" s="7"/>
      <c r="ABD171" s="7"/>
      <c r="ABE171" s="7"/>
      <c r="ABF171" s="7"/>
      <c r="ABG171" s="7"/>
      <c r="ABH171" s="7"/>
      <c r="ABI171" s="7"/>
      <c r="ABJ171" s="7"/>
      <c r="ABK171" s="7"/>
      <c r="ABL171" s="7"/>
      <c r="ABM171" s="7"/>
      <c r="ABN171" s="7"/>
      <c r="ABO171" s="7"/>
      <c r="ABP171" s="7"/>
      <c r="ABQ171" s="7"/>
      <c r="ABR171" s="7"/>
      <c r="ABS171" s="7"/>
      <c r="ABT171" s="7"/>
      <c r="ABU171" s="7"/>
      <c r="ABV171" s="7"/>
      <c r="ABW171" s="7"/>
      <c r="ABX171" s="7"/>
      <c r="ABY171" s="7"/>
      <c r="ABZ171" s="7"/>
      <c r="ACA171" s="7"/>
      <c r="ACB171" s="7"/>
      <c r="ACC171" s="7"/>
      <c r="ACD171" s="7"/>
      <c r="ACE171" s="7"/>
      <c r="ACF171" s="7"/>
      <c r="ACG171" s="7"/>
      <c r="ACH171" s="7"/>
      <c r="ACI171" s="7"/>
      <c r="ACJ171" s="7"/>
      <c r="ACK171" s="7"/>
      <c r="ACL171" s="7"/>
      <c r="ACM171" s="7"/>
      <c r="ACN171" s="7"/>
      <c r="ACO171" s="7"/>
      <c r="ACP171" s="7"/>
      <c r="ACQ171" s="7"/>
      <c r="ACR171" s="7"/>
      <c r="ACS171" s="7"/>
      <c r="ACT171" s="7"/>
      <c r="ACU171" s="7"/>
      <c r="ACV171" s="7"/>
      <c r="ACW171" s="7"/>
      <c r="ACX171" s="7"/>
      <c r="ACY171" s="7"/>
      <c r="ACZ171" s="7"/>
      <c r="ADA171" s="7"/>
      <c r="ADB171" s="7"/>
      <c r="ADC171" s="7"/>
      <c r="ADD171" s="7"/>
      <c r="ADE171" s="7"/>
      <c r="ADF171" s="7"/>
      <c r="ADG171" s="7"/>
      <c r="ADH171" s="7"/>
      <c r="ADI171" s="7"/>
      <c r="ADJ171" s="7"/>
      <c r="ADK171" s="7"/>
      <c r="ADL171" s="7"/>
      <c r="ADM171" s="7"/>
      <c r="ADN171" s="7"/>
      <c r="ADO171" s="7"/>
      <c r="ADP171" s="7"/>
      <c r="ADQ171" s="7"/>
      <c r="ADR171" s="7"/>
      <c r="ADS171" s="7"/>
      <c r="ADT171" s="7"/>
      <c r="ADU171" s="7"/>
      <c r="ADV171" s="7"/>
      <c r="ADW171" s="7"/>
      <c r="ADX171" s="7"/>
      <c r="ADY171" s="7"/>
      <c r="ADZ171" s="7"/>
      <c r="AEA171" s="7"/>
      <c r="AEB171" s="7"/>
      <c r="AEC171" s="7"/>
      <c r="AED171" s="7"/>
      <c r="AEE171" s="7"/>
      <c r="AEF171" s="7"/>
      <c r="AEG171" s="7"/>
      <c r="AEH171" s="7"/>
      <c r="AEI171" s="7"/>
      <c r="AEJ171" s="7"/>
      <c r="AEK171" s="7"/>
      <c r="AEL171" s="7"/>
      <c r="AEM171" s="7"/>
      <c r="AEN171" s="7"/>
      <c r="AEO171" s="7"/>
      <c r="AEP171" s="7"/>
      <c r="AEQ171" s="7"/>
      <c r="AER171" s="7"/>
      <c r="AES171" s="7"/>
      <c r="AET171" s="7"/>
      <c r="AEU171" s="7"/>
      <c r="AEV171" s="7"/>
      <c r="AEW171" s="7"/>
      <c r="AEX171" s="7"/>
      <c r="AEY171" s="7"/>
      <c r="AEZ171" s="7"/>
      <c r="AFA171" s="7"/>
      <c r="AFB171" s="7"/>
      <c r="AFC171" s="7"/>
      <c r="AFD171" s="7"/>
      <c r="AFE171" s="7"/>
      <c r="AFF171" s="7"/>
      <c r="AFG171" s="7"/>
      <c r="AFH171" s="7"/>
      <c r="AFI171" s="7"/>
      <c r="AFJ171" s="7"/>
      <c r="AFK171" s="7"/>
      <c r="AFL171" s="7"/>
      <c r="AFM171" s="7"/>
      <c r="AFN171" s="7"/>
      <c r="AFO171" s="7"/>
      <c r="AFP171" s="7"/>
      <c r="AFQ171" s="7"/>
      <c r="AFR171" s="7"/>
      <c r="AFS171" s="7"/>
      <c r="AFT171" s="7"/>
      <c r="AFU171" s="7"/>
      <c r="AFV171" s="7"/>
      <c r="AFW171" s="7"/>
      <c r="AFX171" s="7"/>
      <c r="AFY171" s="7"/>
      <c r="AFZ171" s="7"/>
      <c r="AGA171" s="7"/>
      <c r="AGB171" s="7"/>
      <c r="AGC171" s="7"/>
      <c r="AGD171" s="7"/>
      <c r="AGE171" s="7"/>
      <c r="AGF171" s="7"/>
      <c r="AGG171" s="7"/>
      <c r="AGH171" s="7"/>
      <c r="AGI171" s="7"/>
      <c r="AGJ171" s="7"/>
      <c r="AGK171" s="7"/>
      <c r="AGL171" s="7"/>
      <c r="AGM171" s="7"/>
      <c r="AGN171" s="7"/>
      <c r="AGO171" s="7"/>
      <c r="AGP171" s="7"/>
      <c r="AGQ171" s="7"/>
      <c r="AGR171" s="7"/>
      <c r="AGS171" s="7"/>
      <c r="AGT171" s="7"/>
      <c r="AGU171" s="7"/>
      <c r="AGV171" s="7"/>
      <c r="AGW171" s="7"/>
      <c r="AGX171" s="7"/>
      <c r="AGY171" s="7"/>
      <c r="AGZ171" s="7"/>
      <c r="AHA171" s="7"/>
      <c r="AHB171" s="7"/>
      <c r="AHC171" s="7"/>
      <c r="AHD171" s="7"/>
      <c r="AHE171" s="7"/>
      <c r="AHF171" s="7"/>
      <c r="AHG171" s="7"/>
      <c r="AHH171" s="7"/>
      <c r="AHI171" s="7"/>
      <c r="AHJ171" s="7"/>
      <c r="AHK171" s="7"/>
      <c r="AHL171" s="7"/>
      <c r="AHM171" s="7"/>
      <c r="AHN171" s="7"/>
      <c r="AHO171" s="7"/>
      <c r="AHP171" s="7"/>
      <c r="AHQ171" s="7"/>
      <c r="AHR171" s="7"/>
      <c r="AHS171" s="7"/>
      <c r="AHT171" s="7"/>
      <c r="AHU171" s="7"/>
      <c r="AHV171" s="7"/>
      <c r="AHW171" s="7"/>
      <c r="AHX171" s="7"/>
      <c r="AHY171" s="7"/>
      <c r="AHZ171" s="7"/>
      <c r="AIA171" s="7"/>
      <c r="AIB171" s="7"/>
      <c r="AIC171" s="7"/>
      <c r="AID171" s="7"/>
      <c r="AIE171" s="7"/>
      <c r="AIF171" s="7"/>
      <c r="AIG171" s="7"/>
      <c r="AIH171" s="7"/>
      <c r="AII171" s="7"/>
      <c r="AIJ171" s="7"/>
      <c r="AIK171" s="7"/>
      <c r="AIL171" s="7"/>
      <c r="AIM171" s="7"/>
      <c r="AIN171" s="7"/>
      <c r="AIO171" s="7"/>
      <c r="AIP171" s="7"/>
      <c r="AIQ171" s="7"/>
      <c r="AIR171" s="7"/>
      <c r="AIS171" s="7"/>
      <c r="AIT171" s="7"/>
      <c r="AIU171" s="7"/>
      <c r="AIV171" s="7"/>
      <c r="AIW171" s="7"/>
      <c r="AIX171" s="7"/>
      <c r="AIY171" s="7"/>
      <c r="AIZ171" s="7"/>
      <c r="AJA171" s="7"/>
      <c r="AJB171" s="7"/>
      <c r="AJC171" s="7"/>
      <c r="AJD171" s="7"/>
      <c r="AJE171" s="7"/>
      <c r="AJF171" s="7"/>
      <c r="AJG171" s="7"/>
      <c r="AJH171" s="7"/>
      <c r="AJI171" s="7"/>
      <c r="AJJ171" s="7"/>
      <c r="AJK171" s="7"/>
      <c r="AJL171" s="7"/>
      <c r="AJM171" s="7"/>
      <c r="AJN171" s="7"/>
      <c r="AJO171" s="7"/>
      <c r="AJP171" s="7"/>
      <c r="AJQ171" s="7"/>
      <c r="AJR171" s="7"/>
      <c r="AJS171" s="7"/>
      <c r="AJT171" s="7"/>
      <c r="AJU171" s="7"/>
      <c r="AJV171" s="7"/>
      <c r="AJW171" s="7"/>
      <c r="AJX171" s="7"/>
      <c r="AJY171" s="7"/>
      <c r="AJZ171" s="7"/>
      <c r="AKA171" s="7"/>
      <c r="AKB171" s="7"/>
      <c r="AKC171" s="7"/>
      <c r="AKD171" s="7"/>
      <c r="AKE171" s="7"/>
      <c r="AKF171" s="7"/>
      <c r="AKG171" s="7"/>
      <c r="AKH171" s="7"/>
      <c r="AKI171" s="7"/>
      <c r="AKJ171" s="7"/>
      <c r="AKK171" s="7"/>
      <c r="AKL171" s="7"/>
      <c r="AKM171" s="7"/>
      <c r="AKN171" s="7"/>
      <c r="AKO171" s="7"/>
      <c r="AKP171" s="7"/>
      <c r="AKQ171" s="7"/>
      <c r="AKR171" s="7"/>
      <c r="AKS171" s="7"/>
      <c r="AKT171" s="7"/>
      <c r="AKU171" s="7"/>
      <c r="AKV171" s="7"/>
      <c r="AKW171" s="7"/>
      <c r="AKX171" s="7"/>
      <c r="AKY171" s="7"/>
      <c r="AKZ171" s="7"/>
      <c r="ALA171" s="7"/>
      <c r="ALB171" s="7"/>
      <c r="ALC171" s="7"/>
      <c r="ALD171" s="7"/>
      <c r="ALE171" s="7"/>
      <c r="ALF171" s="7"/>
      <c r="ALG171" s="7"/>
      <c r="ALH171" s="7"/>
      <c r="ALI171" s="7"/>
      <c r="ALJ171" s="7"/>
      <c r="ALK171" s="7"/>
      <c r="ALL171" s="7"/>
      <c r="ALM171" s="7"/>
      <c r="ALN171" s="7"/>
      <c r="ALO171" s="7"/>
      <c r="ALP171" s="7"/>
      <c r="ALQ171" s="7"/>
      <c r="ALR171" s="7"/>
      <c r="ALS171" s="7"/>
      <c r="ALT171" s="7"/>
      <c r="ALU171" s="7"/>
      <c r="ALV171" s="7"/>
      <c r="ALW171" s="7"/>
      <c r="ALX171" s="7"/>
      <c r="ALY171" s="7"/>
      <c r="ALZ171" s="7"/>
      <c r="AMA171" s="7"/>
      <c r="AMB171" s="7"/>
      <c r="AMC171" s="7"/>
      <c r="AMD171" s="7"/>
      <c r="AME171" s="7"/>
      <c r="AMF171" s="7"/>
      <c r="AMG171" s="7"/>
      <c r="AMH171" s="7"/>
      <c r="AMI171" s="7"/>
      <c r="AMJ171" s="7"/>
    </row>
    <row r="172" customFormat="false" ht="15.75" hidden="false" customHeight="true" outlineLevel="0" collapsed="false">
      <c r="A172" s="7"/>
      <c r="B172" s="7"/>
      <c r="C172" s="279" t="s">
        <v>57</v>
      </c>
      <c r="D172" s="280" t="n">
        <f aca="false">D145+D144+D143+D109+D108+D107+D56+D55</f>
        <v>315</v>
      </c>
      <c r="E172" s="281" t="n">
        <f aca="false">F142+F106+F54</f>
        <v>15</v>
      </c>
      <c r="F172" s="149"/>
      <c r="G172" s="272"/>
      <c r="H172" s="24"/>
      <c r="I172" s="279" t="s">
        <v>57</v>
      </c>
      <c r="J172" s="280" t="n">
        <f aca="false">J145+J144+J143+J107+J106+J105+D56+D55</f>
        <v>315</v>
      </c>
      <c r="K172" s="281" t="n">
        <f aca="false">F54+L104+L142</f>
        <v>15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OV172" s="7"/>
      <c r="OW172" s="7"/>
      <c r="OX172" s="7"/>
      <c r="OY172" s="7"/>
      <c r="OZ172" s="7"/>
      <c r="PA172" s="7"/>
      <c r="PB172" s="7"/>
      <c r="PC172" s="7"/>
      <c r="PD172" s="7"/>
      <c r="PE172" s="7"/>
      <c r="PF172" s="7"/>
      <c r="PG172" s="7"/>
      <c r="PH172" s="7"/>
      <c r="PI172" s="7"/>
      <c r="PJ172" s="7"/>
      <c r="PK172" s="7"/>
      <c r="PL172" s="7"/>
      <c r="PM172" s="7"/>
      <c r="PN172" s="7"/>
      <c r="PO172" s="7"/>
      <c r="PP172" s="7"/>
      <c r="PQ172" s="7"/>
      <c r="PR172" s="7"/>
      <c r="PS172" s="7"/>
      <c r="PT172" s="7"/>
      <c r="PU172" s="7"/>
      <c r="PV172" s="7"/>
      <c r="PW172" s="7"/>
      <c r="PX172" s="7"/>
      <c r="PY172" s="7"/>
      <c r="PZ172" s="7"/>
      <c r="QA172" s="7"/>
      <c r="QB172" s="7"/>
      <c r="QC172" s="7"/>
      <c r="QD172" s="7"/>
      <c r="QE172" s="7"/>
      <c r="QF172" s="7"/>
      <c r="QG172" s="7"/>
      <c r="QH172" s="7"/>
      <c r="QI172" s="7"/>
      <c r="QJ172" s="7"/>
      <c r="QK172" s="7"/>
      <c r="QL172" s="7"/>
      <c r="QM172" s="7"/>
      <c r="QN172" s="7"/>
      <c r="QO172" s="7"/>
      <c r="QP172" s="7"/>
      <c r="QQ172" s="7"/>
      <c r="QR172" s="7"/>
      <c r="QS172" s="7"/>
      <c r="QT172" s="7"/>
      <c r="QU172" s="7"/>
      <c r="QV172" s="7"/>
      <c r="QW172" s="7"/>
      <c r="QX172" s="7"/>
      <c r="QY172" s="7"/>
      <c r="QZ172" s="7"/>
      <c r="RA172" s="7"/>
      <c r="RB172" s="7"/>
      <c r="RC172" s="7"/>
      <c r="RD172" s="7"/>
      <c r="RE172" s="7"/>
      <c r="RF172" s="7"/>
      <c r="RG172" s="7"/>
      <c r="RH172" s="7"/>
      <c r="RI172" s="7"/>
      <c r="RJ172" s="7"/>
      <c r="RK172" s="7"/>
      <c r="RL172" s="7"/>
      <c r="RM172" s="7"/>
      <c r="RN172" s="7"/>
      <c r="RO172" s="7"/>
      <c r="RP172" s="7"/>
      <c r="RQ172" s="7"/>
      <c r="RR172" s="7"/>
      <c r="RS172" s="7"/>
      <c r="RT172" s="7"/>
      <c r="RU172" s="7"/>
      <c r="RV172" s="7"/>
      <c r="RW172" s="7"/>
      <c r="RX172" s="7"/>
      <c r="RY172" s="7"/>
      <c r="RZ172" s="7"/>
      <c r="SA172" s="7"/>
      <c r="SB172" s="7"/>
      <c r="SC172" s="7"/>
      <c r="SD172" s="7"/>
      <c r="SE172" s="7"/>
      <c r="SF172" s="7"/>
      <c r="SG172" s="7"/>
      <c r="SH172" s="7"/>
      <c r="SI172" s="7"/>
      <c r="SJ172" s="7"/>
      <c r="SK172" s="7"/>
      <c r="SL172" s="7"/>
      <c r="SM172" s="7"/>
      <c r="SN172" s="7"/>
      <c r="SO172" s="7"/>
      <c r="SP172" s="7"/>
      <c r="SQ172" s="7"/>
      <c r="SR172" s="7"/>
      <c r="SS172" s="7"/>
      <c r="ST172" s="7"/>
      <c r="SU172" s="7"/>
      <c r="SV172" s="7"/>
      <c r="SW172" s="7"/>
      <c r="SX172" s="7"/>
      <c r="SY172" s="7"/>
      <c r="SZ172" s="7"/>
      <c r="TA172" s="7"/>
      <c r="TB172" s="7"/>
      <c r="TC172" s="7"/>
      <c r="TD172" s="7"/>
      <c r="TE172" s="7"/>
      <c r="TF172" s="7"/>
      <c r="TG172" s="7"/>
      <c r="TH172" s="7"/>
      <c r="TI172" s="7"/>
      <c r="TJ172" s="7"/>
      <c r="TK172" s="7"/>
      <c r="TL172" s="7"/>
      <c r="TM172" s="7"/>
      <c r="TN172" s="7"/>
      <c r="TO172" s="7"/>
      <c r="TP172" s="7"/>
      <c r="TQ172" s="7"/>
      <c r="TR172" s="7"/>
      <c r="TS172" s="7"/>
      <c r="TT172" s="7"/>
      <c r="TU172" s="7"/>
      <c r="TV172" s="7"/>
      <c r="TW172" s="7"/>
      <c r="TX172" s="7"/>
      <c r="TY172" s="7"/>
      <c r="TZ172" s="7"/>
      <c r="UA172" s="7"/>
      <c r="UB172" s="7"/>
      <c r="UC172" s="7"/>
      <c r="UD172" s="7"/>
      <c r="UE172" s="7"/>
      <c r="UF172" s="7"/>
      <c r="UG172" s="7"/>
      <c r="UH172" s="7"/>
      <c r="UI172" s="7"/>
      <c r="UJ172" s="7"/>
      <c r="UK172" s="7"/>
      <c r="UL172" s="7"/>
      <c r="UM172" s="7"/>
      <c r="UN172" s="7"/>
      <c r="UO172" s="7"/>
      <c r="UP172" s="7"/>
      <c r="UQ172" s="7"/>
      <c r="UR172" s="7"/>
      <c r="US172" s="7"/>
      <c r="UT172" s="7"/>
      <c r="UU172" s="7"/>
      <c r="UV172" s="7"/>
      <c r="UW172" s="7"/>
      <c r="UX172" s="7"/>
      <c r="UY172" s="7"/>
      <c r="UZ172" s="7"/>
      <c r="VA172" s="7"/>
      <c r="VB172" s="7"/>
      <c r="VC172" s="7"/>
      <c r="VD172" s="7"/>
      <c r="VE172" s="7"/>
      <c r="VF172" s="7"/>
      <c r="VG172" s="7"/>
      <c r="VH172" s="7"/>
      <c r="VI172" s="7"/>
      <c r="VJ172" s="7"/>
      <c r="VK172" s="7"/>
      <c r="VL172" s="7"/>
      <c r="VM172" s="7"/>
      <c r="VN172" s="7"/>
      <c r="VO172" s="7"/>
      <c r="VP172" s="7"/>
      <c r="VQ172" s="7"/>
      <c r="VR172" s="7"/>
      <c r="VS172" s="7"/>
      <c r="VT172" s="7"/>
      <c r="VU172" s="7"/>
      <c r="VV172" s="7"/>
      <c r="VW172" s="7"/>
      <c r="VX172" s="7"/>
      <c r="VY172" s="7"/>
      <c r="VZ172" s="7"/>
      <c r="WA172" s="7"/>
      <c r="WB172" s="7"/>
      <c r="WC172" s="7"/>
      <c r="WD172" s="7"/>
      <c r="WE172" s="7"/>
      <c r="WF172" s="7"/>
      <c r="WG172" s="7"/>
      <c r="WH172" s="7"/>
      <c r="WI172" s="7"/>
      <c r="WJ172" s="7"/>
      <c r="WK172" s="7"/>
      <c r="WL172" s="7"/>
      <c r="WM172" s="7"/>
      <c r="WN172" s="7"/>
      <c r="WO172" s="7"/>
      <c r="WP172" s="7"/>
      <c r="WQ172" s="7"/>
      <c r="WR172" s="7"/>
      <c r="WS172" s="7"/>
      <c r="WT172" s="7"/>
      <c r="WU172" s="7"/>
      <c r="WV172" s="7"/>
      <c r="WW172" s="7"/>
      <c r="WX172" s="7"/>
      <c r="WY172" s="7"/>
      <c r="WZ172" s="7"/>
      <c r="XA172" s="7"/>
      <c r="XB172" s="7"/>
      <c r="XC172" s="7"/>
      <c r="XD172" s="7"/>
      <c r="XE172" s="7"/>
      <c r="XF172" s="7"/>
      <c r="XG172" s="7"/>
      <c r="XH172" s="7"/>
      <c r="XI172" s="7"/>
      <c r="XJ172" s="7"/>
      <c r="XK172" s="7"/>
      <c r="XL172" s="7"/>
      <c r="XM172" s="7"/>
      <c r="XN172" s="7"/>
      <c r="XO172" s="7"/>
      <c r="XP172" s="7"/>
      <c r="XQ172" s="7"/>
      <c r="XR172" s="7"/>
      <c r="XS172" s="7"/>
      <c r="XT172" s="7"/>
      <c r="XU172" s="7"/>
      <c r="XV172" s="7"/>
      <c r="XW172" s="7"/>
      <c r="XX172" s="7"/>
      <c r="XY172" s="7"/>
      <c r="XZ172" s="7"/>
      <c r="YA172" s="7"/>
      <c r="YB172" s="7"/>
      <c r="YC172" s="7"/>
      <c r="YD172" s="7"/>
      <c r="YE172" s="7"/>
      <c r="YF172" s="7"/>
      <c r="YG172" s="7"/>
      <c r="YH172" s="7"/>
      <c r="YI172" s="7"/>
      <c r="YJ172" s="7"/>
      <c r="YK172" s="7"/>
      <c r="YL172" s="7"/>
      <c r="YM172" s="7"/>
      <c r="YN172" s="7"/>
      <c r="YO172" s="7"/>
      <c r="YP172" s="7"/>
      <c r="YQ172" s="7"/>
      <c r="YR172" s="7"/>
      <c r="YS172" s="7"/>
      <c r="YT172" s="7"/>
      <c r="YU172" s="7"/>
      <c r="YV172" s="7"/>
      <c r="YW172" s="7"/>
      <c r="YX172" s="7"/>
      <c r="YY172" s="7"/>
      <c r="YZ172" s="7"/>
      <c r="ZA172" s="7"/>
      <c r="ZB172" s="7"/>
      <c r="ZC172" s="7"/>
      <c r="ZD172" s="7"/>
      <c r="ZE172" s="7"/>
      <c r="ZF172" s="7"/>
      <c r="ZG172" s="7"/>
      <c r="ZH172" s="7"/>
      <c r="ZI172" s="7"/>
      <c r="ZJ172" s="7"/>
      <c r="ZK172" s="7"/>
      <c r="ZL172" s="7"/>
      <c r="ZM172" s="7"/>
      <c r="ZN172" s="7"/>
      <c r="ZO172" s="7"/>
      <c r="ZP172" s="7"/>
      <c r="ZQ172" s="7"/>
      <c r="ZR172" s="7"/>
      <c r="ZS172" s="7"/>
      <c r="ZT172" s="7"/>
      <c r="ZU172" s="7"/>
      <c r="ZV172" s="7"/>
      <c r="ZW172" s="7"/>
      <c r="ZX172" s="7"/>
      <c r="ZY172" s="7"/>
      <c r="ZZ172" s="7"/>
      <c r="AAA172" s="7"/>
      <c r="AAB172" s="7"/>
      <c r="AAC172" s="7"/>
      <c r="AAD172" s="7"/>
      <c r="AAE172" s="7"/>
      <c r="AAF172" s="7"/>
      <c r="AAG172" s="7"/>
      <c r="AAH172" s="7"/>
      <c r="AAI172" s="7"/>
      <c r="AAJ172" s="7"/>
      <c r="AAK172" s="7"/>
      <c r="AAL172" s="7"/>
      <c r="AAM172" s="7"/>
      <c r="AAN172" s="7"/>
      <c r="AAO172" s="7"/>
      <c r="AAP172" s="7"/>
      <c r="AAQ172" s="7"/>
      <c r="AAR172" s="7"/>
      <c r="AAS172" s="7"/>
      <c r="AAT172" s="7"/>
      <c r="AAU172" s="7"/>
      <c r="AAV172" s="7"/>
      <c r="AAW172" s="7"/>
      <c r="AAX172" s="7"/>
      <c r="AAY172" s="7"/>
      <c r="AAZ172" s="7"/>
      <c r="ABA172" s="7"/>
      <c r="ABB172" s="7"/>
      <c r="ABC172" s="7"/>
      <c r="ABD172" s="7"/>
      <c r="ABE172" s="7"/>
      <c r="ABF172" s="7"/>
      <c r="ABG172" s="7"/>
      <c r="ABH172" s="7"/>
      <c r="ABI172" s="7"/>
      <c r="ABJ172" s="7"/>
      <c r="ABK172" s="7"/>
      <c r="ABL172" s="7"/>
      <c r="ABM172" s="7"/>
      <c r="ABN172" s="7"/>
      <c r="ABO172" s="7"/>
      <c r="ABP172" s="7"/>
      <c r="ABQ172" s="7"/>
      <c r="ABR172" s="7"/>
      <c r="ABS172" s="7"/>
      <c r="ABT172" s="7"/>
      <c r="ABU172" s="7"/>
      <c r="ABV172" s="7"/>
      <c r="ABW172" s="7"/>
      <c r="ABX172" s="7"/>
      <c r="ABY172" s="7"/>
      <c r="ABZ172" s="7"/>
      <c r="ACA172" s="7"/>
      <c r="ACB172" s="7"/>
      <c r="ACC172" s="7"/>
      <c r="ACD172" s="7"/>
      <c r="ACE172" s="7"/>
      <c r="ACF172" s="7"/>
      <c r="ACG172" s="7"/>
      <c r="ACH172" s="7"/>
      <c r="ACI172" s="7"/>
      <c r="ACJ172" s="7"/>
      <c r="ACK172" s="7"/>
      <c r="ACL172" s="7"/>
      <c r="ACM172" s="7"/>
      <c r="ACN172" s="7"/>
      <c r="ACO172" s="7"/>
      <c r="ACP172" s="7"/>
      <c r="ACQ172" s="7"/>
      <c r="ACR172" s="7"/>
      <c r="ACS172" s="7"/>
      <c r="ACT172" s="7"/>
      <c r="ACU172" s="7"/>
      <c r="ACV172" s="7"/>
      <c r="ACW172" s="7"/>
      <c r="ACX172" s="7"/>
      <c r="ACY172" s="7"/>
      <c r="ACZ172" s="7"/>
      <c r="ADA172" s="7"/>
      <c r="ADB172" s="7"/>
      <c r="ADC172" s="7"/>
      <c r="ADD172" s="7"/>
      <c r="ADE172" s="7"/>
      <c r="ADF172" s="7"/>
      <c r="ADG172" s="7"/>
      <c r="ADH172" s="7"/>
      <c r="ADI172" s="7"/>
      <c r="ADJ172" s="7"/>
      <c r="ADK172" s="7"/>
      <c r="ADL172" s="7"/>
      <c r="ADM172" s="7"/>
      <c r="ADN172" s="7"/>
      <c r="ADO172" s="7"/>
      <c r="ADP172" s="7"/>
      <c r="ADQ172" s="7"/>
      <c r="ADR172" s="7"/>
      <c r="ADS172" s="7"/>
      <c r="ADT172" s="7"/>
      <c r="ADU172" s="7"/>
      <c r="ADV172" s="7"/>
      <c r="ADW172" s="7"/>
      <c r="ADX172" s="7"/>
      <c r="ADY172" s="7"/>
      <c r="ADZ172" s="7"/>
      <c r="AEA172" s="7"/>
      <c r="AEB172" s="7"/>
      <c r="AEC172" s="7"/>
      <c r="AED172" s="7"/>
      <c r="AEE172" s="7"/>
      <c r="AEF172" s="7"/>
      <c r="AEG172" s="7"/>
      <c r="AEH172" s="7"/>
      <c r="AEI172" s="7"/>
      <c r="AEJ172" s="7"/>
      <c r="AEK172" s="7"/>
      <c r="AEL172" s="7"/>
      <c r="AEM172" s="7"/>
      <c r="AEN172" s="7"/>
      <c r="AEO172" s="7"/>
      <c r="AEP172" s="7"/>
      <c r="AEQ172" s="7"/>
      <c r="AER172" s="7"/>
      <c r="AES172" s="7"/>
      <c r="AET172" s="7"/>
      <c r="AEU172" s="7"/>
      <c r="AEV172" s="7"/>
      <c r="AEW172" s="7"/>
      <c r="AEX172" s="7"/>
      <c r="AEY172" s="7"/>
      <c r="AEZ172" s="7"/>
      <c r="AFA172" s="7"/>
      <c r="AFB172" s="7"/>
      <c r="AFC172" s="7"/>
      <c r="AFD172" s="7"/>
      <c r="AFE172" s="7"/>
      <c r="AFF172" s="7"/>
      <c r="AFG172" s="7"/>
      <c r="AFH172" s="7"/>
      <c r="AFI172" s="7"/>
      <c r="AFJ172" s="7"/>
      <c r="AFK172" s="7"/>
      <c r="AFL172" s="7"/>
      <c r="AFM172" s="7"/>
      <c r="AFN172" s="7"/>
      <c r="AFO172" s="7"/>
      <c r="AFP172" s="7"/>
      <c r="AFQ172" s="7"/>
      <c r="AFR172" s="7"/>
      <c r="AFS172" s="7"/>
      <c r="AFT172" s="7"/>
      <c r="AFU172" s="7"/>
      <c r="AFV172" s="7"/>
      <c r="AFW172" s="7"/>
      <c r="AFX172" s="7"/>
      <c r="AFY172" s="7"/>
      <c r="AFZ172" s="7"/>
      <c r="AGA172" s="7"/>
      <c r="AGB172" s="7"/>
      <c r="AGC172" s="7"/>
      <c r="AGD172" s="7"/>
      <c r="AGE172" s="7"/>
      <c r="AGF172" s="7"/>
      <c r="AGG172" s="7"/>
      <c r="AGH172" s="7"/>
      <c r="AGI172" s="7"/>
      <c r="AGJ172" s="7"/>
      <c r="AGK172" s="7"/>
      <c r="AGL172" s="7"/>
      <c r="AGM172" s="7"/>
      <c r="AGN172" s="7"/>
      <c r="AGO172" s="7"/>
      <c r="AGP172" s="7"/>
      <c r="AGQ172" s="7"/>
      <c r="AGR172" s="7"/>
      <c r="AGS172" s="7"/>
      <c r="AGT172" s="7"/>
      <c r="AGU172" s="7"/>
      <c r="AGV172" s="7"/>
      <c r="AGW172" s="7"/>
      <c r="AGX172" s="7"/>
      <c r="AGY172" s="7"/>
      <c r="AGZ172" s="7"/>
      <c r="AHA172" s="7"/>
      <c r="AHB172" s="7"/>
      <c r="AHC172" s="7"/>
      <c r="AHD172" s="7"/>
      <c r="AHE172" s="7"/>
      <c r="AHF172" s="7"/>
      <c r="AHG172" s="7"/>
      <c r="AHH172" s="7"/>
      <c r="AHI172" s="7"/>
      <c r="AHJ172" s="7"/>
      <c r="AHK172" s="7"/>
      <c r="AHL172" s="7"/>
      <c r="AHM172" s="7"/>
      <c r="AHN172" s="7"/>
      <c r="AHO172" s="7"/>
      <c r="AHP172" s="7"/>
      <c r="AHQ172" s="7"/>
      <c r="AHR172" s="7"/>
      <c r="AHS172" s="7"/>
      <c r="AHT172" s="7"/>
      <c r="AHU172" s="7"/>
      <c r="AHV172" s="7"/>
      <c r="AHW172" s="7"/>
      <c r="AHX172" s="7"/>
      <c r="AHY172" s="7"/>
      <c r="AHZ172" s="7"/>
      <c r="AIA172" s="7"/>
      <c r="AIB172" s="7"/>
      <c r="AIC172" s="7"/>
      <c r="AID172" s="7"/>
      <c r="AIE172" s="7"/>
      <c r="AIF172" s="7"/>
      <c r="AIG172" s="7"/>
      <c r="AIH172" s="7"/>
      <c r="AII172" s="7"/>
      <c r="AIJ172" s="7"/>
      <c r="AIK172" s="7"/>
      <c r="AIL172" s="7"/>
      <c r="AIM172" s="7"/>
      <c r="AIN172" s="7"/>
      <c r="AIO172" s="7"/>
      <c r="AIP172" s="7"/>
      <c r="AIQ172" s="7"/>
      <c r="AIR172" s="7"/>
      <c r="AIS172" s="7"/>
      <c r="AIT172" s="7"/>
      <c r="AIU172" s="7"/>
      <c r="AIV172" s="7"/>
      <c r="AIW172" s="7"/>
      <c r="AIX172" s="7"/>
      <c r="AIY172" s="7"/>
      <c r="AIZ172" s="7"/>
      <c r="AJA172" s="7"/>
      <c r="AJB172" s="7"/>
      <c r="AJC172" s="7"/>
      <c r="AJD172" s="7"/>
      <c r="AJE172" s="7"/>
      <c r="AJF172" s="7"/>
      <c r="AJG172" s="7"/>
      <c r="AJH172" s="7"/>
      <c r="AJI172" s="7"/>
      <c r="AJJ172" s="7"/>
      <c r="AJK172" s="7"/>
      <c r="AJL172" s="7"/>
      <c r="AJM172" s="7"/>
      <c r="AJN172" s="7"/>
      <c r="AJO172" s="7"/>
      <c r="AJP172" s="7"/>
      <c r="AJQ172" s="7"/>
      <c r="AJR172" s="7"/>
      <c r="AJS172" s="7"/>
      <c r="AJT172" s="7"/>
      <c r="AJU172" s="7"/>
      <c r="AJV172" s="7"/>
      <c r="AJW172" s="7"/>
      <c r="AJX172" s="7"/>
      <c r="AJY172" s="7"/>
      <c r="AJZ172" s="7"/>
      <c r="AKA172" s="7"/>
      <c r="AKB172" s="7"/>
      <c r="AKC172" s="7"/>
      <c r="AKD172" s="7"/>
      <c r="AKE172" s="7"/>
      <c r="AKF172" s="7"/>
      <c r="AKG172" s="7"/>
      <c r="AKH172" s="7"/>
      <c r="AKI172" s="7"/>
      <c r="AKJ172" s="7"/>
      <c r="AKK172" s="7"/>
      <c r="AKL172" s="7"/>
      <c r="AKM172" s="7"/>
      <c r="AKN172" s="7"/>
      <c r="AKO172" s="7"/>
      <c r="AKP172" s="7"/>
      <c r="AKQ172" s="7"/>
      <c r="AKR172" s="7"/>
      <c r="AKS172" s="7"/>
      <c r="AKT172" s="7"/>
      <c r="AKU172" s="7"/>
      <c r="AKV172" s="7"/>
      <c r="AKW172" s="7"/>
      <c r="AKX172" s="7"/>
      <c r="AKY172" s="7"/>
      <c r="AKZ172" s="7"/>
      <c r="ALA172" s="7"/>
      <c r="ALB172" s="7"/>
      <c r="ALC172" s="7"/>
      <c r="ALD172" s="7"/>
      <c r="ALE172" s="7"/>
      <c r="ALF172" s="7"/>
      <c r="ALG172" s="7"/>
      <c r="ALH172" s="7"/>
      <c r="ALI172" s="7"/>
      <c r="ALJ172" s="7"/>
      <c r="ALK172" s="7"/>
      <c r="ALL172" s="7"/>
      <c r="ALM172" s="7"/>
      <c r="ALN172" s="7"/>
      <c r="ALO172" s="7"/>
      <c r="ALP172" s="7"/>
      <c r="ALQ172" s="7"/>
      <c r="ALR172" s="7"/>
      <c r="ALS172" s="7"/>
      <c r="ALT172" s="7"/>
      <c r="ALU172" s="7"/>
      <c r="ALV172" s="7"/>
      <c r="ALW172" s="7"/>
      <c r="ALX172" s="7"/>
      <c r="ALY172" s="7"/>
      <c r="ALZ172" s="7"/>
      <c r="AMA172" s="7"/>
      <c r="AMB172" s="7"/>
      <c r="AMC172" s="7"/>
      <c r="AMD172" s="7"/>
      <c r="AME172" s="7"/>
      <c r="AMF172" s="7"/>
      <c r="AMG172" s="7"/>
      <c r="AMH172" s="7"/>
      <c r="AMI172" s="7"/>
      <c r="AMJ172" s="7"/>
    </row>
    <row r="173" customFormat="false" ht="15.75" hidden="false" customHeight="true" outlineLevel="0" collapsed="false">
      <c r="A173" s="7"/>
      <c r="B173" s="7"/>
      <c r="C173" s="282" t="s">
        <v>190</v>
      </c>
      <c r="D173" s="283" t="n">
        <f aca="false">SUM(D169:D172)</f>
        <v>1019</v>
      </c>
      <c r="E173" s="283" t="n">
        <f aca="false">SUM(E169:E172)</f>
        <v>52</v>
      </c>
      <c r="F173" s="149"/>
      <c r="G173" s="272"/>
      <c r="H173" s="24"/>
      <c r="I173" s="282" t="s">
        <v>190</v>
      </c>
      <c r="J173" s="284" t="n">
        <f aca="false">J169+J170+J171+J172</f>
        <v>1019</v>
      </c>
      <c r="K173" s="285" t="n">
        <f aca="false">K169+K170+K171+K172</f>
        <v>52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  <c r="OV173" s="7"/>
      <c r="OW173" s="7"/>
      <c r="OX173" s="7"/>
      <c r="OY173" s="7"/>
      <c r="OZ173" s="7"/>
      <c r="PA173" s="7"/>
      <c r="PB173" s="7"/>
      <c r="PC173" s="7"/>
      <c r="PD173" s="7"/>
      <c r="PE173" s="7"/>
      <c r="PF173" s="7"/>
      <c r="PG173" s="7"/>
      <c r="PH173" s="7"/>
      <c r="PI173" s="7"/>
      <c r="PJ173" s="7"/>
      <c r="PK173" s="7"/>
      <c r="PL173" s="7"/>
      <c r="PM173" s="7"/>
      <c r="PN173" s="7"/>
      <c r="PO173" s="7"/>
      <c r="PP173" s="7"/>
      <c r="PQ173" s="7"/>
      <c r="PR173" s="7"/>
      <c r="PS173" s="7"/>
      <c r="PT173" s="7"/>
      <c r="PU173" s="7"/>
      <c r="PV173" s="7"/>
      <c r="PW173" s="7"/>
      <c r="PX173" s="7"/>
      <c r="PY173" s="7"/>
      <c r="PZ173" s="7"/>
      <c r="QA173" s="7"/>
      <c r="QB173" s="7"/>
      <c r="QC173" s="7"/>
      <c r="QD173" s="7"/>
      <c r="QE173" s="7"/>
      <c r="QF173" s="7"/>
      <c r="QG173" s="7"/>
      <c r="QH173" s="7"/>
      <c r="QI173" s="7"/>
      <c r="QJ173" s="7"/>
      <c r="QK173" s="7"/>
      <c r="QL173" s="7"/>
      <c r="QM173" s="7"/>
      <c r="QN173" s="7"/>
      <c r="QO173" s="7"/>
      <c r="QP173" s="7"/>
      <c r="QQ173" s="7"/>
      <c r="QR173" s="7"/>
      <c r="QS173" s="7"/>
      <c r="QT173" s="7"/>
      <c r="QU173" s="7"/>
      <c r="QV173" s="7"/>
      <c r="QW173" s="7"/>
      <c r="QX173" s="7"/>
      <c r="QY173" s="7"/>
      <c r="QZ173" s="7"/>
      <c r="RA173" s="7"/>
      <c r="RB173" s="7"/>
      <c r="RC173" s="7"/>
      <c r="RD173" s="7"/>
      <c r="RE173" s="7"/>
      <c r="RF173" s="7"/>
      <c r="RG173" s="7"/>
      <c r="RH173" s="7"/>
      <c r="RI173" s="7"/>
      <c r="RJ173" s="7"/>
      <c r="RK173" s="7"/>
      <c r="RL173" s="7"/>
      <c r="RM173" s="7"/>
      <c r="RN173" s="7"/>
      <c r="RO173" s="7"/>
      <c r="RP173" s="7"/>
      <c r="RQ173" s="7"/>
      <c r="RR173" s="7"/>
      <c r="RS173" s="7"/>
      <c r="RT173" s="7"/>
      <c r="RU173" s="7"/>
      <c r="RV173" s="7"/>
      <c r="RW173" s="7"/>
      <c r="RX173" s="7"/>
      <c r="RY173" s="7"/>
      <c r="RZ173" s="7"/>
      <c r="SA173" s="7"/>
      <c r="SB173" s="7"/>
      <c r="SC173" s="7"/>
      <c r="SD173" s="7"/>
      <c r="SE173" s="7"/>
      <c r="SF173" s="7"/>
      <c r="SG173" s="7"/>
      <c r="SH173" s="7"/>
      <c r="SI173" s="7"/>
      <c r="SJ173" s="7"/>
      <c r="SK173" s="7"/>
      <c r="SL173" s="7"/>
      <c r="SM173" s="7"/>
      <c r="SN173" s="7"/>
      <c r="SO173" s="7"/>
      <c r="SP173" s="7"/>
      <c r="SQ173" s="7"/>
      <c r="SR173" s="7"/>
      <c r="SS173" s="7"/>
      <c r="ST173" s="7"/>
      <c r="SU173" s="7"/>
      <c r="SV173" s="7"/>
      <c r="SW173" s="7"/>
      <c r="SX173" s="7"/>
      <c r="SY173" s="7"/>
      <c r="SZ173" s="7"/>
      <c r="TA173" s="7"/>
      <c r="TB173" s="7"/>
      <c r="TC173" s="7"/>
      <c r="TD173" s="7"/>
      <c r="TE173" s="7"/>
      <c r="TF173" s="7"/>
      <c r="TG173" s="7"/>
      <c r="TH173" s="7"/>
      <c r="TI173" s="7"/>
      <c r="TJ173" s="7"/>
      <c r="TK173" s="7"/>
      <c r="TL173" s="7"/>
      <c r="TM173" s="7"/>
      <c r="TN173" s="7"/>
      <c r="TO173" s="7"/>
      <c r="TP173" s="7"/>
      <c r="TQ173" s="7"/>
      <c r="TR173" s="7"/>
      <c r="TS173" s="7"/>
      <c r="TT173" s="7"/>
      <c r="TU173" s="7"/>
      <c r="TV173" s="7"/>
      <c r="TW173" s="7"/>
      <c r="TX173" s="7"/>
      <c r="TY173" s="7"/>
      <c r="TZ173" s="7"/>
      <c r="UA173" s="7"/>
      <c r="UB173" s="7"/>
      <c r="UC173" s="7"/>
      <c r="UD173" s="7"/>
      <c r="UE173" s="7"/>
      <c r="UF173" s="7"/>
      <c r="UG173" s="7"/>
      <c r="UH173" s="7"/>
      <c r="UI173" s="7"/>
      <c r="UJ173" s="7"/>
      <c r="UK173" s="7"/>
      <c r="UL173" s="7"/>
      <c r="UM173" s="7"/>
      <c r="UN173" s="7"/>
      <c r="UO173" s="7"/>
      <c r="UP173" s="7"/>
      <c r="UQ173" s="7"/>
      <c r="UR173" s="7"/>
      <c r="US173" s="7"/>
      <c r="UT173" s="7"/>
      <c r="UU173" s="7"/>
      <c r="UV173" s="7"/>
      <c r="UW173" s="7"/>
      <c r="UX173" s="7"/>
      <c r="UY173" s="7"/>
      <c r="UZ173" s="7"/>
      <c r="VA173" s="7"/>
      <c r="VB173" s="7"/>
      <c r="VC173" s="7"/>
      <c r="VD173" s="7"/>
      <c r="VE173" s="7"/>
      <c r="VF173" s="7"/>
      <c r="VG173" s="7"/>
      <c r="VH173" s="7"/>
      <c r="VI173" s="7"/>
      <c r="VJ173" s="7"/>
      <c r="VK173" s="7"/>
      <c r="VL173" s="7"/>
      <c r="VM173" s="7"/>
      <c r="VN173" s="7"/>
      <c r="VO173" s="7"/>
      <c r="VP173" s="7"/>
      <c r="VQ173" s="7"/>
      <c r="VR173" s="7"/>
      <c r="VS173" s="7"/>
      <c r="VT173" s="7"/>
      <c r="VU173" s="7"/>
      <c r="VV173" s="7"/>
      <c r="VW173" s="7"/>
      <c r="VX173" s="7"/>
      <c r="VY173" s="7"/>
      <c r="VZ173" s="7"/>
      <c r="WA173" s="7"/>
      <c r="WB173" s="7"/>
      <c r="WC173" s="7"/>
      <c r="WD173" s="7"/>
      <c r="WE173" s="7"/>
      <c r="WF173" s="7"/>
      <c r="WG173" s="7"/>
      <c r="WH173" s="7"/>
      <c r="WI173" s="7"/>
      <c r="WJ173" s="7"/>
      <c r="WK173" s="7"/>
      <c r="WL173" s="7"/>
      <c r="WM173" s="7"/>
      <c r="WN173" s="7"/>
      <c r="WO173" s="7"/>
      <c r="WP173" s="7"/>
      <c r="WQ173" s="7"/>
      <c r="WR173" s="7"/>
      <c r="WS173" s="7"/>
      <c r="WT173" s="7"/>
      <c r="WU173" s="7"/>
      <c r="WV173" s="7"/>
      <c r="WW173" s="7"/>
      <c r="WX173" s="7"/>
      <c r="WY173" s="7"/>
      <c r="WZ173" s="7"/>
      <c r="XA173" s="7"/>
      <c r="XB173" s="7"/>
      <c r="XC173" s="7"/>
      <c r="XD173" s="7"/>
      <c r="XE173" s="7"/>
      <c r="XF173" s="7"/>
      <c r="XG173" s="7"/>
      <c r="XH173" s="7"/>
      <c r="XI173" s="7"/>
      <c r="XJ173" s="7"/>
      <c r="XK173" s="7"/>
      <c r="XL173" s="7"/>
      <c r="XM173" s="7"/>
      <c r="XN173" s="7"/>
      <c r="XO173" s="7"/>
      <c r="XP173" s="7"/>
      <c r="XQ173" s="7"/>
      <c r="XR173" s="7"/>
      <c r="XS173" s="7"/>
      <c r="XT173" s="7"/>
      <c r="XU173" s="7"/>
      <c r="XV173" s="7"/>
      <c r="XW173" s="7"/>
      <c r="XX173" s="7"/>
      <c r="XY173" s="7"/>
      <c r="XZ173" s="7"/>
      <c r="YA173" s="7"/>
      <c r="YB173" s="7"/>
      <c r="YC173" s="7"/>
      <c r="YD173" s="7"/>
      <c r="YE173" s="7"/>
      <c r="YF173" s="7"/>
      <c r="YG173" s="7"/>
      <c r="YH173" s="7"/>
      <c r="YI173" s="7"/>
      <c r="YJ173" s="7"/>
      <c r="YK173" s="7"/>
      <c r="YL173" s="7"/>
      <c r="YM173" s="7"/>
      <c r="YN173" s="7"/>
      <c r="YO173" s="7"/>
      <c r="YP173" s="7"/>
      <c r="YQ173" s="7"/>
      <c r="YR173" s="7"/>
      <c r="YS173" s="7"/>
      <c r="YT173" s="7"/>
      <c r="YU173" s="7"/>
      <c r="YV173" s="7"/>
      <c r="YW173" s="7"/>
      <c r="YX173" s="7"/>
      <c r="YY173" s="7"/>
      <c r="YZ173" s="7"/>
      <c r="ZA173" s="7"/>
      <c r="ZB173" s="7"/>
      <c r="ZC173" s="7"/>
      <c r="ZD173" s="7"/>
      <c r="ZE173" s="7"/>
      <c r="ZF173" s="7"/>
      <c r="ZG173" s="7"/>
      <c r="ZH173" s="7"/>
      <c r="ZI173" s="7"/>
      <c r="ZJ173" s="7"/>
      <c r="ZK173" s="7"/>
      <c r="ZL173" s="7"/>
      <c r="ZM173" s="7"/>
      <c r="ZN173" s="7"/>
      <c r="ZO173" s="7"/>
      <c r="ZP173" s="7"/>
      <c r="ZQ173" s="7"/>
      <c r="ZR173" s="7"/>
      <c r="ZS173" s="7"/>
      <c r="ZT173" s="7"/>
      <c r="ZU173" s="7"/>
      <c r="ZV173" s="7"/>
      <c r="ZW173" s="7"/>
      <c r="ZX173" s="7"/>
      <c r="ZY173" s="7"/>
      <c r="ZZ173" s="7"/>
      <c r="AAA173" s="7"/>
      <c r="AAB173" s="7"/>
      <c r="AAC173" s="7"/>
      <c r="AAD173" s="7"/>
      <c r="AAE173" s="7"/>
      <c r="AAF173" s="7"/>
      <c r="AAG173" s="7"/>
      <c r="AAH173" s="7"/>
      <c r="AAI173" s="7"/>
      <c r="AAJ173" s="7"/>
      <c r="AAK173" s="7"/>
      <c r="AAL173" s="7"/>
      <c r="AAM173" s="7"/>
      <c r="AAN173" s="7"/>
      <c r="AAO173" s="7"/>
      <c r="AAP173" s="7"/>
      <c r="AAQ173" s="7"/>
      <c r="AAR173" s="7"/>
      <c r="AAS173" s="7"/>
      <c r="AAT173" s="7"/>
      <c r="AAU173" s="7"/>
      <c r="AAV173" s="7"/>
      <c r="AAW173" s="7"/>
      <c r="AAX173" s="7"/>
      <c r="AAY173" s="7"/>
      <c r="AAZ173" s="7"/>
      <c r="ABA173" s="7"/>
      <c r="ABB173" s="7"/>
      <c r="ABC173" s="7"/>
      <c r="ABD173" s="7"/>
      <c r="ABE173" s="7"/>
      <c r="ABF173" s="7"/>
      <c r="ABG173" s="7"/>
      <c r="ABH173" s="7"/>
      <c r="ABI173" s="7"/>
      <c r="ABJ173" s="7"/>
      <c r="ABK173" s="7"/>
      <c r="ABL173" s="7"/>
      <c r="ABM173" s="7"/>
      <c r="ABN173" s="7"/>
      <c r="ABO173" s="7"/>
      <c r="ABP173" s="7"/>
      <c r="ABQ173" s="7"/>
      <c r="ABR173" s="7"/>
      <c r="ABS173" s="7"/>
      <c r="ABT173" s="7"/>
      <c r="ABU173" s="7"/>
      <c r="ABV173" s="7"/>
      <c r="ABW173" s="7"/>
      <c r="ABX173" s="7"/>
      <c r="ABY173" s="7"/>
      <c r="ABZ173" s="7"/>
      <c r="ACA173" s="7"/>
      <c r="ACB173" s="7"/>
      <c r="ACC173" s="7"/>
      <c r="ACD173" s="7"/>
      <c r="ACE173" s="7"/>
      <c r="ACF173" s="7"/>
      <c r="ACG173" s="7"/>
      <c r="ACH173" s="7"/>
      <c r="ACI173" s="7"/>
      <c r="ACJ173" s="7"/>
      <c r="ACK173" s="7"/>
      <c r="ACL173" s="7"/>
      <c r="ACM173" s="7"/>
      <c r="ACN173" s="7"/>
      <c r="ACO173" s="7"/>
      <c r="ACP173" s="7"/>
      <c r="ACQ173" s="7"/>
      <c r="ACR173" s="7"/>
      <c r="ACS173" s="7"/>
      <c r="ACT173" s="7"/>
      <c r="ACU173" s="7"/>
      <c r="ACV173" s="7"/>
      <c r="ACW173" s="7"/>
      <c r="ACX173" s="7"/>
      <c r="ACY173" s="7"/>
      <c r="ACZ173" s="7"/>
      <c r="ADA173" s="7"/>
      <c r="ADB173" s="7"/>
      <c r="ADC173" s="7"/>
      <c r="ADD173" s="7"/>
      <c r="ADE173" s="7"/>
      <c r="ADF173" s="7"/>
      <c r="ADG173" s="7"/>
      <c r="ADH173" s="7"/>
      <c r="ADI173" s="7"/>
      <c r="ADJ173" s="7"/>
      <c r="ADK173" s="7"/>
      <c r="ADL173" s="7"/>
      <c r="ADM173" s="7"/>
      <c r="ADN173" s="7"/>
      <c r="ADO173" s="7"/>
      <c r="ADP173" s="7"/>
      <c r="ADQ173" s="7"/>
      <c r="ADR173" s="7"/>
      <c r="ADS173" s="7"/>
      <c r="ADT173" s="7"/>
      <c r="ADU173" s="7"/>
      <c r="ADV173" s="7"/>
      <c r="ADW173" s="7"/>
      <c r="ADX173" s="7"/>
      <c r="ADY173" s="7"/>
      <c r="ADZ173" s="7"/>
      <c r="AEA173" s="7"/>
      <c r="AEB173" s="7"/>
      <c r="AEC173" s="7"/>
      <c r="AED173" s="7"/>
      <c r="AEE173" s="7"/>
      <c r="AEF173" s="7"/>
      <c r="AEG173" s="7"/>
      <c r="AEH173" s="7"/>
      <c r="AEI173" s="7"/>
      <c r="AEJ173" s="7"/>
      <c r="AEK173" s="7"/>
      <c r="AEL173" s="7"/>
      <c r="AEM173" s="7"/>
      <c r="AEN173" s="7"/>
      <c r="AEO173" s="7"/>
      <c r="AEP173" s="7"/>
      <c r="AEQ173" s="7"/>
      <c r="AER173" s="7"/>
      <c r="AES173" s="7"/>
      <c r="AET173" s="7"/>
      <c r="AEU173" s="7"/>
      <c r="AEV173" s="7"/>
      <c r="AEW173" s="7"/>
      <c r="AEX173" s="7"/>
      <c r="AEY173" s="7"/>
      <c r="AEZ173" s="7"/>
      <c r="AFA173" s="7"/>
      <c r="AFB173" s="7"/>
      <c r="AFC173" s="7"/>
      <c r="AFD173" s="7"/>
      <c r="AFE173" s="7"/>
      <c r="AFF173" s="7"/>
      <c r="AFG173" s="7"/>
      <c r="AFH173" s="7"/>
      <c r="AFI173" s="7"/>
      <c r="AFJ173" s="7"/>
      <c r="AFK173" s="7"/>
      <c r="AFL173" s="7"/>
      <c r="AFM173" s="7"/>
      <c r="AFN173" s="7"/>
      <c r="AFO173" s="7"/>
      <c r="AFP173" s="7"/>
      <c r="AFQ173" s="7"/>
      <c r="AFR173" s="7"/>
      <c r="AFS173" s="7"/>
      <c r="AFT173" s="7"/>
      <c r="AFU173" s="7"/>
      <c r="AFV173" s="7"/>
      <c r="AFW173" s="7"/>
      <c r="AFX173" s="7"/>
      <c r="AFY173" s="7"/>
      <c r="AFZ173" s="7"/>
      <c r="AGA173" s="7"/>
      <c r="AGB173" s="7"/>
      <c r="AGC173" s="7"/>
      <c r="AGD173" s="7"/>
      <c r="AGE173" s="7"/>
      <c r="AGF173" s="7"/>
      <c r="AGG173" s="7"/>
      <c r="AGH173" s="7"/>
      <c r="AGI173" s="7"/>
      <c r="AGJ173" s="7"/>
      <c r="AGK173" s="7"/>
      <c r="AGL173" s="7"/>
      <c r="AGM173" s="7"/>
      <c r="AGN173" s="7"/>
      <c r="AGO173" s="7"/>
      <c r="AGP173" s="7"/>
      <c r="AGQ173" s="7"/>
      <c r="AGR173" s="7"/>
      <c r="AGS173" s="7"/>
      <c r="AGT173" s="7"/>
      <c r="AGU173" s="7"/>
      <c r="AGV173" s="7"/>
      <c r="AGW173" s="7"/>
      <c r="AGX173" s="7"/>
      <c r="AGY173" s="7"/>
      <c r="AGZ173" s="7"/>
      <c r="AHA173" s="7"/>
      <c r="AHB173" s="7"/>
      <c r="AHC173" s="7"/>
      <c r="AHD173" s="7"/>
      <c r="AHE173" s="7"/>
      <c r="AHF173" s="7"/>
      <c r="AHG173" s="7"/>
      <c r="AHH173" s="7"/>
      <c r="AHI173" s="7"/>
      <c r="AHJ173" s="7"/>
      <c r="AHK173" s="7"/>
      <c r="AHL173" s="7"/>
      <c r="AHM173" s="7"/>
      <c r="AHN173" s="7"/>
      <c r="AHO173" s="7"/>
      <c r="AHP173" s="7"/>
      <c r="AHQ173" s="7"/>
      <c r="AHR173" s="7"/>
      <c r="AHS173" s="7"/>
      <c r="AHT173" s="7"/>
      <c r="AHU173" s="7"/>
      <c r="AHV173" s="7"/>
      <c r="AHW173" s="7"/>
      <c r="AHX173" s="7"/>
      <c r="AHY173" s="7"/>
      <c r="AHZ173" s="7"/>
      <c r="AIA173" s="7"/>
      <c r="AIB173" s="7"/>
      <c r="AIC173" s="7"/>
      <c r="AID173" s="7"/>
      <c r="AIE173" s="7"/>
      <c r="AIF173" s="7"/>
      <c r="AIG173" s="7"/>
      <c r="AIH173" s="7"/>
      <c r="AII173" s="7"/>
      <c r="AIJ173" s="7"/>
      <c r="AIK173" s="7"/>
      <c r="AIL173" s="7"/>
      <c r="AIM173" s="7"/>
      <c r="AIN173" s="7"/>
      <c r="AIO173" s="7"/>
      <c r="AIP173" s="7"/>
      <c r="AIQ173" s="7"/>
      <c r="AIR173" s="7"/>
      <c r="AIS173" s="7"/>
      <c r="AIT173" s="7"/>
      <c r="AIU173" s="7"/>
      <c r="AIV173" s="7"/>
      <c r="AIW173" s="7"/>
      <c r="AIX173" s="7"/>
      <c r="AIY173" s="7"/>
      <c r="AIZ173" s="7"/>
      <c r="AJA173" s="7"/>
      <c r="AJB173" s="7"/>
      <c r="AJC173" s="7"/>
      <c r="AJD173" s="7"/>
      <c r="AJE173" s="7"/>
      <c r="AJF173" s="7"/>
      <c r="AJG173" s="7"/>
      <c r="AJH173" s="7"/>
      <c r="AJI173" s="7"/>
      <c r="AJJ173" s="7"/>
      <c r="AJK173" s="7"/>
      <c r="AJL173" s="7"/>
      <c r="AJM173" s="7"/>
      <c r="AJN173" s="7"/>
      <c r="AJO173" s="7"/>
      <c r="AJP173" s="7"/>
      <c r="AJQ173" s="7"/>
      <c r="AJR173" s="7"/>
      <c r="AJS173" s="7"/>
      <c r="AJT173" s="7"/>
      <c r="AJU173" s="7"/>
      <c r="AJV173" s="7"/>
      <c r="AJW173" s="7"/>
      <c r="AJX173" s="7"/>
      <c r="AJY173" s="7"/>
      <c r="AJZ173" s="7"/>
      <c r="AKA173" s="7"/>
      <c r="AKB173" s="7"/>
      <c r="AKC173" s="7"/>
      <c r="AKD173" s="7"/>
      <c r="AKE173" s="7"/>
      <c r="AKF173" s="7"/>
      <c r="AKG173" s="7"/>
      <c r="AKH173" s="7"/>
      <c r="AKI173" s="7"/>
      <c r="AKJ173" s="7"/>
      <c r="AKK173" s="7"/>
      <c r="AKL173" s="7"/>
      <c r="AKM173" s="7"/>
      <c r="AKN173" s="7"/>
      <c r="AKO173" s="7"/>
      <c r="AKP173" s="7"/>
      <c r="AKQ173" s="7"/>
      <c r="AKR173" s="7"/>
      <c r="AKS173" s="7"/>
      <c r="AKT173" s="7"/>
      <c r="AKU173" s="7"/>
      <c r="AKV173" s="7"/>
      <c r="AKW173" s="7"/>
      <c r="AKX173" s="7"/>
      <c r="AKY173" s="7"/>
      <c r="AKZ173" s="7"/>
      <c r="ALA173" s="7"/>
      <c r="ALB173" s="7"/>
      <c r="ALC173" s="7"/>
      <c r="ALD173" s="7"/>
      <c r="ALE173" s="7"/>
      <c r="ALF173" s="7"/>
      <c r="ALG173" s="7"/>
      <c r="ALH173" s="7"/>
      <c r="ALI173" s="7"/>
      <c r="ALJ173" s="7"/>
      <c r="ALK173" s="7"/>
      <c r="ALL173" s="7"/>
      <c r="ALM173" s="7"/>
      <c r="ALN173" s="7"/>
      <c r="ALO173" s="7"/>
      <c r="ALP173" s="7"/>
      <c r="ALQ173" s="7"/>
      <c r="ALR173" s="7"/>
      <c r="ALS173" s="7"/>
      <c r="ALT173" s="7"/>
      <c r="ALU173" s="7"/>
      <c r="ALV173" s="7"/>
      <c r="ALW173" s="7"/>
      <c r="ALX173" s="7"/>
      <c r="ALY173" s="7"/>
      <c r="ALZ173" s="7"/>
      <c r="AMA173" s="7"/>
      <c r="AMB173" s="7"/>
      <c r="AMC173" s="7"/>
      <c r="AMD173" s="7"/>
      <c r="AME173" s="7"/>
      <c r="AMF173" s="7"/>
      <c r="AMG173" s="7"/>
      <c r="AMH173" s="7"/>
      <c r="AMI173" s="7"/>
      <c r="AMJ173" s="7"/>
    </row>
    <row r="174" customFormat="false" ht="15.75" hidden="false" customHeight="true" outlineLevel="0" collapsed="false">
      <c r="A174" s="7"/>
      <c r="B174" s="7"/>
      <c r="C174" s="286"/>
      <c r="D174" s="287" t="n">
        <f aca="false">D173+D166</f>
        <v>1800</v>
      </c>
      <c r="E174" s="287" t="n">
        <f aca="false">E166+E173</f>
        <v>106</v>
      </c>
      <c r="F174" s="178"/>
      <c r="G174" s="10"/>
      <c r="H174" s="24"/>
      <c r="I174" s="230"/>
      <c r="J174" s="287" t="n">
        <f aca="false">D166+J173</f>
        <v>1800</v>
      </c>
      <c r="K174" s="287" t="n">
        <f aca="false">E166+K173</f>
        <v>106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  <c r="OV174" s="7"/>
      <c r="OW174" s="7"/>
      <c r="OX174" s="7"/>
      <c r="OY174" s="7"/>
      <c r="OZ174" s="7"/>
      <c r="PA174" s="7"/>
      <c r="PB174" s="7"/>
      <c r="PC174" s="7"/>
      <c r="PD174" s="7"/>
      <c r="PE174" s="7"/>
      <c r="PF174" s="7"/>
      <c r="PG174" s="7"/>
      <c r="PH174" s="7"/>
      <c r="PI174" s="7"/>
      <c r="PJ174" s="7"/>
      <c r="PK174" s="7"/>
      <c r="PL174" s="7"/>
      <c r="PM174" s="7"/>
      <c r="PN174" s="7"/>
      <c r="PO174" s="7"/>
      <c r="PP174" s="7"/>
      <c r="PQ174" s="7"/>
      <c r="PR174" s="7"/>
      <c r="PS174" s="7"/>
      <c r="PT174" s="7"/>
      <c r="PU174" s="7"/>
      <c r="PV174" s="7"/>
      <c r="PW174" s="7"/>
      <c r="PX174" s="7"/>
      <c r="PY174" s="7"/>
      <c r="PZ174" s="7"/>
      <c r="QA174" s="7"/>
      <c r="QB174" s="7"/>
      <c r="QC174" s="7"/>
      <c r="QD174" s="7"/>
      <c r="QE174" s="7"/>
      <c r="QF174" s="7"/>
      <c r="QG174" s="7"/>
      <c r="QH174" s="7"/>
      <c r="QI174" s="7"/>
      <c r="QJ174" s="7"/>
      <c r="QK174" s="7"/>
      <c r="QL174" s="7"/>
      <c r="QM174" s="7"/>
      <c r="QN174" s="7"/>
      <c r="QO174" s="7"/>
      <c r="QP174" s="7"/>
      <c r="QQ174" s="7"/>
      <c r="QR174" s="7"/>
      <c r="QS174" s="7"/>
      <c r="QT174" s="7"/>
      <c r="QU174" s="7"/>
      <c r="QV174" s="7"/>
      <c r="QW174" s="7"/>
      <c r="QX174" s="7"/>
      <c r="QY174" s="7"/>
      <c r="QZ174" s="7"/>
      <c r="RA174" s="7"/>
      <c r="RB174" s="7"/>
      <c r="RC174" s="7"/>
      <c r="RD174" s="7"/>
      <c r="RE174" s="7"/>
      <c r="RF174" s="7"/>
      <c r="RG174" s="7"/>
      <c r="RH174" s="7"/>
      <c r="RI174" s="7"/>
      <c r="RJ174" s="7"/>
      <c r="RK174" s="7"/>
      <c r="RL174" s="7"/>
      <c r="RM174" s="7"/>
      <c r="RN174" s="7"/>
      <c r="RO174" s="7"/>
      <c r="RP174" s="7"/>
      <c r="RQ174" s="7"/>
      <c r="RR174" s="7"/>
      <c r="RS174" s="7"/>
      <c r="RT174" s="7"/>
      <c r="RU174" s="7"/>
      <c r="RV174" s="7"/>
      <c r="RW174" s="7"/>
      <c r="RX174" s="7"/>
      <c r="RY174" s="7"/>
      <c r="RZ174" s="7"/>
      <c r="SA174" s="7"/>
      <c r="SB174" s="7"/>
      <c r="SC174" s="7"/>
      <c r="SD174" s="7"/>
      <c r="SE174" s="7"/>
      <c r="SF174" s="7"/>
      <c r="SG174" s="7"/>
      <c r="SH174" s="7"/>
      <c r="SI174" s="7"/>
      <c r="SJ174" s="7"/>
      <c r="SK174" s="7"/>
      <c r="SL174" s="7"/>
      <c r="SM174" s="7"/>
      <c r="SN174" s="7"/>
      <c r="SO174" s="7"/>
      <c r="SP174" s="7"/>
      <c r="SQ174" s="7"/>
      <c r="SR174" s="7"/>
      <c r="SS174" s="7"/>
      <c r="ST174" s="7"/>
      <c r="SU174" s="7"/>
      <c r="SV174" s="7"/>
      <c r="SW174" s="7"/>
      <c r="SX174" s="7"/>
      <c r="SY174" s="7"/>
      <c r="SZ174" s="7"/>
      <c r="TA174" s="7"/>
      <c r="TB174" s="7"/>
      <c r="TC174" s="7"/>
      <c r="TD174" s="7"/>
      <c r="TE174" s="7"/>
      <c r="TF174" s="7"/>
      <c r="TG174" s="7"/>
      <c r="TH174" s="7"/>
      <c r="TI174" s="7"/>
      <c r="TJ174" s="7"/>
      <c r="TK174" s="7"/>
      <c r="TL174" s="7"/>
      <c r="TM174" s="7"/>
      <c r="TN174" s="7"/>
      <c r="TO174" s="7"/>
      <c r="TP174" s="7"/>
      <c r="TQ174" s="7"/>
      <c r="TR174" s="7"/>
      <c r="TS174" s="7"/>
      <c r="TT174" s="7"/>
      <c r="TU174" s="7"/>
      <c r="TV174" s="7"/>
      <c r="TW174" s="7"/>
      <c r="TX174" s="7"/>
      <c r="TY174" s="7"/>
      <c r="TZ174" s="7"/>
      <c r="UA174" s="7"/>
      <c r="UB174" s="7"/>
      <c r="UC174" s="7"/>
      <c r="UD174" s="7"/>
      <c r="UE174" s="7"/>
      <c r="UF174" s="7"/>
      <c r="UG174" s="7"/>
      <c r="UH174" s="7"/>
      <c r="UI174" s="7"/>
      <c r="UJ174" s="7"/>
      <c r="UK174" s="7"/>
      <c r="UL174" s="7"/>
      <c r="UM174" s="7"/>
      <c r="UN174" s="7"/>
      <c r="UO174" s="7"/>
      <c r="UP174" s="7"/>
      <c r="UQ174" s="7"/>
      <c r="UR174" s="7"/>
      <c r="US174" s="7"/>
      <c r="UT174" s="7"/>
      <c r="UU174" s="7"/>
      <c r="UV174" s="7"/>
      <c r="UW174" s="7"/>
      <c r="UX174" s="7"/>
      <c r="UY174" s="7"/>
      <c r="UZ174" s="7"/>
      <c r="VA174" s="7"/>
      <c r="VB174" s="7"/>
      <c r="VC174" s="7"/>
      <c r="VD174" s="7"/>
      <c r="VE174" s="7"/>
      <c r="VF174" s="7"/>
      <c r="VG174" s="7"/>
      <c r="VH174" s="7"/>
      <c r="VI174" s="7"/>
      <c r="VJ174" s="7"/>
      <c r="VK174" s="7"/>
      <c r="VL174" s="7"/>
      <c r="VM174" s="7"/>
      <c r="VN174" s="7"/>
      <c r="VO174" s="7"/>
      <c r="VP174" s="7"/>
      <c r="VQ174" s="7"/>
      <c r="VR174" s="7"/>
      <c r="VS174" s="7"/>
      <c r="VT174" s="7"/>
      <c r="VU174" s="7"/>
      <c r="VV174" s="7"/>
      <c r="VW174" s="7"/>
      <c r="VX174" s="7"/>
      <c r="VY174" s="7"/>
      <c r="VZ174" s="7"/>
      <c r="WA174" s="7"/>
      <c r="WB174" s="7"/>
      <c r="WC174" s="7"/>
      <c r="WD174" s="7"/>
      <c r="WE174" s="7"/>
      <c r="WF174" s="7"/>
      <c r="WG174" s="7"/>
      <c r="WH174" s="7"/>
      <c r="WI174" s="7"/>
      <c r="WJ174" s="7"/>
      <c r="WK174" s="7"/>
      <c r="WL174" s="7"/>
      <c r="WM174" s="7"/>
      <c r="WN174" s="7"/>
      <c r="WO174" s="7"/>
      <c r="WP174" s="7"/>
      <c r="WQ174" s="7"/>
      <c r="WR174" s="7"/>
      <c r="WS174" s="7"/>
      <c r="WT174" s="7"/>
      <c r="WU174" s="7"/>
      <c r="WV174" s="7"/>
      <c r="WW174" s="7"/>
      <c r="WX174" s="7"/>
      <c r="WY174" s="7"/>
      <c r="WZ174" s="7"/>
      <c r="XA174" s="7"/>
      <c r="XB174" s="7"/>
      <c r="XC174" s="7"/>
      <c r="XD174" s="7"/>
      <c r="XE174" s="7"/>
      <c r="XF174" s="7"/>
      <c r="XG174" s="7"/>
      <c r="XH174" s="7"/>
      <c r="XI174" s="7"/>
      <c r="XJ174" s="7"/>
      <c r="XK174" s="7"/>
      <c r="XL174" s="7"/>
      <c r="XM174" s="7"/>
      <c r="XN174" s="7"/>
      <c r="XO174" s="7"/>
      <c r="XP174" s="7"/>
      <c r="XQ174" s="7"/>
      <c r="XR174" s="7"/>
      <c r="XS174" s="7"/>
      <c r="XT174" s="7"/>
      <c r="XU174" s="7"/>
      <c r="XV174" s="7"/>
      <c r="XW174" s="7"/>
      <c r="XX174" s="7"/>
      <c r="XY174" s="7"/>
      <c r="XZ174" s="7"/>
      <c r="YA174" s="7"/>
      <c r="YB174" s="7"/>
      <c r="YC174" s="7"/>
      <c r="YD174" s="7"/>
      <c r="YE174" s="7"/>
      <c r="YF174" s="7"/>
      <c r="YG174" s="7"/>
      <c r="YH174" s="7"/>
      <c r="YI174" s="7"/>
      <c r="YJ174" s="7"/>
      <c r="YK174" s="7"/>
      <c r="YL174" s="7"/>
      <c r="YM174" s="7"/>
      <c r="YN174" s="7"/>
      <c r="YO174" s="7"/>
      <c r="YP174" s="7"/>
      <c r="YQ174" s="7"/>
      <c r="YR174" s="7"/>
      <c r="YS174" s="7"/>
      <c r="YT174" s="7"/>
      <c r="YU174" s="7"/>
      <c r="YV174" s="7"/>
      <c r="YW174" s="7"/>
      <c r="YX174" s="7"/>
      <c r="YY174" s="7"/>
      <c r="YZ174" s="7"/>
      <c r="ZA174" s="7"/>
      <c r="ZB174" s="7"/>
      <c r="ZC174" s="7"/>
      <c r="ZD174" s="7"/>
      <c r="ZE174" s="7"/>
      <c r="ZF174" s="7"/>
      <c r="ZG174" s="7"/>
      <c r="ZH174" s="7"/>
      <c r="ZI174" s="7"/>
      <c r="ZJ174" s="7"/>
      <c r="ZK174" s="7"/>
      <c r="ZL174" s="7"/>
      <c r="ZM174" s="7"/>
      <c r="ZN174" s="7"/>
      <c r="ZO174" s="7"/>
      <c r="ZP174" s="7"/>
      <c r="ZQ174" s="7"/>
      <c r="ZR174" s="7"/>
      <c r="ZS174" s="7"/>
      <c r="ZT174" s="7"/>
      <c r="ZU174" s="7"/>
      <c r="ZV174" s="7"/>
      <c r="ZW174" s="7"/>
      <c r="ZX174" s="7"/>
      <c r="ZY174" s="7"/>
      <c r="ZZ174" s="7"/>
      <c r="AAA174" s="7"/>
      <c r="AAB174" s="7"/>
      <c r="AAC174" s="7"/>
      <c r="AAD174" s="7"/>
      <c r="AAE174" s="7"/>
      <c r="AAF174" s="7"/>
      <c r="AAG174" s="7"/>
      <c r="AAH174" s="7"/>
      <c r="AAI174" s="7"/>
      <c r="AAJ174" s="7"/>
      <c r="AAK174" s="7"/>
      <c r="AAL174" s="7"/>
      <c r="AAM174" s="7"/>
      <c r="AAN174" s="7"/>
      <c r="AAO174" s="7"/>
      <c r="AAP174" s="7"/>
      <c r="AAQ174" s="7"/>
      <c r="AAR174" s="7"/>
      <c r="AAS174" s="7"/>
      <c r="AAT174" s="7"/>
      <c r="AAU174" s="7"/>
      <c r="AAV174" s="7"/>
      <c r="AAW174" s="7"/>
      <c r="AAX174" s="7"/>
      <c r="AAY174" s="7"/>
      <c r="AAZ174" s="7"/>
      <c r="ABA174" s="7"/>
      <c r="ABB174" s="7"/>
      <c r="ABC174" s="7"/>
      <c r="ABD174" s="7"/>
      <c r="ABE174" s="7"/>
      <c r="ABF174" s="7"/>
      <c r="ABG174" s="7"/>
      <c r="ABH174" s="7"/>
      <c r="ABI174" s="7"/>
      <c r="ABJ174" s="7"/>
      <c r="ABK174" s="7"/>
      <c r="ABL174" s="7"/>
      <c r="ABM174" s="7"/>
      <c r="ABN174" s="7"/>
      <c r="ABO174" s="7"/>
      <c r="ABP174" s="7"/>
      <c r="ABQ174" s="7"/>
      <c r="ABR174" s="7"/>
      <c r="ABS174" s="7"/>
      <c r="ABT174" s="7"/>
      <c r="ABU174" s="7"/>
      <c r="ABV174" s="7"/>
      <c r="ABW174" s="7"/>
      <c r="ABX174" s="7"/>
      <c r="ABY174" s="7"/>
      <c r="ABZ174" s="7"/>
      <c r="ACA174" s="7"/>
      <c r="ACB174" s="7"/>
      <c r="ACC174" s="7"/>
      <c r="ACD174" s="7"/>
      <c r="ACE174" s="7"/>
      <c r="ACF174" s="7"/>
      <c r="ACG174" s="7"/>
      <c r="ACH174" s="7"/>
      <c r="ACI174" s="7"/>
      <c r="ACJ174" s="7"/>
      <c r="ACK174" s="7"/>
      <c r="ACL174" s="7"/>
      <c r="ACM174" s="7"/>
      <c r="ACN174" s="7"/>
      <c r="ACO174" s="7"/>
      <c r="ACP174" s="7"/>
      <c r="ACQ174" s="7"/>
      <c r="ACR174" s="7"/>
      <c r="ACS174" s="7"/>
      <c r="ACT174" s="7"/>
      <c r="ACU174" s="7"/>
      <c r="ACV174" s="7"/>
      <c r="ACW174" s="7"/>
      <c r="ACX174" s="7"/>
      <c r="ACY174" s="7"/>
      <c r="ACZ174" s="7"/>
      <c r="ADA174" s="7"/>
      <c r="ADB174" s="7"/>
      <c r="ADC174" s="7"/>
      <c r="ADD174" s="7"/>
      <c r="ADE174" s="7"/>
      <c r="ADF174" s="7"/>
      <c r="ADG174" s="7"/>
      <c r="ADH174" s="7"/>
      <c r="ADI174" s="7"/>
      <c r="ADJ174" s="7"/>
      <c r="ADK174" s="7"/>
      <c r="ADL174" s="7"/>
      <c r="ADM174" s="7"/>
      <c r="ADN174" s="7"/>
      <c r="ADO174" s="7"/>
      <c r="ADP174" s="7"/>
      <c r="ADQ174" s="7"/>
      <c r="ADR174" s="7"/>
      <c r="ADS174" s="7"/>
      <c r="ADT174" s="7"/>
      <c r="ADU174" s="7"/>
      <c r="ADV174" s="7"/>
      <c r="ADW174" s="7"/>
      <c r="ADX174" s="7"/>
      <c r="ADY174" s="7"/>
      <c r="ADZ174" s="7"/>
      <c r="AEA174" s="7"/>
      <c r="AEB174" s="7"/>
      <c r="AEC174" s="7"/>
      <c r="AED174" s="7"/>
      <c r="AEE174" s="7"/>
      <c r="AEF174" s="7"/>
      <c r="AEG174" s="7"/>
      <c r="AEH174" s="7"/>
      <c r="AEI174" s="7"/>
      <c r="AEJ174" s="7"/>
      <c r="AEK174" s="7"/>
      <c r="AEL174" s="7"/>
      <c r="AEM174" s="7"/>
      <c r="AEN174" s="7"/>
      <c r="AEO174" s="7"/>
      <c r="AEP174" s="7"/>
      <c r="AEQ174" s="7"/>
      <c r="AER174" s="7"/>
      <c r="AES174" s="7"/>
      <c r="AET174" s="7"/>
      <c r="AEU174" s="7"/>
      <c r="AEV174" s="7"/>
      <c r="AEW174" s="7"/>
      <c r="AEX174" s="7"/>
      <c r="AEY174" s="7"/>
      <c r="AEZ174" s="7"/>
      <c r="AFA174" s="7"/>
      <c r="AFB174" s="7"/>
      <c r="AFC174" s="7"/>
      <c r="AFD174" s="7"/>
      <c r="AFE174" s="7"/>
      <c r="AFF174" s="7"/>
      <c r="AFG174" s="7"/>
      <c r="AFH174" s="7"/>
      <c r="AFI174" s="7"/>
      <c r="AFJ174" s="7"/>
      <c r="AFK174" s="7"/>
      <c r="AFL174" s="7"/>
      <c r="AFM174" s="7"/>
      <c r="AFN174" s="7"/>
      <c r="AFO174" s="7"/>
      <c r="AFP174" s="7"/>
      <c r="AFQ174" s="7"/>
      <c r="AFR174" s="7"/>
      <c r="AFS174" s="7"/>
      <c r="AFT174" s="7"/>
      <c r="AFU174" s="7"/>
      <c r="AFV174" s="7"/>
      <c r="AFW174" s="7"/>
      <c r="AFX174" s="7"/>
      <c r="AFY174" s="7"/>
      <c r="AFZ174" s="7"/>
      <c r="AGA174" s="7"/>
      <c r="AGB174" s="7"/>
      <c r="AGC174" s="7"/>
      <c r="AGD174" s="7"/>
      <c r="AGE174" s="7"/>
      <c r="AGF174" s="7"/>
      <c r="AGG174" s="7"/>
      <c r="AGH174" s="7"/>
      <c r="AGI174" s="7"/>
      <c r="AGJ174" s="7"/>
      <c r="AGK174" s="7"/>
      <c r="AGL174" s="7"/>
      <c r="AGM174" s="7"/>
      <c r="AGN174" s="7"/>
      <c r="AGO174" s="7"/>
      <c r="AGP174" s="7"/>
      <c r="AGQ174" s="7"/>
      <c r="AGR174" s="7"/>
      <c r="AGS174" s="7"/>
      <c r="AGT174" s="7"/>
      <c r="AGU174" s="7"/>
      <c r="AGV174" s="7"/>
      <c r="AGW174" s="7"/>
      <c r="AGX174" s="7"/>
      <c r="AGY174" s="7"/>
      <c r="AGZ174" s="7"/>
      <c r="AHA174" s="7"/>
      <c r="AHB174" s="7"/>
      <c r="AHC174" s="7"/>
      <c r="AHD174" s="7"/>
      <c r="AHE174" s="7"/>
      <c r="AHF174" s="7"/>
      <c r="AHG174" s="7"/>
      <c r="AHH174" s="7"/>
      <c r="AHI174" s="7"/>
      <c r="AHJ174" s="7"/>
      <c r="AHK174" s="7"/>
      <c r="AHL174" s="7"/>
      <c r="AHM174" s="7"/>
      <c r="AHN174" s="7"/>
      <c r="AHO174" s="7"/>
      <c r="AHP174" s="7"/>
      <c r="AHQ174" s="7"/>
      <c r="AHR174" s="7"/>
      <c r="AHS174" s="7"/>
      <c r="AHT174" s="7"/>
      <c r="AHU174" s="7"/>
      <c r="AHV174" s="7"/>
      <c r="AHW174" s="7"/>
      <c r="AHX174" s="7"/>
      <c r="AHY174" s="7"/>
      <c r="AHZ174" s="7"/>
      <c r="AIA174" s="7"/>
      <c r="AIB174" s="7"/>
      <c r="AIC174" s="7"/>
      <c r="AID174" s="7"/>
      <c r="AIE174" s="7"/>
      <c r="AIF174" s="7"/>
      <c r="AIG174" s="7"/>
      <c r="AIH174" s="7"/>
      <c r="AII174" s="7"/>
      <c r="AIJ174" s="7"/>
      <c r="AIK174" s="7"/>
      <c r="AIL174" s="7"/>
      <c r="AIM174" s="7"/>
      <c r="AIN174" s="7"/>
      <c r="AIO174" s="7"/>
      <c r="AIP174" s="7"/>
      <c r="AIQ174" s="7"/>
      <c r="AIR174" s="7"/>
      <c r="AIS174" s="7"/>
      <c r="AIT174" s="7"/>
      <c r="AIU174" s="7"/>
      <c r="AIV174" s="7"/>
      <c r="AIW174" s="7"/>
      <c r="AIX174" s="7"/>
      <c r="AIY174" s="7"/>
      <c r="AIZ174" s="7"/>
      <c r="AJA174" s="7"/>
      <c r="AJB174" s="7"/>
      <c r="AJC174" s="7"/>
      <c r="AJD174" s="7"/>
      <c r="AJE174" s="7"/>
      <c r="AJF174" s="7"/>
      <c r="AJG174" s="7"/>
      <c r="AJH174" s="7"/>
      <c r="AJI174" s="7"/>
      <c r="AJJ174" s="7"/>
      <c r="AJK174" s="7"/>
      <c r="AJL174" s="7"/>
      <c r="AJM174" s="7"/>
      <c r="AJN174" s="7"/>
      <c r="AJO174" s="7"/>
      <c r="AJP174" s="7"/>
      <c r="AJQ174" s="7"/>
      <c r="AJR174" s="7"/>
      <c r="AJS174" s="7"/>
      <c r="AJT174" s="7"/>
      <c r="AJU174" s="7"/>
      <c r="AJV174" s="7"/>
      <c r="AJW174" s="7"/>
      <c r="AJX174" s="7"/>
      <c r="AJY174" s="7"/>
      <c r="AJZ174" s="7"/>
      <c r="AKA174" s="7"/>
      <c r="AKB174" s="7"/>
      <c r="AKC174" s="7"/>
      <c r="AKD174" s="7"/>
      <c r="AKE174" s="7"/>
      <c r="AKF174" s="7"/>
      <c r="AKG174" s="7"/>
      <c r="AKH174" s="7"/>
      <c r="AKI174" s="7"/>
      <c r="AKJ174" s="7"/>
      <c r="AKK174" s="7"/>
      <c r="AKL174" s="7"/>
      <c r="AKM174" s="7"/>
      <c r="AKN174" s="7"/>
      <c r="AKO174" s="7"/>
      <c r="AKP174" s="7"/>
      <c r="AKQ174" s="7"/>
      <c r="AKR174" s="7"/>
      <c r="AKS174" s="7"/>
      <c r="AKT174" s="7"/>
      <c r="AKU174" s="7"/>
      <c r="AKV174" s="7"/>
      <c r="AKW174" s="7"/>
      <c r="AKX174" s="7"/>
      <c r="AKY174" s="7"/>
      <c r="AKZ174" s="7"/>
      <c r="ALA174" s="7"/>
      <c r="ALB174" s="7"/>
      <c r="ALC174" s="7"/>
      <c r="ALD174" s="7"/>
      <c r="ALE174" s="7"/>
      <c r="ALF174" s="7"/>
      <c r="ALG174" s="7"/>
      <c r="ALH174" s="7"/>
      <c r="ALI174" s="7"/>
      <c r="ALJ174" s="7"/>
      <c r="ALK174" s="7"/>
      <c r="ALL174" s="7"/>
      <c r="ALM174" s="7"/>
      <c r="ALN174" s="7"/>
      <c r="ALO174" s="7"/>
      <c r="ALP174" s="7"/>
      <c r="ALQ174" s="7"/>
      <c r="ALR174" s="7"/>
      <c r="ALS174" s="7"/>
      <c r="ALT174" s="7"/>
      <c r="ALU174" s="7"/>
      <c r="ALV174" s="7"/>
      <c r="ALW174" s="7"/>
      <c r="ALX174" s="7"/>
      <c r="ALY174" s="7"/>
      <c r="ALZ174" s="7"/>
      <c r="AMA174" s="7"/>
      <c r="AMB174" s="7"/>
      <c r="AMC174" s="7"/>
      <c r="AMD174" s="7"/>
      <c r="AME174" s="7"/>
      <c r="AMF174" s="7"/>
      <c r="AMG174" s="7"/>
      <c r="AMH174" s="7"/>
      <c r="AMI174" s="7"/>
      <c r="AMJ174" s="7"/>
    </row>
    <row r="175" customFormat="false" ht="15.75" hidden="false" customHeight="true" outlineLevel="0" collapsed="false">
      <c r="A175" s="7"/>
      <c r="B175" s="7"/>
      <c r="C175" s="288" t="s">
        <v>194</v>
      </c>
      <c r="D175" s="289" t="s">
        <v>189</v>
      </c>
      <c r="E175" s="290" t="s">
        <v>4</v>
      </c>
      <c r="F175" s="78"/>
      <c r="G175" s="10"/>
      <c r="H175" s="24"/>
      <c r="I175" s="268"/>
      <c r="J175" s="8"/>
      <c r="K175" s="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OV175" s="7"/>
      <c r="OW175" s="7"/>
      <c r="OX175" s="7"/>
      <c r="OY175" s="7"/>
      <c r="OZ175" s="7"/>
      <c r="PA175" s="7"/>
      <c r="PB175" s="7"/>
      <c r="PC175" s="7"/>
      <c r="PD175" s="7"/>
      <c r="PE175" s="7"/>
      <c r="PF175" s="7"/>
      <c r="PG175" s="7"/>
      <c r="PH175" s="7"/>
      <c r="PI175" s="7"/>
      <c r="PJ175" s="7"/>
      <c r="PK175" s="7"/>
      <c r="PL175" s="7"/>
      <c r="PM175" s="7"/>
      <c r="PN175" s="7"/>
      <c r="PO175" s="7"/>
      <c r="PP175" s="7"/>
      <c r="PQ175" s="7"/>
      <c r="PR175" s="7"/>
      <c r="PS175" s="7"/>
      <c r="PT175" s="7"/>
      <c r="PU175" s="7"/>
      <c r="PV175" s="7"/>
      <c r="PW175" s="7"/>
      <c r="PX175" s="7"/>
      <c r="PY175" s="7"/>
      <c r="PZ175" s="7"/>
      <c r="QA175" s="7"/>
      <c r="QB175" s="7"/>
      <c r="QC175" s="7"/>
      <c r="QD175" s="7"/>
      <c r="QE175" s="7"/>
      <c r="QF175" s="7"/>
      <c r="QG175" s="7"/>
      <c r="QH175" s="7"/>
      <c r="QI175" s="7"/>
      <c r="QJ175" s="7"/>
      <c r="QK175" s="7"/>
      <c r="QL175" s="7"/>
      <c r="QM175" s="7"/>
      <c r="QN175" s="7"/>
      <c r="QO175" s="7"/>
      <c r="QP175" s="7"/>
      <c r="QQ175" s="7"/>
      <c r="QR175" s="7"/>
      <c r="QS175" s="7"/>
      <c r="QT175" s="7"/>
      <c r="QU175" s="7"/>
      <c r="QV175" s="7"/>
      <c r="QW175" s="7"/>
      <c r="QX175" s="7"/>
      <c r="QY175" s="7"/>
      <c r="QZ175" s="7"/>
      <c r="RA175" s="7"/>
      <c r="RB175" s="7"/>
      <c r="RC175" s="7"/>
      <c r="RD175" s="7"/>
      <c r="RE175" s="7"/>
      <c r="RF175" s="7"/>
      <c r="RG175" s="7"/>
      <c r="RH175" s="7"/>
      <c r="RI175" s="7"/>
      <c r="RJ175" s="7"/>
      <c r="RK175" s="7"/>
      <c r="RL175" s="7"/>
      <c r="RM175" s="7"/>
      <c r="RN175" s="7"/>
      <c r="RO175" s="7"/>
      <c r="RP175" s="7"/>
      <c r="RQ175" s="7"/>
      <c r="RR175" s="7"/>
      <c r="RS175" s="7"/>
      <c r="RT175" s="7"/>
      <c r="RU175" s="7"/>
      <c r="RV175" s="7"/>
      <c r="RW175" s="7"/>
      <c r="RX175" s="7"/>
      <c r="RY175" s="7"/>
      <c r="RZ175" s="7"/>
      <c r="SA175" s="7"/>
      <c r="SB175" s="7"/>
      <c r="SC175" s="7"/>
      <c r="SD175" s="7"/>
      <c r="SE175" s="7"/>
      <c r="SF175" s="7"/>
      <c r="SG175" s="7"/>
      <c r="SH175" s="7"/>
      <c r="SI175" s="7"/>
      <c r="SJ175" s="7"/>
      <c r="SK175" s="7"/>
      <c r="SL175" s="7"/>
      <c r="SM175" s="7"/>
      <c r="SN175" s="7"/>
      <c r="SO175" s="7"/>
      <c r="SP175" s="7"/>
      <c r="SQ175" s="7"/>
      <c r="SR175" s="7"/>
      <c r="SS175" s="7"/>
      <c r="ST175" s="7"/>
      <c r="SU175" s="7"/>
      <c r="SV175" s="7"/>
      <c r="SW175" s="7"/>
      <c r="SX175" s="7"/>
      <c r="SY175" s="7"/>
      <c r="SZ175" s="7"/>
      <c r="TA175" s="7"/>
      <c r="TB175" s="7"/>
      <c r="TC175" s="7"/>
      <c r="TD175" s="7"/>
      <c r="TE175" s="7"/>
      <c r="TF175" s="7"/>
      <c r="TG175" s="7"/>
      <c r="TH175" s="7"/>
      <c r="TI175" s="7"/>
      <c r="TJ175" s="7"/>
      <c r="TK175" s="7"/>
      <c r="TL175" s="7"/>
      <c r="TM175" s="7"/>
      <c r="TN175" s="7"/>
      <c r="TO175" s="7"/>
      <c r="TP175" s="7"/>
      <c r="TQ175" s="7"/>
      <c r="TR175" s="7"/>
      <c r="TS175" s="7"/>
      <c r="TT175" s="7"/>
      <c r="TU175" s="7"/>
      <c r="TV175" s="7"/>
      <c r="TW175" s="7"/>
      <c r="TX175" s="7"/>
      <c r="TY175" s="7"/>
      <c r="TZ175" s="7"/>
      <c r="UA175" s="7"/>
      <c r="UB175" s="7"/>
      <c r="UC175" s="7"/>
      <c r="UD175" s="7"/>
      <c r="UE175" s="7"/>
      <c r="UF175" s="7"/>
      <c r="UG175" s="7"/>
      <c r="UH175" s="7"/>
      <c r="UI175" s="7"/>
      <c r="UJ175" s="7"/>
      <c r="UK175" s="7"/>
      <c r="UL175" s="7"/>
      <c r="UM175" s="7"/>
      <c r="UN175" s="7"/>
      <c r="UO175" s="7"/>
      <c r="UP175" s="7"/>
      <c r="UQ175" s="7"/>
      <c r="UR175" s="7"/>
      <c r="US175" s="7"/>
      <c r="UT175" s="7"/>
      <c r="UU175" s="7"/>
      <c r="UV175" s="7"/>
      <c r="UW175" s="7"/>
      <c r="UX175" s="7"/>
      <c r="UY175" s="7"/>
      <c r="UZ175" s="7"/>
      <c r="VA175" s="7"/>
      <c r="VB175" s="7"/>
      <c r="VC175" s="7"/>
      <c r="VD175" s="7"/>
      <c r="VE175" s="7"/>
      <c r="VF175" s="7"/>
      <c r="VG175" s="7"/>
      <c r="VH175" s="7"/>
      <c r="VI175" s="7"/>
      <c r="VJ175" s="7"/>
      <c r="VK175" s="7"/>
      <c r="VL175" s="7"/>
      <c r="VM175" s="7"/>
      <c r="VN175" s="7"/>
      <c r="VO175" s="7"/>
      <c r="VP175" s="7"/>
      <c r="VQ175" s="7"/>
      <c r="VR175" s="7"/>
      <c r="VS175" s="7"/>
      <c r="VT175" s="7"/>
      <c r="VU175" s="7"/>
      <c r="VV175" s="7"/>
      <c r="VW175" s="7"/>
      <c r="VX175" s="7"/>
      <c r="VY175" s="7"/>
      <c r="VZ175" s="7"/>
      <c r="WA175" s="7"/>
      <c r="WB175" s="7"/>
      <c r="WC175" s="7"/>
      <c r="WD175" s="7"/>
      <c r="WE175" s="7"/>
      <c r="WF175" s="7"/>
      <c r="WG175" s="7"/>
      <c r="WH175" s="7"/>
      <c r="WI175" s="7"/>
      <c r="WJ175" s="7"/>
      <c r="WK175" s="7"/>
      <c r="WL175" s="7"/>
      <c r="WM175" s="7"/>
      <c r="WN175" s="7"/>
      <c r="WO175" s="7"/>
      <c r="WP175" s="7"/>
      <c r="WQ175" s="7"/>
      <c r="WR175" s="7"/>
      <c r="WS175" s="7"/>
      <c r="WT175" s="7"/>
      <c r="WU175" s="7"/>
      <c r="WV175" s="7"/>
      <c r="WW175" s="7"/>
      <c r="WX175" s="7"/>
      <c r="WY175" s="7"/>
      <c r="WZ175" s="7"/>
      <c r="XA175" s="7"/>
      <c r="XB175" s="7"/>
      <c r="XC175" s="7"/>
      <c r="XD175" s="7"/>
      <c r="XE175" s="7"/>
      <c r="XF175" s="7"/>
      <c r="XG175" s="7"/>
      <c r="XH175" s="7"/>
      <c r="XI175" s="7"/>
      <c r="XJ175" s="7"/>
      <c r="XK175" s="7"/>
      <c r="XL175" s="7"/>
      <c r="XM175" s="7"/>
      <c r="XN175" s="7"/>
      <c r="XO175" s="7"/>
      <c r="XP175" s="7"/>
      <c r="XQ175" s="7"/>
      <c r="XR175" s="7"/>
      <c r="XS175" s="7"/>
      <c r="XT175" s="7"/>
      <c r="XU175" s="7"/>
      <c r="XV175" s="7"/>
      <c r="XW175" s="7"/>
      <c r="XX175" s="7"/>
      <c r="XY175" s="7"/>
      <c r="XZ175" s="7"/>
      <c r="YA175" s="7"/>
      <c r="YB175" s="7"/>
      <c r="YC175" s="7"/>
      <c r="YD175" s="7"/>
      <c r="YE175" s="7"/>
      <c r="YF175" s="7"/>
      <c r="YG175" s="7"/>
      <c r="YH175" s="7"/>
      <c r="YI175" s="7"/>
      <c r="YJ175" s="7"/>
      <c r="YK175" s="7"/>
      <c r="YL175" s="7"/>
      <c r="YM175" s="7"/>
      <c r="YN175" s="7"/>
      <c r="YO175" s="7"/>
      <c r="YP175" s="7"/>
      <c r="YQ175" s="7"/>
      <c r="YR175" s="7"/>
      <c r="YS175" s="7"/>
      <c r="YT175" s="7"/>
      <c r="YU175" s="7"/>
      <c r="YV175" s="7"/>
      <c r="YW175" s="7"/>
      <c r="YX175" s="7"/>
      <c r="YY175" s="7"/>
      <c r="YZ175" s="7"/>
      <c r="ZA175" s="7"/>
      <c r="ZB175" s="7"/>
      <c r="ZC175" s="7"/>
      <c r="ZD175" s="7"/>
      <c r="ZE175" s="7"/>
      <c r="ZF175" s="7"/>
      <c r="ZG175" s="7"/>
      <c r="ZH175" s="7"/>
      <c r="ZI175" s="7"/>
      <c r="ZJ175" s="7"/>
      <c r="ZK175" s="7"/>
      <c r="ZL175" s="7"/>
      <c r="ZM175" s="7"/>
      <c r="ZN175" s="7"/>
      <c r="ZO175" s="7"/>
      <c r="ZP175" s="7"/>
      <c r="ZQ175" s="7"/>
      <c r="ZR175" s="7"/>
      <c r="ZS175" s="7"/>
      <c r="ZT175" s="7"/>
      <c r="ZU175" s="7"/>
      <c r="ZV175" s="7"/>
      <c r="ZW175" s="7"/>
      <c r="ZX175" s="7"/>
      <c r="ZY175" s="7"/>
      <c r="ZZ175" s="7"/>
      <c r="AAA175" s="7"/>
      <c r="AAB175" s="7"/>
      <c r="AAC175" s="7"/>
      <c r="AAD175" s="7"/>
      <c r="AAE175" s="7"/>
      <c r="AAF175" s="7"/>
      <c r="AAG175" s="7"/>
      <c r="AAH175" s="7"/>
      <c r="AAI175" s="7"/>
      <c r="AAJ175" s="7"/>
      <c r="AAK175" s="7"/>
      <c r="AAL175" s="7"/>
      <c r="AAM175" s="7"/>
      <c r="AAN175" s="7"/>
      <c r="AAO175" s="7"/>
      <c r="AAP175" s="7"/>
      <c r="AAQ175" s="7"/>
      <c r="AAR175" s="7"/>
      <c r="AAS175" s="7"/>
      <c r="AAT175" s="7"/>
      <c r="AAU175" s="7"/>
      <c r="AAV175" s="7"/>
      <c r="AAW175" s="7"/>
      <c r="AAX175" s="7"/>
      <c r="AAY175" s="7"/>
      <c r="AAZ175" s="7"/>
      <c r="ABA175" s="7"/>
      <c r="ABB175" s="7"/>
      <c r="ABC175" s="7"/>
      <c r="ABD175" s="7"/>
      <c r="ABE175" s="7"/>
      <c r="ABF175" s="7"/>
      <c r="ABG175" s="7"/>
      <c r="ABH175" s="7"/>
      <c r="ABI175" s="7"/>
      <c r="ABJ175" s="7"/>
      <c r="ABK175" s="7"/>
      <c r="ABL175" s="7"/>
      <c r="ABM175" s="7"/>
      <c r="ABN175" s="7"/>
      <c r="ABO175" s="7"/>
      <c r="ABP175" s="7"/>
      <c r="ABQ175" s="7"/>
      <c r="ABR175" s="7"/>
      <c r="ABS175" s="7"/>
      <c r="ABT175" s="7"/>
      <c r="ABU175" s="7"/>
      <c r="ABV175" s="7"/>
      <c r="ABW175" s="7"/>
      <c r="ABX175" s="7"/>
      <c r="ABY175" s="7"/>
      <c r="ABZ175" s="7"/>
      <c r="ACA175" s="7"/>
      <c r="ACB175" s="7"/>
      <c r="ACC175" s="7"/>
      <c r="ACD175" s="7"/>
      <c r="ACE175" s="7"/>
      <c r="ACF175" s="7"/>
      <c r="ACG175" s="7"/>
      <c r="ACH175" s="7"/>
      <c r="ACI175" s="7"/>
      <c r="ACJ175" s="7"/>
      <c r="ACK175" s="7"/>
      <c r="ACL175" s="7"/>
      <c r="ACM175" s="7"/>
      <c r="ACN175" s="7"/>
      <c r="ACO175" s="7"/>
      <c r="ACP175" s="7"/>
      <c r="ACQ175" s="7"/>
      <c r="ACR175" s="7"/>
      <c r="ACS175" s="7"/>
      <c r="ACT175" s="7"/>
      <c r="ACU175" s="7"/>
      <c r="ACV175" s="7"/>
      <c r="ACW175" s="7"/>
      <c r="ACX175" s="7"/>
      <c r="ACY175" s="7"/>
      <c r="ACZ175" s="7"/>
      <c r="ADA175" s="7"/>
      <c r="ADB175" s="7"/>
      <c r="ADC175" s="7"/>
      <c r="ADD175" s="7"/>
      <c r="ADE175" s="7"/>
      <c r="ADF175" s="7"/>
      <c r="ADG175" s="7"/>
      <c r="ADH175" s="7"/>
      <c r="ADI175" s="7"/>
      <c r="ADJ175" s="7"/>
      <c r="ADK175" s="7"/>
      <c r="ADL175" s="7"/>
      <c r="ADM175" s="7"/>
      <c r="ADN175" s="7"/>
      <c r="ADO175" s="7"/>
      <c r="ADP175" s="7"/>
      <c r="ADQ175" s="7"/>
      <c r="ADR175" s="7"/>
      <c r="ADS175" s="7"/>
      <c r="ADT175" s="7"/>
      <c r="ADU175" s="7"/>
      <c r="ADV175" s="7"/>
      <c r="ADW175" s="7"/>
      <c r="ADX175" s="7"/>
      <c r="ADY175" s="7"/>
      <c r="ADZ175" s="7"/>
      <c r="AEA175" s="7"/>
      <c r="AEB175" s="7"/>
      <c r="AEC175" s="7"/>
      <c r="AED175" s="7"/>
      <c r="AEE175" s="7"/>
      <c r="AEF175" s="7"/>
      <c r="AEG175" s="7"/>
      <c r="AEH175" s="7"/>
      <c r="AEI175" s="7"/>
      <c r="AEJ175" s="7"/>
      <c r="AEK175" s="7"/>
      <c r="AEL175" s="7"/>
      <c r="AEM175" s="7"/>
      <c r="AEN175" s="7"/>
      <c r="AEO175" s="7"/>
      <c r="AEP175" s="7"/>
      <c r="AEQ175" s="7"/>
      <c r="AER175" s="7"/>
      <c r="AES175" s="7"/>
      <c r="AET175" s="7"/>
      <c r="AEU175" s="7"/>
      <c r="AEV175" s="7"/>
      <c r="AEW175" s="7"/>
      <c r="AEX175" s="7"/>
      <c r="AEY175" s="7"/>
      <c r="AEZ175" s="7"/>
      <c r="AFA175" s="7"/>
      <c r="AFB175" s="7"/>
      <c r="AFC175" s="7"/>
      <c r="AFD175" s="7"/>
      <c r="AFE175" s="7"/>
      <c r="AFF175" s="7"/>
      <c r="AFG175" s="7"/>
      <c r="AFH175" s="7"/>
      <c r="AFI175" s="7"/>
      <c r="AFJ175" s="7"/>
      <c r="AFK175" s="7"/>
      <c r="AFL175" s="7"/>
      <c r="AFM175" s="7"/>
      <c r="AFN175" s="7"/>
      <c r="AFO175" s="7"/>
      <c r="AFP175" s="7"/>
      <c r="AFQ175" s="7"/>
      <c r="AFR175" s="7"/>
      <c r="AFS175" s="7"/>
      <c r="AFT175" s="7"/>
      <c r="AFU175" s="7"/>
      <c r="AFV175" s="7"/>
      <c r="AFW175" s="7"/>
      <c r="AFX175" s="7"/>
      <c r="AFY175" s="7"/>
      <c r="AFZ175" s="7"/>
      <c r="AGA175" s="7"/>
      <c r="AGB175" s="7"/>
      <c r="AGC175" s="7"/>
      <c r="AGD175" s="7"/>
      <c r="AGE175" s="7"/>
      <c r="AGF175" s="7"/>
      <c r="AGG175" s="7"/>
      <c r="AGH175" s="7"/>
      <c r="AGI175" s="7"/>
      <c r="AGJ175" s="7"/>
      <c r="AGK175" s="7"/>
      <c r="AGL175" s="7"/>
      <c r="AGM175" s="7"/>
      <c r="AGN175" s="7"/>
      <c r="AGO175" s="7"/>
      <c r="AGP175" s="7"/>
      <c r="AGQ175" s="7"/>
      <c r="AGR175" s="7"/>
      <c r="AGS175" s="7"/>
      <c r="AGT175" s="7"/>
      <c r="AGU175" s="7"/>
      <c r="AGV175" s="7"/>
      <c r="AGW175" s="7"/>
      <c r="AGX175" s="7"/>
      <c r="AGY175" s="7"/>
      <c r="AGZ175" s="7"/>
      <c r="AHA175" s="7"/>
      <c r="AHB175" s="7"/>
      <c r="AHC175" s="7"/>
      <c r="AHD175" s="7"/>
      <c r="AHE175" s="7"/>
      <c r="AHF175" s="7"/>
      <c r="AHG175" s="7"/>
      <c r="AHH175" s="7"/>
      <c r="AHI175" s="7"/>
      <c r="AHJ175" s="7"/>
      <c r="AHK175" s="7"/>
      <c r="AHL175" s="7"/>
      <c r="AHM175" s="7"/>
      <c r="AHN175" s="7"/>
      <c r="AHO175" s="7"/>
      <c r="AHP175" s="7"/>
      <c r="AHQ175" s="7"/>
      <c r="AHR175" s="7"/>
      <c r="AHS175" s="7"/>
      <c r="AHT175" s="7"/>
      <c r="AHU175" s="7"/>
      <c r="AHV175" s="7"/>
      <c r="AHW175" s="7"/>
      <c r="AHX175" s="7"/>
      <c r="AHY175" s="7"/>
      <c r="AHZ175" s="7"/>
      <c r="AIA175" s="7"/>
      <c r="AIB175" s="7"/>
      <c r="AIC175" s="7"/>
      <c r="AID175" s="7"/>
      <c r="AIE175" s="7"/>
      <c r="AIF175" s="7"/>
      <c r="AIG175" s="7"/>
      <c r="AIH175" s="7"/>
      <c r="AII175" s="7"/>
      <c r="AIJ175" s="7"/>
      <c r="AIK175" s="7"/>
      <c r="AIL175" s="7"/>
      <c r="AIM175" s="7"/>
      <c r="AIN175" s="7"/>
      <c r="AIO175" s="7"/>
      <c r="AIP175" s="7"/>
      <c r="AIQ175" s="7"/>
      <c r="AIR175" s="7"/>
      <c r="AIS175" s="7"/>
      <c r="AIT175" s="7"/>
      <c r="AIU175" s="7"/>
      <c r="AIV175" s="7"/>
      <c r="AIW175" s="7"/>
      <c r="AIX175" s="7"/>
      <c r="AIY175" s="7"/>
      <c r="AIZ175" s="7"/>
      <c r="AJA175" s="7"/>
      <c r="AJB175" s="7"/>
      <c r="AJC175" s="7"/>
      <c r="AJD175" s="7"/>
      <c r="AJE175" s="7"/>
      <c r="AJF175" s="7"/>
      <c r="AJG175" s="7"/>
      <c r="AJH175" s="7"/>
      <c r="AJI175" s="7"/>
      <c r="AJJ175" s="7"/>
      <c r="AJK175" s="7"/>
      <c r="AJL175" s="7"/>
      <c r="AJM175" s="7"/>
      <c r="AJN175" s="7"/>
      <c r="AJO175" s="7"/>
      <c r="AJP175" s="7"/>
      <c r="AJQ175" s="7"/>
      <c r="AJR175" s="7"/>
      <c r="AJS175" s="7"/>
      <c r="AJT175" s="7"/>
      <c r="AJU175" s="7"/>
      <c r="AJV175" s="7"/>
      <c r="AJW175" s="7"/>
      <c r="AJX175" s="7"/>
      <c r="AJY175" s="7"/>
      <c r="AJZ175" s="7"/>
      <c r="AKA175" s="7"/>
      <c r="AKB175" s="7"/>
      <c r="AKC175" s="7"/>
      <c r="AKD175" s="7"/>
      <c r="AKE175" s="7"/>
      <c r="AKF175" s="7"/>
      <c r="AKG175" s="7"/>
      <c r="AKH175" s="7"/>
      <c r="AKI175" s="7"/>
      <c r="AKJ175" s="7"/>
      <c r="AKK175" s="7"/>
      <c r="AKL175" s="7"/>
      <c r="AKM175" s="7"/>
      <c r="AKN175" s="7"/>
      <c r="AKO175" s="7"/>
      <c r="AKP175" s="7"/>
      <c r="AKQ175" s="7"/>
      <c r="AKR175" s="7"/>
      <c r="AKS175" s="7"/>
      <c r="AKT175" s="7"/>
      <c r="AKU175" s="7"/>
      <c r="AKV175" s="7"/>
      <c r="AKW175" s="7"/>
      <c r="AKX175" s="7"/>
      <c r="AKY175" s="7"/>
      <c r="AKZ175" s="7"/>
      <c r="ALA175" s="7"/>
      <c r="ALB175" s="7"/>
      <c r="ALC175" s="7"/>
      <c r="ALD175" s="7"/>
      <c r="ALE175" s="7"/>
      <c r="ALF175" s="7"/>
      <c r="ALG175" s="7"/>
      <c r="ALH175" s="7"/>
      <c r="ALI175" s="7"/>
      <c r="ALJ175" s="7"/>
      <c r="ALK175" s="7"/>
      <c r="ALL175" s="7"/>
      <c r="ALM175" s="7"/>
      <c r="ALN175" s="7"/>
      <c r="ALO175" s="7"/>
      <c r="ALP175" s="7"/>
      <c r="ALQ175" s="7"/>
      <c r="ALR175" s="7"/>
      <c r="ALS175" s="7"/>
      <c r="ALT175" s="7"/>
      <c r="ALU175" s="7"/>
      <c r="ALV175" s="7"/>
      <c r="ALW175" s="7"/>
      <c r="ALX175" s="7"/>
      <c r="ALY175" s="7"/>
      <c r="ALZ175" s="7"/>
      <c r="AMA175" s="7"/>
      <c r="AMB175" s="7"/>
      <c r="AMC175" s="7"/>
      <c r="AMD175" s="7"/>
      <c r="AME175" s="7"/>
      <c r="AMF175" s="7"/>
      <c r="AMG175" s="7"/>
      <c r="AMH175" s="7"/>
      <c r="AMI175" s="7"/>
      <c r="AMJ175" s="7"/>
    </row>
    <row r="176" customFormat="false" ht="15.75" hidden="false" customHeight="true" outlineLevel="0" collapsed="false">
      <c r="A176" s="7"/>
      <c r="B176" s="7"/>
      <c r="C176" s="291" t="s">
        <v>40</v>
      </c>
      <c r="D176" s="292" t="n">
        <f aca="false">D36+D63</f>
        <v>945</v>
      </c>
      <c r="E176" s="293" t="n">
        <f aca="false">F36+F63</f>
        <v>20</v>
      </c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OV176" s="7"/>
      <c r="OW176" s="7"/>
      <c r="OX176" s="7"/>
      <c r="OY176" s="7"/>
      <c r="OZ176" s="7"/>
      <c r="PA176" s="7"/>
      <c r="PB176" s="7"/>
      <c r="PC176" s="7"/>
      <c r="PD176" s="7"/>
      <c r="PE176" s="7"/>
      <c r="PF176" s="7"/>
      <c r="PG176" s="7"/>
      <c r="PH176" s="7"/>
      <c r="PI176" s="7"/>
      <c r="PJ176" s="7"/>
      <c r="PK176" s="7"/>
      <c r="PL176" s="7"/>
      <c r="PM176" s="7"/>
      <c r="PN176" s="7"/>
      <c r="PO176" s="7"/>
      <c r="PP176" s="7"/>
      <c r="PQ176" s="7"/>
      <c r="PR176" s="7"/>
      <c r="PS176" s="7"/>
      <c r="PT176" s="7"/>
      <c r="PU176" s="7"/>
      <c r="PV176" s="7"/>
      <c r="PW176" s="7"/>
      <c r="PX176" s="7"/>
      <c r="PY176" s="7"/>
      <c r="PZ176" s="7"/>
      <c r="QA176" s="7"/>
      <c r="QB176" s="7"/>
      <c r="QC176" s="7"/>
      <c r="QD176" s="7"/>
      <c r="QE176" s="7"/>
      <c r="QF176" s="7"/>
      <c r="QG176" s="7"/>
      <c r="QH176" s="7"/>
      <c r="QI176" s="7"/>
      <c r="QJ176" s="7"/>
      <c r="QK176" s="7"/>
      <c r="QL176" s="7"/>
      <c r="QM176" s="7"/>
      <c r="QN176" s="7"/>
      <c r="QO176" s="7"/>
      <c r="QP176" s="7"/>
      <c r="QQ176" s="7"/>
      <c r="QR176" s="7"/>
      <c r="QS176" s="7"/>
      <c r="QT176" s="7"/>
      <c r="QU176" s="7"/>
      <c r="QV176" s="7"/>
      <c r="QW176" s="7"/>
      <c r="QX176" s="7"/>
      <c r="QY176" s="7"/>
      <c r="QZ176" s="7"/>
      <c r="RA176" s="7"/>
      <c r="RB176" s="7"/>
      <c r="RC176" s="7"/>
      <c r="RD176" s="7"/>
      <c r="RE176" s="7"/>
      <c r="RF176" s="7"/>
      <c r="RG176" s="7"/>
      <c r="RH176" s="7"/>
      <c r="RI176" s="7"/>
      <c r="RJ176" s="7"/>
      <c r="RK176" s="7"/>
      <c r="RL176" s="7"/>
      <c r="RM176" s="7"/>
      <c r="RN176" s="7"/>
      <c r="RO176" s="7"/>
      <c r="RP176" s="7"/>
      <c r="RQ176" s="7"/>
      <c r="RR176" s="7"/>
      <c r="RS176" s="7"/>
      <c r="RT176" s="7"/>
      <c r="RU176" s="7"/>
      <c r="RV176" s="7"/>
      <c r="RW176" s="7"/>
      <c r="RX176" s="7"/>
      <c r="RY176" s="7"/>
      <c r="RZ176" s="7"/>
      <c r="SA176" s="7"/>
      <c r="SB176" s="7"/>
      <c r="SC176" s="7"/>
      <c r="SD176" s="7"/>
      <c r="SE176" s="7"/>
      <c r="SF176" s="7"/>
      <c r="SG176" s="7"/>
      <c r="SH176" s="7"/>
      <c r="SI176" s="7"/>
      <c r="SJ176" s="7"/>
      <c r="SK176" s="7"/>
      <c r="SL176" s="7"/>
      <c r="SM176" s="7"/>
      <c r="SN176" s="7"/>
      <c r="SO176" s="7"/>
      <c r="SP176" s="7"/>
      <c r="SQ176" s="7"/>
      <c r="SR176" s="7"/>
      <c r="SS176" s="7"/>
      <c r="ST176" s="7"/>
      <c r="SU176" s="7"/>
      <c r="SV176" s="7"/>
      <c r="SW176" s="7"/>
      <c r="SX176" s="7"/>
      <c r="SY176" s="7"/>
      <c r="SZ176" s="7"/>
      <c r="TA176" s="7"/>
      <c r="TB176" s="7"/>
      <c r="TC176" s="7"/>
      <c r="TD176" s="7"/>
      <c r="TE176" s="7"/>
      <c r="TF176" s="7"/>
      <c r="TG176" s="7"/>
      <c r="TH176" s="7"/>
      <c r="TI176" s="7"/>
      <c r="TJ176" s="7"/>
      <c r="TK176" s="7"/>
      <c r="TL176" s="7"/>
      <c r="TM176" s="7"/>
      <c r="TN176" s="7"/>
      <c r="TO176" s="7"/>
      <c r="TP176" s="7"/>
      <c r="TQ176" s="7"/>
      <c r="TR176" s="7"/>
      <c r="TS176" s="7"/>
      <c r="TT176" s="7"/>
      <c r="TU176" s="7"/>
      <c r="TV176" s="7"/>
      <c r="TW176" s="7"/>
      <c r="TX176" s="7"/>
      <c r="TY176" s="7"/>
      <c r="TZ176" s="7"/>
      <c r="UA176" s="7"/>
      <c r="UB176" s="7"/>
      <c r="UC176" s="7"/>
      <c r="UD176" s="7"/>
      <c r="UE176" s="7"/>
      <c r="UF176" s="7"/>
      <c r="UG176" s="7"/>
      <c r="UH176" s="7"/>
      <c r="UI176" s="7"/>
      <c r="UJ176" s="7"/>
      <c r="UK176" s="7"/>
      <c r="UL176" s="7"/>
      <c r="UM176" s="7"/>
      <c r="UN176" s="7"/>
      <c r="UO176" s="7"/>
      <c r="UP176" s="7"/>
      <c r="UQ176" s="7"/>
      <c r="UR176" s="7"/>
      <c r="US176" s="7"/>
      <c r="UT176" s="7"/>
      <c r="UU176" s="7"/>
      <c r="UV176" s="7"/>
      <c r="UW176" s="7"/>
      <c r="UX176" s="7"/>
      <c r="UY176" s="7"/>
      <c r="UZ176" s="7"/>
      <c r="VA176" s="7"/>
      <c r="VB176" s="7"/>
      <c r="VC176" s="7"/>
      <c r="VD176" s="7"/>
      <c r="VE176" s="7"/>
      <c r="VF176" s="7"/>
      <c r="VG176" s="7"/>
      <c r="VH176" s="7"/>
      <c r="VI176" s="7"/>
      <c r="VJ176" s="7"/>
      <c r="VK176" s="7"/>
      <c r="VL176" s="7"/>
      <c r="VM176" s="7"/>
      <c r="VN176" s="7"/>
      <c r="VO176" s="7"/>
      <c r="VP176" s="7"/>
      <c r="VQ176" s="7"/>
      <c r="VR176" s="7"/>
      <c r="VS176" s="7"/>
      <c r="VT176" s="7"/>
      <c r="VU176" s="7"/>
      <c r="VV176" s="7"/>
      <c r="VW176" s="7"/>
      <c r="VX176" s="7"/>
      <c r="VY176" s="7"/>
      <c r="VZ176" s="7"/>
      <c r="WA176" s="7"/>
      <c r="WB176" s="7"/>
      <c r="WC176" s="7"/>
      <c r="WD176" s="7"/>
      <c r="WE176" s="7"/>
      <c r="WF176" s="7"/>
      <c r="WG176" s="7"/>
      <c r="WH176" s="7"/>
      <c r="WI176" s="7"/>
      <c r="WJ176" s="7"/>
      <c r="WK176" s="7"/>
      <c r="WL176" s="7"/>
      <c r="WM176" s="7"/>
      <c r="WN176" s="7"/>
      <c r="WO176" s="7"/>
      <c r="WP176" s="7"/>
      <c r="WQ176" s="7"/>
      <c r="WR176" s="7"/>
      <c r="WS176" s="7"/>
      <c r="WT176" s="7"/>
      <c r="WU176" s="7"/>
      <c r="WV176" s="7"/>
      <c r="WW176" s="7"/>
      <c r="WX176" s="7"/>
      <c r="WY176" s="7"/>
      <c r="WZ176" s="7"/>
      <c r="XA176" s="7"/>
      <c r="XB176" s="7"/>
      <c r="XC176" s="7"/>
      <c r="XD176" s="7"/>
      <c r="XE176" s="7"/>
      <c r="XF176" s="7"/>
      <c r="XG176" s="7"/>
      <c r="XH176" s="7"/>
      <c r="XI176" s="7"/>
      <c r="XJ176" s="7"/>
      <c r="XK176" s="7"/>
      <c r="XL176" s="7"/>
      <c r="XM176" s="7"/>
      <c r="XN176" s="7"/>
      <c r="XO176" s="7"/>
      <c r="XP176" s="7"/>
      <c r="XQ176" s="7"/>
      <c r="XR176" s="7"/>
      <c r="XS176" s="7"/>
      <c r="XT176" s="7"/>
      <c r="XU176" s="7"/>
      <c r="XV176" s="7"/>
      <c r="XW176" s="7"/>
      <c r="XX176" s="7"/>
      <c r="XY176" s="7"/>
      <c r="XZ176" s="7"/>
      <c r="YA176" s="7"/>
      <c r="YB176" s="7"/>
      <c r="YC176" s="7"/>
      <c r="YD176" s="7"/>
      <c r="YE176" s="7"/>
      <c r="YF176" s="7"/>
      <c r="YG176" s="7"/>
      <c r="YH176" s="7"/>
      <c r="YI176" s="7"/>
      <c r="YJ176" s="7"/>
      <c r="YK176" s="7"/>
      <c r="YL176" s="7"/>
      <c r="YM176" s="7"/>
      <c r="YN176" s="7"/>
      <c r="YO176" s="7"/>
      <c r="YP176" s="7"/>
      <c r="YQ176" s="7"/>
      <c r="YR176" s="7"/>
      <c r="YS176" s="7"/>
      <c r="YT176" s="7"/>
      <c r="YU176" s="7"/>
      <c r="YV176" s="7"/>
      <c r="YW176" s="7"/>
      <c r="YX176" s="7"/>
      <c r="YY176" s="7"/>
      <c r="YZ176" s="7"/>
      <c r="ZA176" s="7"/>
      <c r="ZB176" s="7"/>
      <c r="ZC176" s="7"/>
      <c r="ZD176" s="7"/>
      <c r="ZE176" s="7"/>
      <c r="ZF176" s="7"/>
      <c r="ZG176" s="7"/>
      <c r="ZH176" s="7"/>
      <c r="ZI176" s="7"/>
      <c r="ZJ176" s="7"/>
      <c r="ZK176" s="7"/>
      <c r="ZL176" s="7"/>
      <c r="ZM176" s="7"/>
      <c r="ZN176" s="7"/>
      <c r="ZO176" s="7"/>
      <c r="ZP176" s="7"/>
      <c r="ZQ176" s="7"/>
      <c r="ZR176" s="7"/>
      <c r="ZS176" s="7"/>
      <c r="ZT176" s="7"/>
      <c r="ZU176" s="7"/>
      <c r="ZV176" s="7"/>
      <c r="ZW176" s="7"/>
      <c r="ZX176" s="7"/>
      <c r="ZY176" s="7"/>
      <c r="ZZ176" s="7"/>
      <c r="AAA176" s="7"/>
      <c r="AAB176" s="7"/>
      <c r="AAC176" s="7"/>
      <c r="AAD176" s="7"/>
      <c r="AAE176" s="7"/>
      <c r="AAF176" s="7"/>
      <c r="AAG176" s="7"/>
      <c r="AAH176" s="7"/>
      <c r="AAI176" s="7"/>
      <c r="AAJ176" s="7"/>
      <c r="AAK176" s="7"/>
      <c r="AAL176" s="7"/>
      <c r="AAM176" s="7"/>
      <c r="AAN176" s="7"/>
      <c r="AAO176" s="7"/>
      <c r="AAP176" s="7"/>
      <c r="AAQ176" s="7"/>
      <c r="AAR176" s="7"/>
      <c r="AAS176" s="7"/>
      <c r="AAT176" s="7"/>
      <c r="AAU176" s="7"/>
      <c r="AAV176" s="7"/>
      <c r="AAW176" s="7"/>
      <c r="AAX176" s="7"/>
      <c r="AAY176" s="7"/>
      <c r="AAZ176" s="7"/>
      <c r="ABA176" s="7"/>
      <c r="ABB176" s="7"/>
      <c r="ABC176" s="7"/>
      <c r="ABD176" s="7"/>
      <c r="ABE176" s="7"/>
      <c r="ABF176" s="7"/>
      <c r="ABG176" s="7"/>
      <c r="ABH176" s="7"/>
      <c r="ABI176" s="7"/>
      <c r="ABJ176" s="7"/>
      <c r="ABK176" s="7"/>
      <c r="ABL176" s="7"/>
      <c r="ABM176" s="7"/>
      <c r="ABN176" s="7"/>
      <c r="ABO176" s="7"/>
      <c r="ABP176" s="7"/>
      <c r="ABQ176" s="7"/>
      <c r="ABR176" s="7"/>
      <c r="ABS176" s="7"/>
      <c r="ABT176" s="7"/>
      <c r="ABU176" s="7"/>
      <c r="ABV176" s="7"/>
      <c r="ABW176" s="7"/>
      <c r="ABX176" s="7"/>
      <c r="ABY176" s="7"/>
      <c r="ABZ176" s="7"/>
      <c r="ACA176" s="7"/>
      <c r="ACB176" s="7"/>
      <c r="ACC176" s="7"/>
      <c r="ACD176" s="7"/>
      <c r="ACE176" s="7"/>
      <c r="ACF176" s="7"/>
      <c r="ACG176" s="7"/>
      <c r="ACH176" s="7"/>
      <c r="ACI176" s="7"/>
      <c r="ACJ176" s="7"/>
      <c r="ACK176" s="7"/>
      <c r="ACL176" s="7"/>
      <c r="ACM176" s="7"/>
      <c r="ACN176" s="7"/>
      <c r="ACO176" s="7"/>
      <c r="ACP176" s="7"/>
      <c r="ACQ176" s="7"/>
      <c r="ACR176" s="7"/>
      <c r="ACS176" s="7"/>
      <c r="ACT176" s="7"/>
      <c r="ACU176" s="7"/>
      <c r="ACV176" s="7"/>
      <c r="ACW176" s="7"/>
      <c r="ACX176" s="7"/>
      <c r="ACY176" s="7"/>
      <c r="ACZ176" s="7"/>
      <c r="ADA176" s="7"/>
      <c r="ADB176" s="7"/>
      <c r="ADC176" s="7"/>
      <c r="ADD176" s="7"/>
      <c r="ADE176" s="7"/>
      <c r="ADF176" s="7"/>
      <c r="ADG176" s="7"/>
      <c r="ADH176" s="7"/>
      <c r="ADI176" s="7"/>
      <c r="ADJ176" s="7"/>
      <c r="ADK176" s="7"/>
      <c r="ADL176" s="7"/>
      <c r="ADM176" s="7"/>
      <c r="ADN176" s="7"/>
      <c r="ADO176" s="7"/>
      <c r="ADP176" s="7"/>
      <c r="ADQ176" s="7"/>
      <c r="ADR176" s="7"/>
      <c r="ADS176" s="7"/>
      <c r="ADT176" s="7"/>
      <c r="ADU176" s="7"/>
      <c r="ADV176" s="7"/>
      <c r="ADW176" s="7"/>
      <c r="ADX176" s="7"/>
      <c r="ADY176" s="7"/>
      <c r="ADZ176" s="7"/>
      <c r="AEA176" s="7"/>
      <c r="AEB176" s="7"/>
      <c r="AEC176" s="7"/>
      <c r="AED176" s="7"/>
      <c r="AEE176" s="7"/>
      <c r="AEF176" s="7"/>
      <c r="AEG176" s="7"/>
      <c r="AEH176" s="7"/>
      <c r="AEI176" s="7"/>
      <c r="AEJ176" s="7"/>
      <c r="AEK176" s="7"/>
      <c r="AEL176" s="7"/>
      <c r="AEM176" s="7"/>
      <c r="AEN176" s="7"/>
      <c r="AEO176" s="7"/>
      <c r="AEP176" s="7"/>
      <c r="AEQ176" s="7"/>
      <c r="AER176" s="7"/>
      <c r="AES176" s="7"/>
      <c r="AET176" s="7"/>
      <c r="AEU176" s="7"/>
      <c r="AEV176" s="7"/>
      <c r="AEW176" s="7"/>
      <c r="AEX176" s="7"/>
      <c r="AEY176" s="7"/>
      <c r="AEZ176" s="7"/>
      <c r="AFA176" s="7"/>
      <c r="AFB176" s="7"/>
      <c r="AFC176" s="7"/>
      <c r="AFD176" s="7"/>
      <c r="AFE176" s="7"/>
      <c r="AFF176" s="7"/>
      <c r="AFG176" s="7"/>
      <c r="AFH176" s="7"/>
      <c r="AFI176" s="7"/>
      <c r="AFJ176" s="7"/>
      <c r="AFK176" s="7"/>
      <c r="AFL176" s="7"/>
      <c r="AFM176" s="7"/>
      <c r="AFN176" s="7"/>
      <c r="AFO176" s="7"/>
      <c r="AFP176" s="7"/>
      <c r="AFQ176" s="7"/>
      <c r="AFR176" s="7"/>
      <c r="AFS176" s="7"/>
      <c r="AFT176" s="7"/>
      <c r="AFU176" s="7"/>
      <c r="AFV176" s="7"/>
      <c r="AFW176" s="7"/>
      <c r="AFX176" s="7"/>
      <c r="AFY176" s="7"/>
      <c r="AFZ176" s="7"/>
      <c r="AGA176" s="7"/>
      <c r="AGB176" s="7"/>
      <c r="AGC176" s="7"/>
      <c r="AGD176" s="7"/>
      <c r="AGE176" s="7"/>
      <c r="AGF176" s="7"/>
      <c r="AGG176" s="7"/>
      <c r="AGH176" s="7"/>
      <c r="AGI176" s="7"/>
      <c r="AGJ176" s="7"/>
      <c r="AGK176" s="7"/>
      <c r="AGL176" s="7"/>
      <c r="AGM176" s="7"/>
      <c r="AGN176" s="7"/>
      <c r="AGO176" s="7"/>
      <c r="AGP176" s="7"/>
      <c r="AGQ176" s="7"/>
      <c r="AGR176" s="7"/>
      <c r="AGS176" s="7"/>
      <c r="AGT176" s="7"/>
      <c r="AGU176" s="7"/>
      <c r="AGV176" s="7"/>
      <c r="AGW176" s="7"/>
      <c r="AGX176" s="7"/>
      <c r="AGY176" s="7"/>
      <c r="AGZ176" s="7"/>
      <c r="AHA176" s="7"/>
      <c r="AHB176" s="7"/>
      <c r="AHC176" s="7"/>
      <c r="AHD176" s="7"/>
      <c r="AHE176" s="7"/>
      <c r="AHF176" s="7"/>
      <c r="AHG176" s="7"/>
      <c r="AHH176" s="7"/>
      <c r="AHI176" s="7"/>
      <c r="AHJ176" s="7"/>
      <c r="AHK176" s="7"/>
      <c r="AHL176" s="7"/>
      <c r="AHM176" s="7"/>
      <c r="AHN176" s="7"/>
      <c r="AHO176" s="7"/>
      <c r="AHP176" s="7"/>
      <c r="AHQ176" s="7"/>
      <c r="AHR176" s="7"/>
      <c r="AHS176" s="7"/>
      <c r="AHT176" s="7"/>
      <c r="AHU176" s="7"/>
      <c r="AHV176" s="7"/>
      <c r="AHW176" s="7"/>
      <c r="AHX176" s="7"/>
      <c r="AHY176" s="7"/>
      <c r="AHZ176" s="7"/>
      <c r="AIA176" s="7"/>
      <c r="AIB176" s="7"/>
      <c r="AIC176" s="7"/>
      <c r="AID176" s="7"/>
      <c r="AIE176" s="7"/>
      <c r="AIF176" s="7"/>
      <c r="AIG176" s="7"/>
      <c r="AIH176" s="7"/>
      <c r="AII176" s="7"/>
      <c r="AIJ176" s="7"/>
      <c r="AIK176" s="7"/>
      <c r="AIL176" s="7"/>
      <c r="AIM176" s="7"/>
      <c r="AIN176" s="7"/>
      <c r="AIO176" s="7"/>
      <c r="AIP176" s="7"/>
      <c r="AIQ176" s="7"/>
      <c r="AIR176" s="7"/>
      <c r="AIS176" s="7"/>
      <c r="AIT176" s="7"/>
      <c r="AIU176" s="7"/>
      <c r="AIV176" s="7"/>
      <c r="AIW176" s="7"/>
      <c r="AIX176" s="7"/>
      <c r="AIY176" s="7"/>
      <c r="AIZ176" s="7"/>
      <c r="AJA176" s="7"/>
      <c r="AJB176" s="7"/>
      <c r="AJC176" s="7"/>
      <c r="AJD176" s="7"/>
      <c r="AJE176" s="7"/>
      <c r="AJF176" s="7"/>
      <c r="AJG176" s="7"/>
      <c r="AJH176" s="7"/>
      <c r="AJI176" s="7"/>
      <c r="AJJ176" s="7"/>
      <c r="AJK176" s="7"/>
      <c r="AJL176" s="7"/>
      <c r="AJM176" s="7"/>
      <c r="AJN176" s="7"/>
      <c r="AJO176" s="7"/>
      <c r="AJP176" s="7"/>
      <c r="AJQ176" s="7"/>
      <c r="AJR176" s="7"/>
      <c r="AJS176" s="7"/>
      <c r="AJT176" s="7"/>
      <c r="AJU176" s="7"/>
      <c r="AJV176" s="7"/>
      <c r="AJW176" s="7"/>
      <c r="AJX176" s="7"/>
      <c r="AJY176" s="7"/>
      <c r="AJZ176" s="7"/>
      <c r="AKA176" s="7"/>
      <c r="AKB176" s="7"/>
      <c r="AKC176" s="7"/>
      <c r="AKD176" s="7"/>
      <c r="AKE176" s="7"/>
      <c r="AKF176" s="7"/>
      <c r="AKG176" s="7"/>
      <c r="AKH176" s="7"/>
      <c r="AKI176" s="7"/>
      <c r="AKJ176" s="7"/>
      <c r="AKK176" s="7"/>
      <c r="AKL176" s="7"/>
      <c r="AKM176" s="7"/>
      <c r="AKN176" s="7"/>
      <c r="AKO176" s="7"/>
      <c r="AKP176" s="7"/>
      <c r="AKQ176" s="7"/>
      <c r="AKR176" s="7"/>
      <c r="AKS176" s="7"/>
      <c r="AKT176" s="7"/>
      <c r="AKU176" s="7"/>
      <c r="AKV176" s="7"/>
      <c r="AKW176" s="7"/>
      <c r="AKX176" s="7"/>
      <c r="AKY176" s="7"/>
      <c r="AKZ176" s="7"/>
      <c r="ALA176" s="7"/>
      <c r="ALB176" s="7"/>
      <c r="ALC176" s="7"/>
      <c r="ALD176" s="7"/>
      <c r="ALE176" s="7"/>
      <c r="ALF176" s="7"/>
      <c r="ALG176" s="7"/>
      <c r="ALH176" s="7"/>
      <c r="ALI176" s="7"/>
      <c r="ALJ176" s="7"/>
      <c r="ALK176" s="7"/>
      <c r="ALL176" s="7"/>
      <c r="ALM176" s="7"/>
      <c r="ALN176" s="7"/>
      <c r="ALO176" s="7"/>
      <c r="ALP176" s="7"/>
      <c r="ALQ176" s="7"/>
      <c r="ALR176" s="7"/>
      <c r="ALS176" s="7"/>
      <c r="ALT176" s="7"/>
      <c r="ALU176" s="7"/>
      <c r="ALV176" s="7"/>
      <c r="ALW176" s="7"/>
      <c r="ALX176" s="7"/>
      <c r="ALY176" s="7"/>
      <c r="ALZ176" s="7"/>
      <c r="AMA176" s="7"/>
      <c r="AMB176" s="7"/>
      <c r="AMC176" s="7"/>
      <c r="AMD176" s="7"/>
      <c r="AME176" s="7"/>
      <c r="AMF176" s="7"/>
      <c r="AMG176" s="7"/>
      <c r="AMH176" s="7"/>
      <c r="AMI176" s="7"/>
      <c r="AMJ176" s="7"/>
    </row>
    <row r="177" customFormat="false" ht="15.75" hidden="false" customHeight="true" outlineLevel="0" collapsed="false">
      <c r="A177" s="7"/>
      <c r="B177" s="7"/>
      <c r="C177" s="291" t="s">
        <v>88</v>
      </c>
      <c r="D177" s="292" t="n">
        <f aca="false">D91+D118</f>
        <v>1085</v>
      </c>
      <c r="E177" s="293" t="n">
        <f aca="false">F91+F118</f>
        <v>24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  <c r="OV177" s="7"/>
      <c r="OW177" s="7"/>
      <c r="OX177" s="7"/>
      <c r="OY177" s="7"/>
      <c r="OZ177" s="7"/>
      <c r="PA177" s="7"/>
      <c r="PB177" s="7"/>
      <c r="PC177" s="7"/>
      <c r="PD177" s="7"/>
      <c r="PE177" s="7"/>
      <c r="PF177" s="7"/>
      <c r="PG177" s="7"/>
      <c r="PH177" s="7"/>
      <c r="PI177" s="7"/>
      <c r="PJ177" s="7"/>
      <c r="PK177" s="7"/>
      <c r="PL177" s="7"/>
      <c r="PM177" s="7"/>
      <c r="PN177" s="7"/>
      <c r="PO177" s="7"/>
      <c r="PP177" s="7"/>
      <c r="PQ177" s="7"/>
      <c r="PR177" s="7"/>
      <c r="PS177" s="7"/>
      <c r="PT177" s="7"/>
      <c r="PU177" s="7"/>
      <c r="PV177" s="7"/>
      <c r="PW177" s="7"/>
      <c r="PX177" s="7"/>
      <c r="PY177" s="7"/>
      <c r="PZ177" s="7"/>
      <c r="QA177" s="7"/>
      <c r="QB177" s="7"/>
      <c r="QC177" s="7"/>
      <c r="QD177" s="7"/>
      <c r="QE177" s="7"/>
      <c r="QF177" s="7"/>
      <c r="QG177" s="7"/>
      <c r="QH177" s="7"/>
      <c r="QI177" s="7"/>
      <c r="QJ177" s="7"/>
      <c r="QK177" s="7"/>
      <c r="QL177" s="7"/>
      <c r="QM177" s="7"/>
      <c r="QN177" s="7"/>
      <c r="QO177" s="7"/>
      <c r="QP177" s="7"/>
      <c r="QQ177" s="7"/>
      <c r="QR177" s="7"/>
      <c r="QS177" s="7"/>
      <c r="QT177" s="7"/>
      <c r="QU177" s="7"/>
      <c r="QV177" s="7"/>
      <c r="QW177" s="7"/>
      <c r="QX177" s="7"/>
      <c r="QY177" s="7"/>
      <c r="QZ177" s="7"/>
      <c r="RA177" s="7"/>
      <c r="RB177" s="7"/>
      <c r="RC177" s="7"/>
      <c r="RD177" s="7"/>
      <c r="RE177" s="7"/>
      <c r="RF177" s="7"/>
      <c r="RG177" s="7"/>
      <c r="RH177" s="7"/>
      <c r="RI177" s="7"/>
      <c r="RJ177" s="7"/>
      <c r="RK177" s="7"/>
      <c r="RL177" s="7"/>
      <c r="RM177" s="7"/>
      <c r="RN177" s="7"/>
      <c r="RO177" s="7"/>
      <c r="RP177" s="7"/>
      <c r="RQ177" s="7"/>
      <c r="RR177" s="7"/>
      <c r="RS177" s="7"/>
      <c r="RT177" s="7"/>
      <c r="RU177" s="7"/>
      <c r="RV177" s="7"/>
      <c r="RW177" s="7"/>
      <c r="RX177" s="7"/>
      <c r="RY177" s="7"/>
      <c r="RZ177" s="7"/>
      <c r="SA177" s="7"/>
      <c r="SB177" s="7"/>
      <c r="SC177" s="7"/>
      <c r="SD177" s="7"/>
      <c r="SE177" s="7"/>
      <c r="SF177" s="7"/>
      <c r="SG177" s="7"/>
      <c r="SH177" s="7"/>
      <c r="SI177" s="7"/>
      <c r="SJ177" s="7"/>
      <c r="SK177" s="7"/>
      <c r="SL177" s="7"/>
      <c r="SM177" s="7"/>
      <c r="SN177" s="7"/>
      <c r="SO177" s="7"/>
      <c r="SP177" s="7"/>
      <c r="SQ177" s="7"/>
      <c r="SR177" s="7"/>
      <c r="SS177" s="7"/>
      <c r="ST177" s="7"/>
      <c r="SU177" s="7"/>
      <c r="SV177" s="7"/>
      <c r="SW177" s="7"/>
      <c r="SX177" s="7"/>
      <c r="SY177" s="7"/>
      <c r="SZ177" s="7"/>
      <c r="TA177" s="7"/>
      <c r="TB177" s="7"/>
      <c r="TC177" s="7"/>
      <c r="TD177" s="7"/>
      <c r="TE177" s="7"/>
      <c r="TF177" s="7"/>
      <c r="TG177" s="7"/>
      <c r="TH177" s="7"/>
      <c r="TI177" s="7"/>
      <c r="TJ177" s="7"/>
      <c r="TK177" s="7"/>
      <c r="TL177" s="7"/>
      <c r="TM177" s="7"/>
      <c r="TN177" s="7"/>
      <c r="TO177" s="7"/>
      <c r="TP177" s="7"/>
      <c r="TQ177" s="7"/>
      <c r="TR177" s="7"/>
      <c r="TS177" s="7"/>
      <c r="TT177" s="7"/>
      <c r="TU177" s="7"/>
      <c r="TV177" s="7"/>
      <c r="TW177" s="7"/>
      <c r="TX177" s="7"/>
      <c r="TY177" s="7"/>
      <c r="TZ177" s="7"/>
      <c r="UA177" s="7"/>
      <c r="UB177" s="7"/>
      <c r="UC177" s="7"/>
      <c r="UD177" s="7"/>
      <c r="UE177" s="7"/>
      <c r="UF177" s="7"/>
      <c r="UG177" s="7"/>
      <c r="UH177" s="7"/>
      <c r="UI177" s="7"/>
      <c r="UJ177" s="7"/>
      <c r="UK177" s="7"/>
      <c r="UL177" s="7"/>
      <c r="UM177" s="7"/>
      <c r="UN177" s="7"/>
      <c r="UO177" s="7"/>
      <c r="UP177" s="7"/>
      <c r="UQ177" s="7"/>
      <c r="UR177" s="7"/>
      <c r="US177" s="7"/>
      <c r="UT177" s="7"/>
      <c r="UU177" s="7"/>
      <c r="UV177" s="7"/>
      <c r="UW177" s="7"/>
      <c r="UX177" s="7"/>
      <c r="UY177" s="7"/>
      <c r="UZ177" s="7"/>
      <c r="VA177" s="7"/>
      <c r="VB177" s="7"/>
      <c r="VC177" s="7"/>
      <c r="VD177" s="7"/>
      <c r="VE177" s="7"/>
      <c r="VF177" s="7"/>
      <c r="VG177" s="7"/>
      <c r="VH177" s="7"/>
      <c r="VI177" s="7"/>
      <c r="VJ177" s="7"/>
      <c r="VK177" s="7"/>
      <c r="VL177" s="7"/>
      <c r="VM177" s="7"/>
      <c r="VN177" s="7"/>
      <c r="VO177" s="7"/>
      <c r="VP177" s="7"/>
      <c r="VQ177" s="7"/>
      <c r="VR177" s="7"/>
      <c r="VS177" s="7"/>
      <c r="VT177" s="7"/>
      <c r="VU177" s="7"/>
      <c r="VV177" s="7"/>
      <c r="VW177" s="7"/>
      <c r="VX177" s="7"/>
      <c r="VY177" s="7"/>
      <c r="VZ177" s="7"/>
      <c r="WA177" s="7"/>
      <c r="WB177" s="7"/>
      <c r="WC177" s="7"/>
      <c r="WD177" s="7"/>
      <c r="WE177" s="7"/>
      <c r="WF177" s="7"/>
      <c r="WG177" s="7"/>
      <c r="WH177" s="7"/>
      <c r="WI177" s="7"/>
      <c r="WJ177" s="7"/>
      <c r="WK177" s="7"/>
      <c r="WL177" s="7"/>
      <c r="WM177" s="7"/>
      <c r="WN177" s="7"/>
      <c r="WO177" s="7"/>
      <c r="WP177" s="7"/>
      <c r="WQ177" s="7"/>
      <c r="WR177" s="7"/>
      <c r="WS177" s="7"/>
      <c r="WT177" s="7"/>
      <c r="WU177" s="7"/>
      <c r="WV177" s="7"/>
      <c r="WW177" s="7"/>
      <c r="WX177" s="7"/>
      <c r="WY177" s="7"/>
      <c r="WZ177" s="7"/>
      <c r="XA177" s="7"/>
      <c r="XB177" s="7"/>
      <c r="XC177" s="7"/>
      <c r="XD177" s="7"/>
      <c r="XE177" s="7"/>
      <c r="XF177" s="7"/>
      <c r="XG177" s="7"/>
      <c r="XH177" s="7"/>
      <c r="XI177" s="7"/>
      <c r="XJ177" s="7"/>
      <c r="XK177" s="7"/>
      <c r="XL177" s="7"/>
      <c r="XM177" s="7"/>
      <c r="XN177" s="7"/>
      <c r="XO177" s="7"/>
      <c r="XP177" s="7"/>
      <c r="XQ177" s="7"/>
      <c r="XR177" s="7"/>
      <c r="XS177" s="7"/>
      <c r="XT177" s="7"/>
      <c r="XU177" s="7"/>
      <c r="XV177" s="7"/>
      <c r="XW177" s="7"/>
      <c r="XX177" s="7"/>
      <c r="XY177" s="7"/>
      <c r="XZ177" s="7"/>
      <c r="YA177" s="7"/>
      <c r="YB177" s="7"/>
      <c r="YC177" s="7"/>
      <c r="YD177" s="7"/>
      <c r="YE177" s="7"/>
      <c r="YF177" s="7"/>
      <c r="YG177" s="7"/>
      <c r="YH177" s="7"/>
      <c r="YI177" s="7"/>
      <c r="YJ177" s="7"/>
      <c r="YK177" s="7"/>
      <c r="YL177" s="7"/>
      <c r="YM177" s="7"/>
      <c r="YN177" s="7"/>
      <c r="YO177" s="7"/>
      <c r="YP177" s="7"/>
      <c r="YQ177" s="7"/>
      <c r="YR177" s="7"/>
      <c r="YS177" s="7"/>
      <c r="YT177" s="7"/>
      <c r="YU177" s="7"/>
      <c r="YV177" s="7"/>
      <c r="YW177" s="7"/>
      <c r="YX177" s="7"/>
      <c r="YY177" s="7"/>
      <c r="YZ177" s="7"/>
      <c r="ZA177" s="7"/>
      <c r="ZB177" s="7"/>
      <c r="ZC177" s="7"/>
      <c r="ZD177" s="7"/>
      <c r="ZE177" s="7"/>
      <c r="ZF177" s="7"/>
      <c r="ZG177" s="7"/>
      <c r="ZH177" s="7"/>
      <c r="ZI177" s="7"/>
      <c r="ZJ177" s="7"/>
      <c r="ZK177" s="7"/>
      <c r="ZL177" s="7"/>
      <c r="ZM177" s="7"/>
      <c r="ZN177" s="7"/>
      <c r="ZO177" s="7"/>
      <c r="ZP177" s="7"/>
      <c r="ZQ177" s="7"/>
      <c r="ZR177" s="7"/>
      <c r="ZS177" s="7"/>
      <c r="ZT177" s="7"/>
      <c r="ZU177" s="7"/>
      <c r="ZV177" s="7"/>
      <c r="ZW177" s="7"/>
      <c r="ZX177" s="7"/>
      <c r="ZY177" s="7"/>
      <c r="ZZ177" s="7"/>
      <c r="AAA177" s="7"/>
      <c r="AAB177" s="7"/>
      <c r="AAC177" s="7"/>
      <c r="AAD177" s="7"/>
      <c r="AAE177" s="7"/>
      <c r="AAF177" s="7"/>
      <c r="AAG177" s="7"/>
      <c r="AAH177" s="7"/>
      <c r="AAI177" s="7"/>
      <c r="AAJ177" s="7"/>
      <c r="AAK177" s="7"/>
      <c r="AAL177" s="7"/>
      <c r="AAM177" s="7"/>
      <c r="AAN177" s="7"/>
      <c r="AAO177" s="7"/>
      <c r="AAP177" s="7"/>
      <c r="AAQ177" s="7"/>
      <c r="AAR177" s="7"/>
      <c r="AAS177" s="7"/>
      <c r="AAT177" s="7"/>
      <c r="AAU177" s="7"/>
      <c r="AAV177" s="7"/>
      <c r="AAW177" s="7"/>
      <c r="AAX177" s="7"/>
      <c r="AAY177" s="7"/>
      <c r="AAZ177" s="7"/>
      <c r="ABA177" s="7"/>
      <c r="ABB177" s="7"/>
      <c r="ABC177" s="7"/>
      <c r="ABD177" s="7"/>
      <c r="ABE177" s="7"/>
      <c r="ABF177" s="7"/>
      <c r="ABG177" s="7"/>
      <c r="ABH177" s="7"/>
      <c r="ABI177" s="7"/>
      <c r="ABJ177" s="7"/>
      <c r="ABK177" s="7"/>
      <c r="ABL177" s="7"/>
      <c r="ABM177" s="7"/>
      <c r="ABN177" s="7"/>
      <c r="ABO177" s="7"/>
      <c r="ABP177" s="7"/>
      <c r="ABQ177" s="7"/>
      <c r="ABR177" s="7"/>
      <c r="ABS177" s="7"/>
      <c r="ABT177" s="7"/>
      <c r="ABU177" s="7"/>
      <c r="ABV177" s="7"/>
      <c r="ABW177" s="7"/>
      <c r="ABX177" s="7"/>
      <c r="ABY177" s="7"/>
      <c r="ABZ177" s="7"/>
      <c r="ACA177" s="7"/>
      <c r="ACB177" s="7"/>
      <c r="ACC177" s="7"/>
      <c r="ACD177" s="7"/>
      <c r="ACE177" s="7"/>
      <c r="ACF177" s="7"/>
      <c r="ACG177" s="7"/>
      <c r="ACH177" s="7"/>
      <c r="ACI177" s="7"/>
      <c r="ACJ177" s="7"/>
      <c r="ACK177" s="7"/>
      <c r="ACL177" s="7"/>
      <c r="ACM177" s="7"/>
      <c r="ACN177" s="7"/>
      <c r="ACO177" s="7"/>
      <c r="ACP177" s="7"/>
      <c r="ACQ177" s="7"/>
      <c r="ACR177" s="7"/>
      <c r="ACS177" s="7"/>
      <c r="ACT177" s="7"/>
      <c r="ACU177" s="7"/>
      <c r="ACV177" s="7"/>
      <c r="ACW177" s="7"/>
      <c r="ACX177" s="7"/>
      <c r="ACY177" s="7"/>
      <c r="ACZ177" s="7"/>
      <c r="ADA177" s="7"/>
      <c r="ADB177" s="7"/>
      <c r="ADC177" s="7"/>
      <c r="ADD177" s="7"/>
      <c r="ADE177" s="7"/>
      <c r="ADF177" s="7"/>
      <c r="ADG177" s="7"/>
      <c r="ADH177" s="7"/>
      <c r="ADI177" s="7"/>
      <c r="ADJ177" s="7"/>
      <c r="ADK177" s="7"/>
      <c r="ADL177" s="7"/>
      <c r="ADM177" s="7"/>
      <c r="ADN177" s="7"/>
      <c r="ADO177" s="7"/>
      <c r="ADP177" s="7"/>
      <c r="ADQ177" s="7"/>
      <c r="ADR177" s="7"/>
      <c r="ADS177" s="7"/>
      <c r="ADT177" s="7"/>
      <c r="ADU177" s="7"/>
      <c r="ADV177" s="7"/>
      <c r="ADW177" s="7"/>
      <c r="ADX177" s="7"/>
      <c r="ADY177" s="7"/>
      <c r="ADZ177" s="7"/>
      <c r="AEA177" s="7"/>
      <c r="AEB177" s="7"/>
      <c r="AEC177" s="7"/>
      <c r="AED177" s="7"/>
      <c r="AEE177" s="7"/>
      <c r="AEF177" s="7"/>
      <c r="AEG177" s="7"/>
      <c r="AEH177" s="7"/>
      <c r="AEI177" s="7"/>
      <c r="AEJ177" s="7"/>
      <c r="AEK177" s="7"/>
      <c r="AEL177" s="7"/>
      <c r="AEM177" s="7"/>
      <c r="AEN177" s="7"/>
      <c r="AEO177" s="7"/>
      <c r="AEP177" s="7"/>
      <c r="AEQ177" s="7"/>
      <c r="AER177" s="7"/>
      <c r="AES177" s="7"/>
      <c r="AET177" s="7"/>
      <c r="AEU177" s="7"/>
      <c r="AEV177" s="7"/>
      <c r="AEW177" s="7"/>
      <c r="AEX177" s="7"/>
      <c r="AEY177" s="7"/>
      <c r="AEZ177" s="7"/>
      <c r="AFA177" s="7"/>
      <c r="AFB177" s="7"/>
      <c r="AFC177" s="7"/>
      <c r="AFD177" s="7"/>
      <c r="AFE177" s="7"/>
      <c r="AFF177" s="7"/>
      <c r="AFG177" s="7"/>
      <c r="AFH177" s="7"/>
      <c r="AFI177" s="7"/>
      <c r="AFJ177" s="7"/>
      <c r="AFK177" s="7"/>
      <c r="AFL177" s="7"/>
      <c r="AFM177" s="7"/>
      <c r="AFN177" s="7"/>
      <c r="AFO177" s="7"/>
      <c r="AFP177" s="7"/>
      <c r="AFQ177" s="7"/>
      <c r="AFR177" s="7"/>
      <c r="AFS177" s="7"/>
      <c r="AFT177" s="7"/>
      <c r="AFU177" s="7"/>
      <c r="AFV177" s="7"/>
      <c r="AFW177" s="7"/>
      <c r="AFX177" s="7"/>
      <c r="AFY177" s="7"/>
      <c r="AFZ177" s="7"/>
      <c r="AGA177" s="7"/>
      <c r="AGB177" s="7"/>
      <c r="AGC177" s="7"/>
      <c r="AGD177" s="7"/>
      <c r="AGE177" s="7"/>
      <c r="AGF177" s="7"/>
      <c r="AGG177" s="7"/>
      <c r="AGH177" s="7"/>
      <c r="AGI177" s="7"/>
      <c r="AGJ177" s="7"/>
      <c r="AGK177" s="7"/>
      <c r="AGL177" s="7"/>
      <c r="AGM177" s="7"/>
      <c r="AGN177" s="7"/>
      <c r="AGO177" s="7"/>
      <c r="AGP177" s="7"/>
      <c r="AGQ177" s="7"/>
      <c r="AGR177" s="7"/>
      <c r="AGS177" s="7"/>
      <c r="AGT177" s="7"/>
      <c r="AGU177" s="7"/>
      <c r="AGV177" s="7"/>
      <c r="AGW177" s="7"/>
      <c r="AGX177" s="7"/>
      <c r="AGY177" s="7"/>
      <c r="AGZ177" s="7"/>
      <c r="AHA177" s="7"/>
      <c r="AHB177" s="7"/>
      <c r="AHC177" s="7"/>
      <c r="AHD177" s="7"/>
      <c r="AHE177" s="7"/>
      <c r="AHF177" s="7"/>
      <c r="AHG177" s="7"/>
      <c r="AHH177" s="7"/>
      <c r="AHI177" s="7"/>
      <c r="AHJ177" s="7"/>
      <c r="AHK177" s="7"/>
      <c r="AHL177" s="7"/>
      <c r="AHM177" s="7"/>
      <c r="AHN177" s="7"/>
      <c r="AHO177" s="7"/>
      <c r="AHP177" s="7"/>
      <c r="AHQ177" s="7"/>
      <c r="AHR177" s="7"/>
      <c r="AHS177" s="7"/>
      <c r="AHT177" s="7"/>
      <c r="AHU177" s="7"/>
      <c r="AHV177" s="7"/>
      <c r="AHW177" s="7"/>
      <c r="AHX177" s="7"/>
      <c r="AHY177" s="7"/>
      <c r="AHZ177" s="7"/>
      <c r="AIA177" s="7"/>
      <c r="AIB177" s="7"/>
      <c r="AIC177" s="7"/>
      <c r="AID177" s="7"/>
      <c r="AIE177" s="7"/>
      <c r="AIF177" s="7"/>
      <c r="AIG177" s="7"/>
      <c r="AIH177" s="7"/>
      <c r="AII177" s="7"/>
      <c r="AIJ177" s="7"/>
      <c r="AIK177" s="7"/>
      <c r="AIL177" s="7"/>
      <c r="AIM177" s="7"/>
      <c r="AIN177" s="7"/>
      <c r="AIO177" s="7"/>
      <c r="AIP177" s="7"/>
      <c r="AIQ177" s="7"/>
      <c r="AIR177" s="7"/>
      <c r="AIS177" s="7"/>
      <c r="AIT177" s="7"/>
      <c r="AIU177" s="7"/>
      <c r="AIV177" s="7"/>
      <c r="AIW177" s="7"/>
      <c r="AIX177" s="7"/>
      <c r="AIY177" s="7"/>
      <c r="AIZ177" s="7"/>
      <c r="AJA177" s="7"/>
      <c r="AJB177" s="7"/>
      <c r="AJC177" s="7"/>
      <c r="AJD177" s="7"/>
      <c r="AJE177" s="7"/>
      <c r="AJF177" s="7"/>
      <c r="AJG177" s="7"/>
      <c r="AJH177" s="7"/>
      <c r="AJI177" s="7"/>
      <c r="AJJ177" s="7"/>
      <c r="AJK177" s="7"/>
      <c r="AJL177" s="7"/>
      <c r="AJM177" s="7"/>
      <c r="AJN177" s="7"/>
      <c r="AJO177" s="7"/>
      <c r="AJP177" s="7"/>
      <c r="AJQ177" s="7"/>
      <c r="AJR177" s="7"/>
      <c r="AJS177" s="7"/>
      <c r="AJT177" s="7"/>
      <c r="AJU177" s="7"/>
      <c r="AJV177" s="7"/>
      <c r="AJW177" s="7"/>
      <c r="AJX177" s="7"/>
      <c r="AJY177" s="7"/>
      <c r="AJZ177" s="7"/>
      <c r="AKA177" s="7"/>
      <c r="AKB177" s="7"/>
      <c r="AKC177" s="7"/>
      <c r="AKD177" s="7"/>
      <c r="AKE177" s="7"/>
      <c r="AKF177" s="7"/>
      <c r="AKG177" s="7"/>
      <c r="AKH177" s="7"/>
      <c r="AKI177" s="7"/>
      <c r="AKJ177" s="7"/>
      <c r="AKK177" s="7"/>
      <c r="AKL177" s="7"/>
      <c r="AKM177" s="7"/>
      <c r="AKN177" s="7"/>
      <c r="AKO177" s="7"/>
      <c r="AKP177" s="7"/>
      <c r="AKQ177" s="7"/>
      <c r="AKR177" s="7"/>
      <c r="AKS177" s="7"/>
      <c r="AKT177" s="7"/>
      <c r="AKU177" s="7"/>
      <c r="AKV177" s="7"/>
      <c r="AKW177" s="7"/>
      <c r="AKX177" s="7"/>
      <c r="AKY177" s="7"/>
      <c r="AKZ177" s="7"/>
      <c r="ALA177" s="7"/>
      <c r="ALB177" s="7"/>
      <c r="ALC177" s="7"/>
      <c r="ALD177" s="7"/>
      <c r="ALE177" s="7"/>
      <c r="ALF177" s="7"/>
      <c r="ALG177" s="7"/>
      <c r="ALH177" s="7"/>
      <c r="ALI177" s="7"/>
      <c r="ALJ177" s="7"/>
      <c r="ALK177" s="7"/>
      <c r="ALL177" s="7"/>
      <c r="ALM177" s="7"/>
      <c r="ALN177" s="7"/>
      <c r="ALO177" s="7"/>
      <c r="ALP177" s="7"/>
      <c r="ALQ177" s="7"/>
      <c r="ALR177" s="7"/>
      <c r="ALS177" s="7"/>
      <c r="ALT177" s="7"/>
      <c r="ALU177" s="7"/>
      <c r="ALV177" s="7"/>
      <c r="ALW177" s="7"/>
      <c r="ALX177" s="7"/>
      <c r="ALY177" s="7"/>
      <c r="ALZ177" s="7"/>
      <c r="AMA177" s="7"/>
      <c r="AMB177" s="7"/>
      <c r="AMC177" s="7"/>
      <c r="AMD177" s="7"/>
      <c r="AME177" s="7"/>
      <c r="AMF177" s="7"/>
      <c r="AMG177" s="7"/>
      <c r="AMH177" s="7"/>
      <c r="AMI177" s="7"/>
      <c r="AMJ177" s="7"/>
    </row>
    <row r="178" customFormat="false" ht="15.75" hidden="false" customHeight="true" outlineLevel="0" collapsed="false">
      <c r="A178" s="7"/>
      <c r="B178" s="7"/>
      <c r="C178" s="291" t="s">
        <v>137</v>
      </c>
      <c r="D178" s="292" t="n">
        <f aca="false">D149+D156</f>
        <v>1260</v>
      </c>
      <c r="E178" s="293" t="n">
        <f aca="false">F149+F156</f>
        <v>30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OV178" s="7"/>
      <c r="OW178" s="7"/>
      <c r="OX178" s="7"/>
      <c r="OY178" s="7"/>
      <c r="OZ178" s="7"/>
      <c r="PA178" s="7"/>
      <c r="PB178" s="7"/>
      <c r="PC178" s="7"/>
      <c r="PD178" s="7"/>
      <c r="PE178" s="7"/>
      <c r="PF178" s="7"/>
      <c r="PG178" s="7"/>
      <c r="PH178" s="7"/>
      <c r="PI178" s="7"/>
      <c r="PJ178" s="7"/>
      <c r="PK178" s="7"/>
      <c r="PL178" s="7"/>
      <c r="PM178" s="7"/>
      <c r="PN178" s="7"/>
      <c r="PO178" s="7"/>
      <c r="PP178" s="7"/>
      <c r="PQ178" s="7"/>
      <c r="PR178" s="7"/>
      <c r="PS178" s="7"/>
      <c r="PT178" s="7"/>
      <c r="PU178" s="7"/>
      <c r="PV178" s="7"/>
      <c r="PW178" s="7"/>
      <c r="PX178" s="7"/>
      <c r="PY178" s="7"/>
      <c r="PZ178" s="7"/>
      <c r="QA178" s="7"/>
      <c r="QB178" s="7"/>
      <c r="QC178" s="7"/>
      <c r="QD178" s="7"/>
      <c r="QE178" s="7"/>
      <c r="QF178" s="7"/>
      <c r="QG178" s="7"/>
      <c r="QH178" s="7"/>
      <c r="QI178" s="7"/>
      <c r="QJ178" s="7"/>
      <c r="QK178" s="7"/>
      <c r="QL178" s="7"/>
      <c r="QM178" s="7"/>
      <c r="QN178" s="7"/>
      <c r="QO178" s="7"/>
      <c r="QP178" s="7"/>
      <c r="QQ178" s="7"/>
      <c r="QR178" s="7"/>
      <c r="QS178" s="7"/>
      <c r="QT178" s="7"/>
      <c r="QU178" s="7"/>
      <c r="QV178" s="7"/>
      <c r="QW178" s="7"/>
      <c r="QX178" s="7"/>
      <c r="QY178" s="7"/>
      <c r="QZ178" s="7"/>
      <c r="RA178" s="7"/>
      <c r="RB178" s="7"/>
      <c r="RC178" s="7"/>
      <c r="RD178" s="7"/>
      <c r="RE178" s="7"/>
      <c r="RF178" s="7"/>
      <c r="RG178" s="7"/>
      <c r="RH178" s="7"/>
      <c r="RI178" s="7"/>
      <c r="RJ178" s="7"/>
      <c r="RK178" s="7"/>
      <c r="RL178" s="7"/>
      <c r="RM178" s="7"/>
      <c r="RN178" s="7"/>
      <c r="RO178" s="7"/>
      <c r="RP178" s="7"/>
      <c r="RQ178" s="7"/>
      <c r="RR178" s="7"/>
      <c r="RS178" s="7"/>
      <c r="RT178" s="7"/>
      <c r="RU178" s="7"/>
      <c r="RV178" s="7"/>
      <c r="RW178" s="7"/>
      <c r="RX178" s="7"/>
      <c r="RY178" s="7"/>
      <c r="RZ178" s="7"/>
      <c r="SA178" s="7"/>
      <c r="SB178" s="7"/>
      <c r="SC178" s="7"/>
      <c r="SD178" s="7"/>
      <c r="SE178" s="7"/>
      <c r="SF178" s="7"/>
      <c r="SG178" s="7"/>
      <c r="SH178" s="7"/>
      <c r="SI178" s="7"/>
      <c r="SJ178" s="7"/>
      <c r="SK178" s="7"/>
      <c r="SL178" s="7"/>
      <c r="SM178" s="7"/>
      <c r="SN178" s="7"/>
      <c r="SO178" s="7"/>
      <c r="SP178" s="7"/>
      <c r="SQ178" s="7"/>
      <c r="SR178" s="7"/>
      <c r="SS178" s="7"/>
      <c r="ST178" s="7"/>
      <c r="SU178" s="7"/>
      <c r="SV178" s="7"/>
      <c r="SW178" s="7"/>
      <c r="SX178" s="7"/>
      <c r="SY178" s="7"/>
      <c r="SZ178" s="7"/>
      <c r="TA178" s="7"/>
      <c r="TB178" s="7"/>
      <c r="TC178" s="7"/>
      <c r="TD178" s="7"/>
      <c r="TE178" s="7"/>
      <c r="TF178" s="7"/>
      <c r="TG178" s="7"/>
      <c r="TH178" s="7"/>
      <c r="TI178" s="7"/>
      <c r="TJ178" s="7"/>
      <c r="TK178" s="7"/>
      <c r="TL178" s="7"/>
      <c r="TM178" s="7"/>
      <c r="TN178" s="7"/>
      <c r="TO178" s="7"/>
      <c r="TP178" s="7"/>
      <c r="TQ178" s="7"/>
      <c r="TR178" s="7"/>
      <c r="TS178" s="7"/>
      <c r="TT178" s="7"/>
      <c r="TU178" s="7"/>
      <c r="TV178" s="7"/>
      <c r="TW178" s="7"/>
      <c r="TX178" s="7"/>
      <c r="TY178" s="7"/>
      <c r="TZ178" s="7"/>
      <c r="UA178" s="7"/>
      <c r="UB178" s="7"/>
      <c r="UC178" s="7"/>
      <c r="UD178" s="7"/>
      <c r="UE178" s="7"/>
      <c r="UF178" s="7"/>
      <c r="UG178" s="7"/>
      <c r="UH178" s="7"/>
      <c r="UI178" s="7"/>
      <c r="UJ178" s="7"/>
      <c r="UK178" s="7"/>
      <c r="UL178" s="7"/>
      <c r="UM178" s="7"/>
      <c r="UN178" s="7"/>
      <c r="UO178" s="7"/>
      <c r="UP178" s="7"/>
      <c r="UQ178" s="7"/>
      <c r="UR178" s="7"/>
      <c r="US178" s="7"/>
      <c r="UT178" s="7"/>
      <c r="UU178" s="7"/>
      <c r="UV178" s="7"/>
      <c r="UW178" s="7"/>
      <c r="UX178" s="7"/>
      <c r="UY178" s="7"/>
      <c r="UZ178" s="7"/>
      <c r="VA178" s="7"/>
      <c r="VB178" s="7"/>
      <c r="VC178" s="7"/>
      <c r="VD178" s="7"/>
      <c r="VE178" s="7"/>
      <c r="VF178" s="7"/>
      <c r="VG178" s="7"/>
      <c r="VH178" s="7"/>
      <c r="VI178" s="7"/>
      <c r="VJ178" s="7"/>
      <c r="VK178" s="7"/>
      <c r="VL178" s="7"/>
      <c r="VM178" s="7"/>
      <c r="VN178" s="7"/>
      <c r="VO178" s="7"/>
      <c r="VP178" s="7"/>
      <c r="VQ178" s="7"/>
      <c r="VR178" s="7"/>
      <c r="VS178" s="7"/>
      <c r="VT178" s="7"/>
      <c r="VU178" s="7"/>
      <c r="VV178" s="7"/>
      <c r="VW178" s="7"/>
      <c r="VX178" s="7"/>
      <c r="VY178" s="7"/>
      <c r="VZ178" s="7"/>
      <c r="WA178" s="7"/>
      <c r="WB178" s="7"/>
      <c r="WC178" s="7"/>
      <c r="WD178" s="7"/>
      <c r="WE178" s="7"/>
      <c r="WF178" s="7"/>
      <c r="WG178" s="7"/>
      <c r="WH178" s="7"/>
      <c r="WI178" s="7"/>
      <c r="WJ178" s="7"/>
      <c r="WK178" s="7"/>
      <c r="WL178" s="7"/>
      <c r="WM178" s="7"/>
      <c r="WN178" s="7"/>
      <c r="WO178" s="7"/>
      <c r="WP178" s="7"/>
      <c r="WQ178" s="7"/>
      <c r="WR178" s="7"/>
      <c r="WS178" s="7"/>
      <c r="WT178" s="7"/>
      <c r="WU178" s="7"/>
      <c r="WV178" s="7"/>
      <c r="WW178" s="7"/>
      <c r="WX178" s="7"/>
      <c r="WY178" s="7"/>
      <c r="WZ178" s="7"/>
      <c r="XA178" s="7"/>
      <c r="XB178" s="7"/>
      <c r="XC178" s="7"/>
      <c r="XD178" s="7"/>
      <c r="XE178" s="7"/>
      <c r="XF178" s="7"/>
      <c r="XG178" s="7"/>
      <c r="XH178" s="7"/>
      <c r="XI178" s="7"/>
      <c r="XJ178" s="7"/>
      <c r="XK178" s="7"/>
      <c r="XL178" s="7"/>
      <c r="XM178" s="7"/>
      <c r="XN178" s="7"/>
      <c r="XO178" s="7"/>
      <c r="XP178" s="7"/>
      <c r="XQ178" s="7"/>
      <c r="XR178" s="7"/>
      <c r="XS178" s="7"/>
      <c r="XT178" s="7"/>
      <c r="XU178" s="7"/>
      <c r="XV178" s="7"/>
      <c r="XW178" s="7"/>
      <c r="XX178" s="7"/>
      <c r="XY178" s="7"/>
      <c r="XZ178" s="7"/>
      <c r="YA178" s="7"/>
      <c r="YB178" s="7"/>
      <c r="YC178" s="7"/>
      <c r="YD178" s="7"/>
      <c r="YE178" s="7"/>
      <c r="YF178" s="7"/>
      <c r="YG178" s="7"/>
      <c r="YH178" s="7"/>
      <c r="YI178" s="7"/>
      <c r="YJ178" s="7"/>
      <c r="YK178" s="7"/>
      <c r="YL178" s="7"/>
      <c r="YM178" s="7"/>
      <c r="YN178" s="7"/>
      <c r="YO178" s="7"/>
      <c r="YP178" s="7"/>
      <c r="YQ178" s="7"/>
      <c r="YR178" s="7"/>
      <c r="YS178" s="7"/>
      <c r="YT178" s="7"/>
      <c r="YU178" s="7"/>
      <c r="YV178" s="7"/>
      <c r="YW178" s="7"/>
      <c r="YX178" s="7"/>
      <c r="YY178" s="7"/>
      <c r="YZ178" s="7"/>
      <c r="ZA178" s="7"/>
      <c r="ZB178" s="7"/>
      <c r="ZC178" s="7"/>
      <c r="ZD178" s="7"/>
      <c r="ZE178" s="7"/>
      <c r="ZF178" s="7"/>
      <c r="ZG178" s="7"/>
      <c r="ZH178" s="7"/>
      <c r="ZI178" s="7"/>
      <c r="ZJ178" s="7"/>
      <c r="ZK178" s="7"/>
      <c r="ZL178" s="7"/>
      <c r="ZM178" s="7"/>
      <c r="ZN178" s="7"/>
      <c r="ZO178" s="7"/>
      <c r="ZP178" s="7"/>
      <c r="ZQ178" s="7"/>
      <c r="ZR178" s="7"/>
      <c r="ZS178" s="7"/>
      <c r="ZT178" s="7"/>
      <c r="ZU178" s="7"/>
      <c r="ZV178" s="7"/>
      <c r="ZW178" s="7"/>
      <c r="ZX178" s="7"/>
      <c r="ZY178" s="7"/>
      <c r="ZZ178" s="7"/>
      <c r="AAA178" s="7"/>
      <c r="AAB178" s="7"/>
      <c r="AAC178" s="7"/>
      <c r="AAD178" s="7"/>
      <c r="AAE178" s="7"/>
      <c r="AAF178" s="7"/>
      <c r="AAG178" s="7"/>
      <c r="AAH178" s="7"/>
      <c r="AAI178" s="7"/>
      <c r="AAJ178" s="7"/>
      <c r="AAK178" s="7"/>
      <c r="AAL178" s="7"/>
      <c r="AAM178" s="7"/>
      <c r="AAN178" s="7"/>
      <c r="AAO178" s="7"/>
      <c r="AAP178" s="7"/>
      <c r="AAQ178" s="7"/>
      <c r="AAR178" s="7"/>
      <c r="AAS178" s="7"/>
      <c r="AAT178" s="7"/>
      <c r="AAU178" s="7"/>
      <c r="AAV178" s="7"/>
      <c r="AAW178" s="7"/>
      <c r="AAX178" s="7"/>
      <c r="AAY178" s="7"/>
      <c r="AAZ178" s="7"/>
      <c r="ABA178" s="7"/>
      <c r="ABB178" s="7"/>
      <c r="ABC178" s="7"/>
      <c r="ABD178" s="7"/>
      <c r="ABE178" s="7"/>
      <c r="ABF178" s="7"/>
      <c r="ABG178" s="7"/>
      <c r="ABH178" s="7"/>
      <c r="ABI178" s="7"/>
      <c r="ABJ178" s="7"/>
      <c r="ABK178" s="7"/>
      <c r="ABL178" s="7"/>
      <c r="ABM178" s="7"/>
      <c r="ABN178" s="7"/>
      <c r="ABO178" s="7"/>
      <c r="ABP178" s="7"/>
      <c r="ABQ178" s="7"/>
      <c r="ABR178" s="7"/>
      <c r="ABS178" s="7"/>
      <c r="ABT178" s="7"/>
      <c r="ABU178" s="7"/>
      <c r="ABV178" s="7"/>
      <c r="ABW178" s="7"/>
      <c r="ABX178" s="7"/>
      <c r="ABY178" s="7"/>
      <c r="ABZ178" s="7"/>
      <c r="ACA178" s="7"/>
      <c r="ACB178" s="7"/>
      <c r="ACC178" s="7"/>
      <c r="ACD178" s="7"/>
      <c r="ACE178" s="7"/>
      <c r="ACF178" s="7"/>
      <c r="ACG178" s="7"/>
      <c r="ACH178" s="7"/>
      <c r="ACI178" s="7"/>
      <c r="ACJ178" s="7"/>
      <c r="ACK178" s="7"/>
      <c r="ACL178" s="7"/>
      <c r="ACM178" s="7"/>
      <c r="ACN178" s="7"/>
      <c r="ACO178" s="7"/>
      <c r="ACP178" s="7"/>
      <c r="ACQ178" s="7"/>
      <c r="ACR178" s="7"/>
      <c r="ACS178" s="7"/>
      <c r="ACT178" s="7"/>
      <c r="ACU178" s="7"/>
      <c r="ACV178" s="7"/>
      <c r="ACW178" s="7"/>
      <c r="ACX178" s="7"/>
      <c r="ACY178" s="7"/>
      <c r="ACZ178" s="7"/>
      <c r="ADA178" s="7"/>
      <c r="ADB178" s="7"/>
      <c r="ADC178" s="7"/>
      <c r="ADD178" s="7"/>
      <c r="ADE178" s="7"/>
      <c r="ADF178" s="7"/>
      <c r="ADG178" s="7"/>
      <c r="ADH178" s="7"/>
      <c r="ADI178" s="7"/>
      <c r="ADJ178" s="7"/>
      <c r="ADK178" s="7"/>
      <c r="ADL178" s="7"/>
      <c r="ADM178" s="7"/>
      <c r="ADN178" s="7"/>
      <c r="ADO178" s="7"/>
      <c r="ADP178" s="7"/>
      <c r="ADQ178" s="7"/>
      <c r="ADR178" s="7"/>
      <c r="ADS178" s="7"/>
      <c r="ADT178" s="7"/>
      <c r="ADU178" s="7"/>
      <c r="ADV178" s="7"/>
      <c r="ADW178" s="7"/>
      <c r="ADX178" s="7"/>
      <c r="ADY178" s="7"/>
      <c r="ADZ178" s="7"/>
      <c r="AEA178" s="7"/>
      <c r="AEB178" s="7"/>
      <c r="AEC178" s="7"/>
      <c r="AED178" s="7"/>
      <c r="AEE178" s="7"/>
      <c r="AEF178" s="7"/>
      <c r="AEG178" s="7"/>
      <c r="AEH178" s="7"/>
      <c r="AEI178" s="7"/>
      <c r="AEJ178" s="7"/>
      <c r="AEK178" s="7"/>
      <c r="AEL178" s="7"/>
      <c r="AEM178" s="7"/>
      <c r="AEN178" s="7"/>
      <c r="AEO178" s="7"/>
      <c r="AEP178" s="7"/>
      <c r="AEQ178" s="7"/>
      <c r="AER178" s="7"/>
      <c r="AES178" s="7"/>
      <c r="AET178" s="7"/>
      <c r="AEU178" s="7"/>
      <c r="AEV178" s="7"/>
      <c r="AEW178" s="7"/>
      <c r="AEX178" s="7"/>
      <c r="AEY178" s="7"/>
      <c r="AEZ178" s="7"/>
      <c r="AFA178" s="7"/>
      <c r="AFB178" s="7"/>
      <c r="AFC178" s="7"/>
      <c r="AFD178" s="7"/>
      <c r="AFE178" s="7"/>
      <c r="AFF178" s="7"/>
      <c r="AFG178" s="7"/>
      <c r="AFH178" s="7"/>
      <c r="AFI178" s="7"/>
      <c r="AFJ178" s="7"/>
      <c r="AFK178" s="7"/>
      <c r="AFL178" s="7"/>
      <c r="AFM178" s="7"/>
      <c r="AFN178" s="7"/>
      <c r="AFO178" s="7"/>
      <c r="AFP178" s="7"/>
      <c r="AFQ178" s="7"/>
      <c r="AFR178" s="7"/>
      <c r="AFS178" s="7"/>
      <c r="AFT178" s="7"/>
      <c r="AFU178" s="7"/>
      <c r="AFV178" s="7"/>
      <c r="AFW178" s="7"/>
      <c r="AFX178" s="7"/>
      <c r="AFY178" s="7"/>
      <c r="AFZ178" s="7"/>
      <c r="AGA178" s="7"/>
      <c r="AGB178" s="7"/>
      <c r="AGC178" s="7"/>
      <c r="AGD178" s="7"/>
      <c r="AGE178" s="7"/>
      <c r="AGF178" s="7"/>
      <c r="AGG178" s="7"/>
      <c r="AGH178" s="7"/>
      <c r="AGI178" s="7"/>
      <c r="AGJ178" s="7"/>
      <c r="AGK178" s="7"/>
      <c r="AGL178" s="7"/>
      <c r="AGM178" s="7"/>
      <c r="AGN178" s="7"/>
      <c r="AGO178" s="7"/>
      <c r="AGP178" s="7"/>
      <c r="AGQ178" s="7"/>
      <c r="AGR178" s="7"/>
      <c r="AGS178" s="7"/>
      <c r="AGT178" s="7"/>
      <c r="AGU178" s="7"/>
      <c r="AGV178" s="7"/>
      <c r="AGW178" s="7"/>
      <c r="AGX178" s="7"/>
      <c r="AGY178" s="7"/>
      <c r="AGZ178" s="7"/>
      <c r="AHA178" s="7"/>
      <c r="AHB178" s="7"/>
      <c r="AHC178" s="7"/>
      <c r="AHD178" s="7"/>
      <c r="AHE178" s="7"/>
      <c r="AHF178" s="7"/>
      <c r="AHG178" s="7"/>
      <c r="AHH178" s="7"/>
      <c r="AHI178" s="7"/>
      <c r="AHJ178" s="7"/>
      <c r="AHK178" s="7"/>
      <c r="AHL178" s="7"/>
      <c r="AHM178" s="7"/>
      <c r="AHN178" s="7"/>
      <c r="AHO178" s="7"/>
      <c r="AHP178" s="7"/>
      <c r="AHQ178" s="7"/>
      <c r="AHR178" s="7"/>
      <c r="AHS178" s="7"/>
      <c r="AHT178" s="7"/>
      <c r="AHU178" s="7"/>
      <c r="AHV178" s="7"/>
      <c r="AHW178" s="7"/>
      <c r="AHX178" s="7"/>
      <c r="AHY178" s="7"/>
      <c r="AHZ178" s="7"/>
      <c r="AIA178" s="7"/>
      <c r="AIB178" s="7"/>
      <c r="AIC178" s="7"/>
      <c r="AID178" s="7"/>
      <c r="AIE178" s="7"/>
      <c r="AIF178" s="7"/>
      <c r="AIG178" s="7"/>
      <c r="AIH178" s="7"/>
      <c r="AII178" s="7"/>
      <c r="AIJ178" s="7"/>
      <c r="AIK178" s="7"/>
      <c r="AIL178" s="7"/>
      <c r="AIM178" s="7"/>
      <c r="AIN178" s="7"/>
      <c r="AIO178" s="7"/>
      <c r="AIP178" s="7"/>
      <c r="AIQ178" s="7"/>
      <c r="AIR178" s="7"/>
      <c r="AIS178" s="7"/>
      <c r="AIT178" s="7"/>
      <c r="AIU178" s="7"/>
      <c r="AIV178" s="7"/>
      <c r="AIW178" s="7"/>
      <c r="AIX178" s="7"/>
      <c r="AIY178" s="7"/>
      <c r="AIZ178" s="7"/>
      <c r="AJA178" s="7"/>
      <c r="AJB178" s="7"/>
      <c r="AJC178" s="7"/>
      <c r="AJD178" s="7"/>
      <c r="AJE178" s="7"/>
      <c r="AJF178" s="7"/>
      <c r="AJG178" s="7"/>
      <c r="AJH178" s="7"/>
      <c r="AJI178" s="7"/>
      <c r="AJJ178" s="7"/>
      <c r="AJK178" s="7"/>
      <c r="AJL178" s="7"/>
      <c r="AJM178" s="7"/>
      <c r="AJN178" s="7"/>
      <c r="AJO178" s="7"/>
      <c r="AJP178" s="7"/>
      <c r="AJQ178" s="7"/>
      <c r="AJR178" s="7"/>
      <c r="AJS178" s="7"/>
      <c r="AJT178" s="7"/>
      <c r="AJU178" s="7"/>
      <c r="AJV178" s="7"/>
      <c r="AJW178" s="7"/>
      <c r="AJX178" s="7"/>
      <c r="AJY178" s="7"/>
      <c r="AJZ178" s="7"/>
      <c r="AKA178" s="7"/>
      <c r="AKB178" s="7"/>
      <c r="AKC178" s="7"/>
      <c r="AKD178" s="7"/>
      <c r="AKE178" s="7"/>
      <c r="AKF178" s="7"/>
      <c r="AKG178" s="7"/>
      <c r="AKH178" s="7"/>
      <c r="AKI178" s="7"/>
      <c r="AKJ178" s="7"/>
      <c r="AKK178" s="7"/>
      <c r="AKL178" s="7"/>
      <c r="AKM178" s="7"/>
      <c r="AKN178" s="7"/>
      <c r="AKO178" s="7"/>
      <c r="AKP178" s="7"/>
      <c r="AKQ178" s="7"/>
      <c r="AKR178" s="7"/>
      <c r="AKS178" s="7"/>
      <c r="AKT178" s="7"/>
      <c r="AKU178" s="7"/>
      <c r="AKV178" s="7"/>
      <c r="AKW178" s="7"/>
      <c r="AKX178" s="7"/>
      <c r="AKY178" s="7"/>
      <c r="AKZ178" s="7"/>
      <c r="ALA178" s="7"/>
      <c r="ALB178" s="7"/>
      <c r="ALC178" s="7"/>
      <c r="ALD178" s="7"/>
      <c r="ALE178" s="7"/>
      <c r="ALF178" s="7"/>
      <c r="ALG178" s="7"/>
      <c r="ALH178" s="7"/>
      <c r="ALI178" s="7"/>
      <c r="ALJ178" s="7"/>
      <c r="ALK178" s="7"/>
      <c r="ALL178" s="7"/>
      <c r="ALM178" s="7"/>
      <c r="ALN178" s="7"/>
      <c r="ALO178" s="7"/>
      <c r="ALP178" s="7"/>
      <c r="ALQ178" s="7"/>
      <c r="ALR178" s="7"/>
      <c r="ALS178" s="7"/>
      <c r="ALT178" s="7"/>
      <c r="ALU178" s="7"/>
      <c r="ALV178" s="7"/>
      <c r="ALW178" s="7"/>
      <c r="ALX178" s="7"/>
      <c r="ALY178" s="7"/>
      <c r="ALZ178" s="7"/>
      <c r="AMA178" s="7"/>
      <c r="AMB178" s="7"/>
      <c r="AMC178" s="7"/>
      <c r="AMD178" s="7"/>
      <c r="AME178" s="7"/>
      <c r="AMF178" s="7"/>
      <c r="AMG178" s="7"/>
      <c r="AMH178" s="7"/>
      <c r="AMI178" s="7"/>
      <c r="AMJ178" s="7"/>
    </row>
    <row r="179" customFormat="false" ht="15.75" hidden="false" customHeight="true" outlineLevel="0" collapsed="false">
      <c r="A179" s="7"/>
      <c r="B179" s="7"/>
      <c r="C179" s="294" t="s">
        <v>195</v>
      </c>
      <c r="D179" s="295" t="n">
        <f aca="false">D176+D177+D178</f>
        <v>3290</v>
      </c>
      <c r="E179" s="296" t="n">
        <f aca="false">E176+E177+E178</f>
        <v>74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  <c r="OV179" s="7"/>
      <c r="OW179" s="7"/>
      <c r="OX179" s="7"/>
      <c r="OY179" s="7"/>
      <c r="OZ179" s="7"/>
      <c r="PA179" s="7"/>
      <c r="PB179" s="7"/>
      <c r="PC179" s="7"/>
      <c r="PD179" s="7"/>
      <c r="PE179" s="7"/>
      <c r="PF179" s="7"/>
      <c r="PG179" s="7"/>
      <c r="PH179" s="7"/>
      <c r="PI179" s="7"/>
      <c r="PJ179" s="7"/>
      <c r="PK179" s="7"/>
      <c r="PL179" s="7"/>
      <c r="PM179" s="7"/>
      <c r="PN179" s="7"/>
      <c r="PO179" s="7"/>
      <c r="PP179" s="7"/>
      <c r="PQ179" s="7"/>
      <c r="PR179" s="7"/>
      <c r="PS179" s="7"/>
      <c r="PT179" s="7"/>
      <c r="PU179" s="7"/>
      <c r="PV179" s="7"/>
      <c r="PW179" s="7"/>
      <c r="PX179" s="7"/>
      <c r="PY179" s="7"/>
      <c r="PZ179" s="7"/>
      <c r="QA179" s="7"/>
      <c r="QB179" s="7"/>
      <c r="QC179" s="7"/>
      <c r="QD179" s="7"/>
      <c r="QE179" s="7"/>
      <c r="QF179" s="7"/>
      <c r="QG179" s="7"/>
      <c r="QH179" s="7"/>
      <c r="QI179" s="7"/>
      <c r="QJ179" s="7"/>
      <c r="QK179" s="7"/>
      <c r="QL179" s="7"/>
      <c r="QM179" s="7"/>
      <c r="QN179" s="7"/>
      <c r="QO179" s="7"/>
      <c r="QP179" s="7"/>
      <c r="QQ179" s="7"/>
      <c r="QR179" s="7"/>
      <c r="QS179" s="7"/>
      <c r="QT179" s="7"/>
      <c r="QU179" s="7"/>
      <c r="QV179" s="7"/>
      <c r="QW179" s="7"/>
      <c r="QX179" s="7"/>
      <c r="QY179" s="7"/>
      <c r="QZ179" s="7"/>
      <c r="RA179" s="7"/>
      <c r="RB179" s="7"/>
      <c r="RC179" s="7"/>
      <c r="RD179" s="7"/>
      <c r="RE179" s="7"/>
      <c r="RF179" s="7"/>
      <c r="RG179" s="7"/>
      <c r="RH179" s="7"/>
      <c r="RI179" s="7"/>
      <c r="RJ179" s="7"/>
      <c r="RK179" s="7"/>
      <c r="RL179" s="7"/>
      <c r="RM179" s="7"/>
      <c r="RN179" s="7"/>
      <c r="RO179" s="7"/>
      <c r="RP179" s="7"/>
      <c r="RQ179" s="7"/>
      <c r="RR179" s="7"/>
      <c r="RS179" s="7"/>
      <c r="RT179" s="7"/>
      <c r="RU179" s="7"/>
      <c r="RV179" s="7"/>
      <c r="RW179" s="7"/>
      <c r="RX179" s="7"/>
      <c r="RY179" s="7"/>
      <c r="RZ179" s="7"/>
      <c r="SA179" s="7"/>
      <c r="SB179" s="7"/>
      <c r="SC179" s="7"/>
      <c r="SD179" s="7"/>
      <c r="SE179" s="7"/>
      <c r="SF179" s="7"/>
      <c r="SG179" s="7"/>
      <c r="SH179" s="7"/>
      <c r="SI179" s="7"/>
      <c r="SJ179" s="7"/>
      <c r="SK179" s="7"/>
      <c r="SL179" s="7"/>
      <c r="SM179" s="7"/>
      <c r="SN179" s="7"/>
      <c r="SO179" s="7"/>
      <c r="SP179" s="7"/>
      <c r="SQ179" s="7"/>
      <c r="SR179" s="7"/>
      <c r="SS179" s="7"/>
      <c r="ST179" s="7"/>
      <c r="SU179" s="7"/>
      <c r="SV179" s="7"/>
      <c r="SW179" s="7"/>
      <c r="SX179" s="7"/>
      <c r="SY179" s="7"/>
      <c r="SZ179" s="7"/>
      <c r="TA179" s="7"/>
      <c r="TB179" s="7"/>
      <c r="TC179" s="7"/>
      <c r="TD179" s="7"/>
      <c r="TE179" s="7"/>
      <c r="TF179" s="7"/>
      <c r="TG179" s="7"/>
      <c r="TH179" s="7"/>
      <c r="TI179" s="7"/>
      <c r="TJ179" s="7"/>
      <c r="TK179" s="7"/>
      <c r="TL179" s="7"/>
      <c r="TM179" s="7"/>
      <c r="TN179" s="7"/>
      <c r="TO179" s="7"/>
      <c r="TP179" s="7"/>
      <c r="TQ179" s="7"/>
      <c r="TR179" s="7"/>
      <c r="TS179" s="7"/>
      <c r="TT179" s="7"/>
      <c r="TU179" s="7"/>
      <c r="TV179" s="7"/>
      <c r="TW179" s="7"/>
      <c r="TX179" s="7"/>
      <c r="TY179" s="7"/>
      <c r="TZ179" s="7"/>
      <c r="UA179" s="7"/>
      <c r="UB179" s="7"/>
      <c r="UC179" s="7"/>
      <c r="UD179" s="7"/>
      <c r="UE179" s="7"/>
      <c r="UF179" s="7"/>
      <c r="UG179" s="7"/>
      <c r="UH179" s="7"/>
      <c r="UI179" s="7"/>
      <c r="UJ179" s="7"/>
      <c r="UK179" s="7"/>
      <c r="UL179" s="7"/>
      <c r="UM179" s="7"/>
      <c r="UN179" s="7"/>
      <c r="UO179" s="7"/>
      <c r="UP179" s="7"/>
      <c r="UQ179" s="7"/>
      <c r="UR179" s="7"/>
      <c r="US179" s="7"/>
      <c r="UT179" s="7"/>
      <c r="UU179" s="7"/>
      <c r="UV179" s="7"/>
      <c r="UW179" s="7"/>
      <c r="UX179" s="7"/>
      <c r="UY179" s="7"/>
      <c r="UZ179" s="7"/>
      <c r="VA179" s="7"/>
      <c r="VB179" s="7"/>
      <c r="VC179" s="7"/>
      <c r="VD179" s="7"/>
      <c r="VE179" s="7"/>
      <c r="VF179" s="7"/>
      <c r="VG179" s="7"/>
      <c r="VH179" s="7"/>
      <c r="VI179" s="7"/>
      <c r="VJ179" s="7"/>
      <c r="VK179" s="7"/>
      <c r="VL179" s="7"/>
      <c r="VM179" s="7"/>
      <c r="VN179" s="7"/>
      <c r="VO179" s="7"/>
      <c r="VP179" s="7"/>
      <c r="VQ179" s="7"/>
      <c r="VR179" s="7"/>
      <c r="VS179" s="7"/>
      <c r="VT179" s="7"/>
      <c r="VU179" s="7"/>
      <c r="VV179" s="7"/>
      <c r="VW179" s="7"/>
      <c r="VX179" s="7"/>
      <c r="VY179" s="7"/>
      <c r="VZ179" s="7"/>
      <c r="WA179" s="7"/>
      <c r="WB179" s="7"/>
      <c r="WC179" s="7"/>
      <c r="WD179" s="7"/>
      <c r="WE179" s="7"/>
      <c r="WF179" s="7"/>
      <c r="WG179" s="7"/>
      <c r="WH179" s="7"/>
      <c r="WI179" s="7"/>
      <c r="WJ179" s="7"/>
      <c r="WK179" s="7"/>
      <c r="WL179" s="7"/>
      <c r="WM179" s="7"/>
      <c r="WN179" s="7"/>
      <c r="WO179" s="7"/>
      <c r="WP179" s="7"/>
      <c r="WQ179" s="7"/>
      <c r="WR179" s="7"/>
      <c r="WS179" s="7"/>
      <c r="WT179" s="7"/>
      <c r="WU179" s="7"/>
      <c r="WV179" s="7"/>
      <c r="WW179" s="7"/>
      <c r="WX179" s="7"/>
      <c r="WY179" s="7"/>
      <c r="WZ179" s="7"/>
      <c r="XA179" s="7"/>
      <c r="XB179" s="7"/>
      <c r="XC179" s="7"/>
      <c r="XD179" s="7"/>
      <c r="XE179" s="7"/>
      <c r="XF179" s="7"/>
      <c r="XG179" s="7"/>
      <c r="XH179" s="7"/>
      <c r="XI179" s="7"/>
      <c r="XJ179" s="7"/>
      <c r="XK179" s="7"/>
      <c r="XL179" s="7"/>
      <c r="XM179" s="7"/>
      <c r="XN179" s="7"/>
      <c r="XO179" s="7"/>
      <c r="XP179" s="7"/>
      <c r="XQ179" s="7"/>
      <c r="XR179" s="7"/>
      <c r="XS179" s="7"/>
      <c r="XT179" s="7"/>
      <c r="XU179" s="7"/>
      <c r="XV179" s="7"/>
      <c r="XW179" s="7"/>
      <c r="XX179" s="7"/>
      <c r="XY179" s="7"/>
      <c r="XZ179" s="7"/>
      <c r="YA179" s="7"/>
      <c r="YB179" s="7"/>
      <c r="YC179" s="7"/>
      <c r="YD179" s="7"/>
      <c r="YE179" s="7"/>
      <c r="YF179" s="7"/>
      <c r="YG179" s="7"/>
      <c r="YH179" s="7"/>
      <c r="YI179" s="7"/>
      <c r="YJ179" s="7"/>
      <c r="YK179" s="7"/>
      <c r="YL179" s="7"/>
      <c r="YM179" s="7"/>
      <c r="YN179" s="7"/>
      <c r="YO179" s="7"/>
      <c r="YP179" s="7"/>
      <c r="YQ179" s="7"/>
      <c r="YR179" s="7"/>
      <c r="YS179" s="7"/>
      <c r="YT179" s="7"/>
      <c r="YU179" s="7"/>
      <c r="YV179" s="7"/>
      <c r="YW179" s="7"/>
      <c r="YX179" s="7"/>
      <c r="YY179" s="7"/>
      <c r="YZ179" s="7"/>
      <c r="ZA179" s="7"/>
      <c r="ZB179" s="7"/>
      <c r="ZC179" s="7"/>
      <c r="ZD179" s="7"/>
      <c r="ZE179" s="7"/>
      <c r="ZF179" s="7"/>
      <c r="ZG179" s="7"/>
      <c r="ZH179" s="7"/>
      <c r="ZI179" s="7"/>
      <c r="ZJ179" s="7"/>
      <c r="ZK179" s="7"/>
      <c r="ZL179" s="7"/>
      <c r="ZM179" s="7"/>
      <c r="ZN179" s="7"/>
      <c r="ZO179" s="7"/>
      <c r="ZP179" s="7"/>
      <c r="ZQ179" s="7"/>
      <c r="ZR179" s="7"/>
      <c r="ZS179" s="7"/>
      <c r="ZT179" s="7"/>
      <c r="ZU179" s="7"/>
      <c r="ZV179" s="7"/>
      <c r="ZW179" s="7"/>
      <c r="ZX179" s="7"/>
      <c r="ZY179" s="7"/>
      <c r="ZZ179" s="7"/>
      <c r="AAA179" s="7"/>
      <c r="AAB179" s="7"/>
      <c r="AAC179" s="7"/>
      <c r="AAD179" s="7"/>
      <c r="AAE179" s="7"/>
      <c r="AAF179" s="7"/>
      <c r="AAG179" s="7"/>
      <c r="AAH179" s="7"/>
      <c r="AAI179" s="7"/>
      <c r="AAJ179" s="7"/>
      <c r="AAK179" s="7"/>
      <c r="AAL179" s="7"/>
      <c r="AAM179" s="7"/>
      <c r="AAN179" s="7"/>
      <c r="AAO179" s="7"/>
      <c r="AAP179" s="7"/>
      <c r="AAQ179" s="7"/>
      <c r="AAR179" s="7"/>
      <c r="AAS179" s="7"/>
      <c r="AAT179" s="7"/>
      <c r="AAU179" s="7"/>
      <c r="AAV179" s="7"/>
      <c r="AAW179" s="7"/>
      <c r="AAX179" s="7"/>
      <c r="AAY179" s="7"/>
      <c r="AAZ179" s="7"/>
      <c r="ABA179" s="7"/>
      <c r="ABB179" s="7"/>
      <c r="ABC179" s="7"/>
      <c r="ABD179" s="7"/>
      <c r="ABE179" s="7"/>
      <c r="ABF179" s="7"/>
      <c r="ABG179" s="7"/>
      <c r="ABH179" s="7"/>
      <c r="ABI179" s="7"/>
      <c r="ABJ179" s="7"/>
      <c r="ABK179" s="7"/>
      <c r="ABL179" s="7"/>
      <c r="ABM179" s="7"/>
      <c r="ABN179" s="7"/>
      <c r="ABO179" s="7"/>
      <c r="ABP179" s="7"/>
      <c r="ABQ179" s="7"/>
      <c r="ABR179" s="7"/>
      <c r="ABS179" s="7"/>
      <c r="ABT179" s="7"/>
      <c r="ABU179" s="7"/>
      <c r="ABV179" s="7"/>
      <c r="ABW179" s="7"/>
      <c r="ABX179" s="7"/>
      <c r="ABY179" s="7"/>
      <c r="ABZ179" s="7"/>
      <c r="ACA179" s="7"/>
      <c r="ACB179" s="7"/>
      <c r="ACC179" s="7"/>
      <c r="ACD179" s="7"/>
      <c r="ACE179" s="7"/>
      <c r="ACF179" s="7"/>
      <c r="ACG179" s="7"/>
      <c r="ACH179" s="7"/>
      <c r="ACI179" s="7"/>
      <c r="ACJ179" s="7"/>
      <c r="ACK179" s="7"/>
      <c r="ACL179" s="7"/>
      <c r="ACM179" s="7"/>
      <c r="ACN179" s="7"/>
      <c r="ACO179" s="7"/>
      <c r="ACP179" s="7"/>
      <c r="ACQ179" s="7"/>
      <c r="ACR179" s="7"/>
      <c r="ACS179" s="7"/>
      <c r="ACT179" s="7"/>
      <c r="ACU179" s="7"/>
      <c r="ACV179" s="7"/>
      <c r="ACW179" s="7"/>
      <c r="ACX179" s="7"/>
      <c r="ACY179" s="7"/>
      <c r="ACZ179" s="7"/>
      <c r="ADA179" s="7"/>
      <c r="ADB179" s="7"/>
      <c r="ADC179" s="7"/>
      <c r="ADD179" s="7"/>
      <c r="ADE179" s="7"/>
      <c r="ADF179" s="7"/>
      <c r="ADG179" s="7"/>
      <c r="ADH179" s="7"/>
      <c r="ADI179" s="7"/>
      <c r="ADJ179" s="7"/>
      <c r="ADK179" s="7"/>
      <c r="ADL179" s="7"/>
      <c r="ADM179" s="7"/>
      <c r="ADN179" s="7"/>
      <c r="ADO179" s="7"/>
      <c r="ADP179" s="7"/>
      <c r="ADQ179" s="7"/>
      <c r="ADR179" s="7"/>
      <c r="ADS179" s="7"/>
      <c r="ADT179" s="7"/>
      <c r="ADU179" s="7"/>
      <c r="ADV179" s="7"/>
      <c r="ADW179" s="7"/>
      <c r="ADX179" s="7"/>
      <c r="ADY179" s="7"/>
      <c r="ADZ179" s="7"/>
      <c r="AEA179" s="7"/>
      <c r="AEB179" s="7"/>
      <c r="AEC179" s="7"/>
      <c r="AED179" s="7"/>
      <c r="AEE179" s="7"/>
      <c r="AEF179" s="7"/>
      <c r="AEG179" s="7"/>
      <c r="AEH179" s="7"/>
      <c r="AEI179" s="7"/>
      <c r="AEJ179" s="7"/>
      <c r="AEK179" s="7"/>
      <c r="AEL179" s="7"/>
      <c r="AEM179" s="7"/>
      <c r="AEN179" s="7"/>
      <c r="AEO179" s="7"/>
      <c r="AEP179" s="7"/>
      <c r="AEQ179" s="7"/>
      <c r="AER179" s="7"/>
      <c r="AES179" s="7"/>
      <c r="AET179" s="7"/>
      <c r="AEU179" s="7"/>
      <c r="AEV179" s="7"/>
      <c r="AEW179" s="7"/>
      <c r="AEX179" s="7"/>
      <c r="AEY179" s="7"/>
      <c r="AEZ179" s="7"/>
      <c r="AFA179" s="7"/>
      <c r="AFB179" s="7"/>
      <c r="AFC179" s="7"/>
      <c r="AFD179" s="7"/>
      <c r="AFE179" s="7"/>
      <c r="AFF179" s="7"/>
      <c r="AFG179" s="7"/>
      <c r="AFH179" s="7"/>
      <c r="AFI179" s="7"/>
      <c r="AFJ179" s="7"/>
      <c r="AFK179" s="7"/>
      <c r="AFL179" s="7"/>
      <c r="AFM179" s="7"/>
      <c r="AFN179" s="7"/>
      <c r="AFO179" s="7"/>
      <c r="AFP179" s="7"/>
      <c r="AFQ179" s="7"/>
      <c r="AFR179" s="7"/>
      <c r="AFS179" s="7"/>
      <c r="AFT179" s="7"/>
      <c r="AFU179" s="7"/>
      <c r="AFV179" s="7"/>
      <c r="AFW179" s="7"/>
      <c r="AFX179" s="7"/>
      <c r="AFY179" s="7"/>
      <c r="AFZ179" s="7"/>
      <c r="AGA179" s="7"/>
      <c r="AGB179" s="7"/>
      <c r="AGC179" s="7"/>
      <c r="AGD179" s="7"/>
      <c r="AGE179" s="7"/>
      <c r="AGF179" s="7"/>
      <c r="AGG179" s="7"/>
      <c r="AGH179" s="7"/>
      <c r="AGI179" s="7"/>
      <c r="AGJ179" s="7"/>
      <c r="AGK179" s="7"/>
      <c r="AGL179" s="7"/>
      <c r="AGM179" s="7"/>
      <c r="AGN179" s="7"/>
      <c r="AGO179" s="7"/>
      <c r="AGP179" s="7"/>
      <c r="AGQ179" s="7"/>
      <c r="AGR179" s="7"/>
      <c r="AGS179" s="7"/>
      <c r="AGT179" s="7"/>
      <c r="AGU179" s="7"/>
      <c r="AGV179" s="7"/>
      <c r="AGW179" s="7"/>
      <c r="AGX179" s="7"/>
      <c r="AGY179" s="7"/>
      <c r="AGZ179" s="7"/>
      <c r="AHA179" s="7"/>
      <c r="AHB179" s="7"/>
      <c r="AHC179" s="7"/>
      <c r="AHD179" s="7"/>
      <c r="AHE179" s="7"/>
      <c r="AHF179" s="7"/>
      <c r="AHG179" s="7"/>
      <c r="AHH179" s="7"/>
      <c r="AHI179" s="7"/>
      <c r="AHJ179" s="7"/>
      <c r="AHK179" s="7"/>
      <c r="AHL179" s="7"/>
      <c r="AHM179" s="7"/>
      <c r="AHN179" s="7"/>
      <c r="AHO179" s="7"/>
      <c r="AHP179" s="7"/>
      <c r="AHQ179" s="7"/>
      <c r="AHR179" s="7"/>
      <c r="AHS179" s="7"/>
      <c r="AHT179" s="7"/>
      <c r="AHU179" s="7"/>
      <c r="AHV179" s="7"/>
      <c r="AHW179" s="7"/>
      <c r="AHX179" s="7"/>
      <c r="AHY179" s="7"/>
      <c r="AHZ179" s="7"/>
      <c r="AIA179" s="7"/>
      <c r="AIB179" s="7"/>
      <c r="AIC179" s="7"/>
      <c r="AID179" s="7"/>
      <c r="AIE179" s="7"/>
      <c r="AIF179" s="7"/>
      <c r="AIG179" s="7"/>
      <c r="AIH179" s="7"/>
      <c r="AII179" s="7"/>
      <c r="AIJ179" s="7"/>
      <c r="AIK179" s="7"/>
      <c r="AIL179" s="7"/>
      <c r="AIM179" s="7"/>
      <c r="AIN179" s="7"/>
      <c r="AIO179" s="7"/>
      <c r="AIP179" s="7"/>
      <c r="AIQ179" s="7"/>
      <c r="AIR179" s="7"/>
      <c r="AIS179" s="7"/>
      <c r="AIT179" s="7"/>
      <c r="AIU179" s="7"/>
      <c r="AIV179" s="7"/>
      <c r="AIW179" s="7"/>
      <c r="AIX179" s="7"/>
      <c r="AIY179" s="7"/>
      <c r="AIZ179" s="7"/>
      <c r="AJA179" s="7"/>
      <c r="AJB179" s="7"/>
      <c r="AJC179" s="7"/>
      <c r="AJD179" s="7"/>
      <c r="AJE179" s="7"/>
      <c r="AJF179" s="7"/>
      <c r="AJG179" s="7"/>
      <c r="AJH179" s="7"/>
      <c r="AJI179" s="7"/>
      <c r="AJJ179" s="7"/>
      <c r="AJK179" s="7"/>
      <c r="AJL179" s="7"/>
      <c r="AJM179" s="7"/>
      <c r="AJN179" s="7"/>
      <c r="AJO179" s="7"/>
      <c r="AJP179" s="7"/>
      <c r="AJQ179" s="7"/>
      <c r="AJR179" s="7"/>
      <c r="AJS179" s="7"/>
      <c r="AJT179" s="7"/>
      <c r="AJU179" s="7"/>
      <c r="AJV179" s="7"/>
      <c r="AJW179" s="7"/>
      <c r="AJX179" s="7"/>
      <c r="AJY179" s="7"/>
      <c r="AJZ179" s="7"/>
      <c r="AKA179" s="7"/>
      <c r="AKB179" s="7"/>
      <c r="AKC179" s="7"/>
      <c r="AKD179" s="7"/>
      <c r="AKE179" s="7"/>
      <c r="AKF179" s="7"/>
      <c r="AKG179" s="7"/>
      <c r="AKH179" s="7"/>
      <c r="AKI179" s="7"/>
      <c r="AKJ179" s="7"/>
      <c r="AKK179" s="7"/>
      <c r="AKL179" s="7"/>
      <c r="AKM179" s="7"/>
      <c r="AKN179" s="7"/>
      <c r="AKO179" s="7"/>
      <c r="AKP179" s="7"/>
      <c r="AKQ179" s="7"/>
      <c r="AKR179" s="7"/>
      <c r="AKS179" s="7"/>
      <c r="AKT179" s="7"/>
      <c r="AKU179" s="7"/>
      <c r="AKV179" s="7"/>
      <c r="AKW179" s="7"/>
      <c r="AKX179" s="7"/>
      <c r="AKY179" s="7"/>
      <c r="AKZ179" s="7"/>
      <c r="ALA179" s="7"/>
      <c r="ALB179" s="7"/>
      <c r="ALC179" s="7"/>
      <c r="ALD179" s="7"/>
      <c r="ALE179" s="7"/>
      <c r="ALF179" s="7"/>
      <c r="ALG179" s="7"/>
      <c r="ALH179" s="7"/>
      <c r="ALI179" s="7"/>
      <c r="ALJ179" s="7"/>
      <c r="ALK179" s="7"/>
      <c r="ALL179" s="7"/>
      <c r="ALM179" s="7"/>
      <c r="ALN179" s="7"/>
      <c r="ALO179" s="7"/>
      <c r="ALP179" s="7"/>
      <c r="ALQ179" s="7"/>
      <c r="ALR179" s="7"/>
      <c r="ALS179" s="7"/>
      <c r="ALT179" s="7"/>
      <c r="ALU179" s="7"/>
      <c r="ALV179" s="7"/>
      <c r="ALW179" s="7"/>
      <c r="ALX179" s="7"/>
      <c r="ALY179" s="7"/>
      <c r="ALZ179" s="7"/>
      <c r="AMA179" s="7"/>
      <c r="AMB179" s="7"/>
      <c r="AMC179" s="7"/>
      <c r="AMD179" s="7"/>
      <c r="AME179" s="7"/>
      <c r="AMF179" s="7"/>
      <c r="AMG179" s="7"/>
      <c r="AMH179" s="7"/>
      <c r="AMI179" s="7"/>
      <c r="AMJ179" s="7"/>
    </row>
  </sheetData>
  <mergeCells count="193">
    <mergeCell ref="B7:F7"/>
    <mergeCell ref="B9:C9"/>
    <mergeCell ref="D9:F9"/>
    <mergeCell ref="B10:C10"/>
    <mergeCell ref="B11:B13"/>
    <mergeCell ref="C11:E11"/>
    <mergeCell ref="F11:F13"/>
    <mergeCell ref="B14:B17"/>
    <mergeCell ref="C14:E14"/>
    <mergeCell ref="F14:F17"/>
    <mergeCell ref="B18:B20"/>
    <mergeCell ref="C18:E18"/>
    <mergeCell ref="F18:F20"/>
    <mergeCell ref="B21:B23"/>
    <mergeCell ref="C21:E21"/>
    <mergeCell ref="F21:F23"/>
    <mergeCell ref="B24:B26"/>
    <mergeCell ref="C24:E24"/>
    <mergeCell ref="F24:F26"/>
    <mergeCell ref="B27:B30"/>
    <mergeCell ref="C27:E27"/>
    <mergeCell ref="F27:F30"/>
    <mergeCell ref="B31:B32"/>
    <mergeCell ref="F31:F32"/>
    <mergeCell ref="B33:B34"/>
    <mergeCell ref="C33:E33"/>
    <mergeCell ref="F33:F34"/>
    <mergeCell ref="B39:C39"/>
    <mergeCell ref="D39:F39"/>
    <mergeCell ref="B40:C40"/>
    <mergeCell ref="B41:B44"/>
    <mergeCell ref="C41:E41"/>
    <mergeCell ref="F41:F44"/>
    <mergeCell ref="B45:B47"/>
    <mergeCell ref="C45:E45"/>
    <mergeCell ref="F45:F47"/>
    <mergeCell ref="B48:B50"/>
    <mergeCell ref="C48:E48"/>
    <mergeCell ref="F48:F50"/>
    <mergeCell ref="B51:B53"/>
    <mergeCell ref="C51:E51"/>
    <mergeCell ref="F51:F53"/>
    <mergeCell ref="B54:B56"/>
    <mergeCell ref="C54:E54"/>
    <mergeCell ref="F54:F56"/>
    <mergeCell ref="B57:B58"/>
    <mergeCell ref="C57:E57"/>
    <mergeCell ref="F57:F58"/>
    <mergeCell ref="B59:B61"/>
    <mergeCell ref="C59:E59"/>
    <mergeCell ref="F59:F61"/>
    <mergeCell ref="B64:F64"/>
    <mergeCell ref="B66:F66"/>
    <mergeCell ref="H66:L66"/>
    <mergeCell ref="B68:C68"/>
    <mergeCell ref="D68:F68"/>
    <mergeCell ref="H68:I68"/>
    <mergeCell ref="J68:L68"/>
    <mergeCell ref="B69:C69"/>
    <mergeCell ref="H69:I69"/>
    <mergeCell ref="B70:B72"/>
    <mergeCell ref="C70:E70"/>
    <mergeCell ref="F70:F72"/>
    <mergeCell ref="H70:H72"/>
    <mergeCell ref="I70:K70"/>
    <mergeCell ref="L70:L72"/>
    <mergeCell ref="B73:B76"/>
    <mergeCell ref="C73:E73"/>
    <mergeCell ref="F73:F76"/>
    <mergeCell ref="H73:H76"/>
    <mergeCell ref="I73:K73"/>
    <mergeCell ref="L73:L76"/>
    <mergeCell ref="B77:B79"/>
    <mergeCell ref="F77:F79"/>
    <mergeCell ref="H77:H79"/>
    <mergeCell ref="L77:L79"/>
    <mergeCell ref="B80:B82"/>
    <mergeCell ref="F80:F82"/>
    <mergeCell ref="H80:H82"/>
    <mergeCell ref="L80:L82"/>
    <mergeCell ref="B83:B85"/>
    <mergeCell ref="C83:E83"/>
    <mergeCell ref="F83:F85"/>
    <mergeCell ref="H83:H85"/>
    <mergeCell ref="I83:K83"/>
    <mergeCell ref="L83:L85"/>
    <mergeCell ref="B86:B87"/>
    <mergeCell ref="C86:E86"/>
    <mergeCell ref="F86:F87"/>
    <mergeCell ref="H86:H87"/>
    <mergeCell ref="I86:K86"/>
    <mergeCell ref="L86:L87"/>
    <mergeCell ref="B88:B89"/>
    <mergeCell ref="C88:E88"/>
    <mergeCell ref="F88:F89"/>
    <mergeCell ref="H88:H89"/>
    <mergeCell ref="I88:K88"/>
    <mergeCell ref="L88:L89"/>
    <mergeCell ref="B95:C95"/>
    <mergeCell ref="D95:F95"/>
    <mergeCell ref="H95:I95"/>
    <mergeCell ref="J95:L95"/>
    <mergeCell ref="B96:C96"/>
    <mergeCell ref="H96:I96"/>
    <mergeCell ref="B97:B99"/>
    <mergeCell ref="C97:E97"/>
    <mergeCell ref="F97:F99"/>
    <mergeCell ref="L97:L100"/>
    <mergeCell ref="B100:B102"/>
    <mergeCell ref="C100:E100"/>
    <mergeCell ref="F100:F102"/>
    <mergeCell ref="L101:L103"/>
    <mergeCell ref="B103:B105"/>
    <mergeCell ref="C103:E103"/>
    <mergeCell ref="F103:F105"/>
    <mergeCell ref="H104:H107"/>
    <mergeCell ref="L104:L107"/>
    <mergeCell ref="B106:B109"/>
    <mergeCell ref="C106:E106"/>
    <mergeCell ref="F106:F109"/>
    <mergeCell ref="H108:H110"/>
    <mergeCell ref="L108:L110"/>
    <mergeCell ref="B110:B112"/>
    <mergeCell ref="C110:E110"/>
    <mergeCell ref="F110:F112"/>
    <mergeCell ref="H111:H112"/>
    <mergeCell ref="L111:L112"/>
    <mergeCell ref="B113:B114"/>
    <mergeCell ref="C113:E113"/>
    <mergeCell ref="F113:F114"/>
    <mergeCell ref="H113:H115"/>
    <mergeCell ref="L113:L114"/>
    <mergeCell ref="B115:B116"/>
    <mergeCell ref="C115:E115"/>
    <mergeCell ref="F115:F116"/>
    <mergeCell ref="B121:F121"/>
    <mergeCell ref="H121:L121"/>
    <mergeCell ref="B123:C123"/>
    <mergeCell ref="D123:F123"/>
    <mergeCell ref="H123:I123"/>
    <mergeCell ref="J123:L123"/>
    <mergeCell ref="B124:C124"/>
    <mergeCell ref="H124:I124"/>
    <mergeCell ref="B125:B128"/>
    <mergeCell ref="C125:E125"/>
    <mergeCell ref="F125:F128"/>
    <mergeCell ref="H125:H128"/>
    <mergeCell ref="I125:K125"/>
    <mergeCell ref="L125:L128"/>
    <mergeCell ref="B129:B132"/>
    <mergeCell ref="C129:E129"/>
    <mergeCell ref="F129:F132"/>
    <mergeCell ref="H129:H131"/>
    <mergeCell ref="I129:K129"/>
    <mergeCell ref="L129:L131"/>
    <mergeCell ref="H132:H134"/>
    <mergeCell ref="L132:L134"/>
    <mergeCell ref="B133:B135"/>
    <mergeCell ref="C133:E133"/>
    <mergeCell ref="F133:F135"/>
    <mergeCell ref="H135:H137"/>
    <mergeCell ref="L135:L137"/>
    <mergeCell ref="B136:B138"/>
    <mergeCell ref="C136:E136"/>
    <mergeCell ref="F136:F138"/>
    <mergeCell ref="H138:H141"/>
    <mergeCell ref="I138:K138"/>
    <mergeCell ref="L138:L141"/>
    <mergeCell ref="B139:B141"/>
    <mergeCell ref="C139:E139"/>
    <mergeCell ref="F139:F141"/>
    <mergeCell ref="B142:B145"/>
    <mergeCell ref="C142:E142"/>
    <mergeCell ref="F142:F145"/>
    <mergeCell ref="H142:H145"/>
    <mergeCell ref="I142:K142"/>
    <mergeCell ref="L142:L145"/>
    <mergeCell ref="B146:B147"/>
    <mergeCell ref="C146:E146"/>
    <mergeCell ref="F146:F147"/>
    <mergeCell ref="H146:H147"/>
    <mergeCell ref="I146:K146"/>
    <mergeCell ref="L146:L147"/>
    <mergeCell ref="B151:C151"/>
    <mergeCell ref="D151:F151"/>
    <mergeCell ref="H151:L151"/>
    <mergeCell ref="B152:C152"/>
    <mergeCell ref="B153:B154"/>
    <mergeCell ref="C153:E153"/>
    <mergeCell ref="F153:F154"/>
    <mergeCell ref="H153:H154"/>
    <mergeCell ref="I153:K153"/>
    <mergeCell ref="L153:L154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63" man="true" max="16383" min="0"/>
    <brk id="118" man="true" max="16383" min="0"/>
    <brk id="158" man="true" max="16383" min="0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81BD"/>
    <pageSetUpPr fitToPage="true"/>
  </sheetPr>
  <dimension ref="A1:AMJ179"/>
  <sheetViews>
    <sheetView showFormulas="false" showGridLines="false" showRowColHeaders="true" showZeros="true" rightToLeft="false" tabSelected="false" showOutlineSymbols="true" defaultGridColor="true" view="normal" topLeftCell="A146" colorId="64" zoomScale="100" zoomScaleNormal="100" zoomScalePageLayoutView="100" workbookViewId="0">
      <selection pane="topLeft" activeCell="J170" activeCellId="0" sqref="J170"/>
    </sheetView>
  </sheetViews>
  <sheetFormatPr defaultColWidth="9.859375" defaultRowHeight="18.7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2" width="13.71"/>
    <col collapsed="false" customWidth="true" hidden="false" outlineLevel="0" max="3" min="3" style="2" width="80.57"/>
    <col collapsed="false" customWidth="true" hidden="false" outlineLevel="0" max="4" min="4" style="3" width="7.29"/>
    <col collapsed="false" customWidth="true" hidden="false" outlineLevel="0" max="5" min="5" style="3" width="7.16"/>
    <col collapsed="false" customWidth="true" hidden="false" outlineLevel="0" max="6" min="6" style="3" width="6.57"/>
    <col collapsed="false" customWidth="true" hidden="false" outlineLevel="0" max="7" min="7" style="5" width="10.85"/>
    <col collapsed="false" customWidth="true" hidden="false" outlineLevel="0" max="8" min="8" style="219" width="12.29"/>
    <col collapsed="false" customWidth="true" hidden="false" outlineLevel="0" max="9" min="9" style="220" width="70.57"/>
    <col collapsed="false" customWidth="true" hidden="false" outlineLevel="0" max="10" min="10" style="3" width="7.29"/>
    <col collapsed="false" customWidth="true" hidden="false" outlineLevel="0" max="11" min="11" style="3" width="7.16"/>
    <col collapsed="false" customWidth="true" hidden="false" outlineLevel="0" max="12" min="12" style="3" width="6.57"/>
    <col collapsed="false" customWidth="false" hidden="false" outlineLevel="0" max="1024" min="13" style="3" width="9.86"/>
    <col collapsed="false" customWidth="false" hidden="false" outlineLevel="0" max="16384" min="1025" style="6" width="9.86"/>
  </cols>
  <sheetData>
    <row r="1" s="7" customFormat="true" ht="18.75" hidden="false" customHeight="false" outlineLevel="0" collapsed="false">
      <c r="A1" s="1"/>
      <c r="B1" s="2"/>
      <c r="C1" s="2"/>
      <c r="D1" s="3"/>
      <c r="E1" s="3"/>
      <c r="F1" s="3"/>
      <c r="G1" s="5"/>
      <c r="H1" s="219"/>
      <c r="I1" s="22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="7" customFormat="true" ht="15.75" hidden="false" customHeight="true" outlineLevel="0" collapsed="false">
      <c r="B2" s="160"/>
      <c r="C2" s="221" t="s">
        <v>144</v>
      </c>
      <c r="D2" s="222"/>
      <c r="E2" s="8"/>
      <c r="F2" s="8"/>
    </row>
    <row r="3" s="7" customFormat="true" ht="15.75" hidden="false" customHeight="true" outlineLevel="0" collapsed="false">
      <c r="B3" s="160"/>
      <c r="C3" s="118" t="s">
        <v>196</v>
      </c>
      <c r="D3" s="118"/>
      <c r="E3" s="118"/>
      <c r="F3" s="118"/>
    </row>
    <row r="4" s="7" customFormat="true" ht="15.75" hidden="false" customHeight="true" outlineLevel="0" collapsed="false">
      <c r="B4" s="160"/>
      <c r="C4" s="223" t="s">
        <v>197</v>
      </c>
      <c r="D4" s="224"/>
      <c r="E4" s="224"/>
      <c r="F4" s="224"/>
    </row>
    <row r="5" s="7" customFormat="true" ht="15.75" hidden="false" customHeight="true" outlineLevel="0" collapsed="false">
      <c r="B5" s="160"/>
      <c r="D5" s="225"/>
      <c r="E5" s="225"/>
      <c r="F5" s="225"/>
    </row>
    <row r="6" s="7" customFormat="true" ht="15.75" hidden="false" customHeight="true" outlineLevel="0" collapsed="false">
      <c r="B6" s="160"/>
      <c r="C6" s="160"/>
    </row>
    <row r="7" s="7" customFormat="true" ht="15.75" hidden="false" customHeight="true" outlineLevel="0" collapsed="false">
      <c r="B7" s="226" t="s">
        <v>198</v>
      </c>
      <c r="C7" s="226"/>
      <c r="D7" s="226"/>
      <c r="E7" s="226"/>
      <c r="F7" s="226"/>
    </row>
    <row r="8" s="7" customFormat="true" ht="15.75" hidden="false" customHeight="true" outlineLevel="0" collapsed="false">
      <c r="B8" s="8"/>
      <c r="C8" s="8"/>
      <c r="D8" s="8"/>
      <c r="E8" s="8"/>
      <c r="F8" s="8"/>
    </row>
    <row r="9" s="7" customFormat="true" ht="15.75" hidden="false" customHeight="true" outlineLevel="0" collapsed="false">
      <c r="B9" s="297" t="s">
        <v>0</v>
      </c>
      <c r="C9" s="297"/>
      <c r="D9" s="297"/>
      <c r="E9" s="297"/>
      <c r="F9" s="297"/>
    </row>
    <row r="10" s="7" customFormat="true" ht="15.75" hidden="false" customHeight="true" outlineLevel="0" collapsed="false">
      <c r="B10" s="48" t="s">
        <v>199</v>
      </c>
      <c r="C10" s="298" t="s">
        <v>1</v>
      </c>
      <c r="D10" s="298" t="s">
        <v>2</v>
      </c>
      <c r="E10" s="298" t="s">
        <v>3</v>
      </c>
      <c r="F10" s="299" t="s">
        <v>4</v>
      </c>
    </row>
    <row r="11" s="7" customFormat="true" ht="15.75" hidden="false" customHeight="true" outlineLevel="0" collapsed="false">
      <c r="B11" s="18" t="s">
        <v>5</v>
      </c>
      <c r="C11" s="19" t="s">
        <v>6</v>
      </c>
      <c r="D11" s="19"/>
      <c r="E11" s="19"/>
      <c r="F11" s="20" t="n">
        <v>3</v>
      </c>
    </row>
    <row r="12" s="7" customFormat="true" ht="15.75" hidden="false" customHeight="true" outlineLevel="0" collapsed="false">
      <c r="B12" s="18"/>
      <c r="C12" s="22" t="s">
        <v>7</v>
      </c>
      <c r="D12" s="23" t="n">
        <v>36</v>
      </c>
      <c r="E12" s="23" t="n">
        <v>3</v>
      </c>
      <c r="F12" s="20"/>
    </row>
    <row r="13" s="7" customFormat="true" ht="15.75" hidden="false" customHeight="true" outlineLevel="0" collapsed="false">
      <c r="B13" s="18"/>
      <c r="C13" s="27" t="s">
        <v>10</v>
      </c>
      <c r="D13" s="28" t="n">
        <v>12</v>
      </c>
      <c r="E13" s="28" t="n">
        <v>1</v>
      </c>
      <c r="F13" s="20"/>
    </row>
    <row r="14" s="7" customFormat="true" ht="15.75" hidden="false" customHeight="true" outlineLevel="0" collapsed="false">
      <c r="B14" s="18" t="s">
        <v>11</v>
      </c>
      <c r="C14" s="19" t="s">
        <v>12</v>
      </c>
      <c r="D14" s="19"/>
      <c r="E14" s="19"/>
      <c r="F14" s="20" t="n">
        <v>3</v>
      </c>
    </row>
    <row r="15" s="7" customFormat="true" ht="15.75" hidden="false" customHeight="true" outlineLevel="0" collapsed="false">
      <c r="B15" s="18"/>
      <c r="C15" s="29" t="s">
        <v>13</v>
      </c>
      <c r="D15" s="26" t="n">
        <v>6</v>
      </c>
      <c r="E15" s="30" t="s">
        <v>14</v>
      </c>
      <c r="F15" s="20"/>
    </row>
    <row r="16" s="7" customFormat="true" ht="15.75" hidden="false" customHeight="true" outlineLevel="0" collapsed="false">
      <c r="B16" s="18"/>
      <c r="C16" s="29" t="s">
        <v>15</v>
      </c>
      <c r="D16" s="227" t="n">
        <v>24</v>
      </c>
      <c r="E16" s="31" t="n">
        <v>1</v>
      </c>
      <c r="F16" s="20"/>
    </row>
    <row r="17" s="7" customFormat="true" ht="15.75" hidden="false" customHeight="true" outlineLevel="0" collapsed="false">
      <c r="B17" s="18"/>
      <c r="C17" s="29" t="s">
        <v>16</v>
      </c>
      <c r="D17" s="31" t="n">
        <v>27</v>
      </c>
      <c r="E17" s="31" t="n">
        <v>1</v>
      </c>
      <c r="F17" s="20"/>
    </row>
    <row r="18" s="7" customFormat="true" ht="15.75" hidden="false" customHeight="true" outlineLevel="0" collapsed="false">
      <c r="B18" s="18" t="s">
        <v>17</v>
      </c>
      <c r="C18" s="19" t="s">
        <v>18</v>
      </c>
      <c r="D18" s="19"/>
      <c r="E18" s="19"/>
      <c r="F18" s="32" t="n">
        <v>3</v>
      </c>
    </row>
    <row r="19" s="7" customFormat="true" ht="15.75" hidden="false" customHeight="true" outlineLevel="0" collapsed="false">
      <c r="B19" s="18"/>
      <c r="C19" s="29" t="s">
        <v>19</v>
      </c>
      <c r="D19" s="26" t="n">
        <v>22</v>
      </c>
      <c r="E19" s="30" t="n">
        <v>1</v>
      </c>
      <c r="F19" s="32"/>
    </row>
    <row r="20" s="7" customFormat="true" ht="15.75" hidden="false" customHeight="true" outlineLevel="0" collapsed="false">
      <c r="B20" s="18"/>
      <c r="C20" s="27" t="s">
        <v>20</v>
      </c>
      <c r="D20" s="227" t="n">
        <v>29</v>
      </c>
      <c r="E20" s="31" t="n">
        <v>1</v>
      </c>
      <c r="F20" s="32"/>
    </row>
    <row r="21" s="7" customFormat="true" ht="15.75" hidden="false" customHeight="true" outlineLevel="0" collapsed="false">
      <c r="B21" s="36" t="s">
        <v>21</v>
      </c>
      <c r="C21" s="19" t="s">
        <v>18</v>
      </c>
      <c r="D21" s="19"/>
      <c r="E21" s="19"/>
      <c r="F21" s="37" t="n">
        <v>3</v>
      </c>
    </row>
    <row r="22" s="7" customFormat="true" ht="15.75" hidden="false" customHeight="true" outlineLevel="0" collapsed="false">
      <c r="B22" s="36"/>
      <c r="C22" s="40" t="s">
        <v>147</v>
      </c>
      <c r="D22" s="38" t="n">
        <v>18</v>
      </c>
      <c r="E22" s="38" t="n">
        <v>1</v>
      </c>
      <c r="F22" s="37"/>
    </row>
    <row r="23" s="7" customFormat="true" ht="15.75" hidden="false" customHeight="true" outlineLevel="0" collapsed="false">
      <c r="B23" s="36"/>
      <c r="C23" s="40" t="s">
        <v>23</v>
      </c>
      <c r="D23" s="38" t="n">
        <v>21</v>
      </c>
      <c r="E23" s="38" t="n">
        <v>1</v>
      </c>
      <c r="F23" s="37"/>
    </row>
    <row r="24" s="7" customFormat="true" ht="15.75" hidden="false" customHeight="true" outlineLevel="0" collapsed="false">
      <c r="B24" s="41" t="s">
        <v>24</v>
      </c>
      <c r="C24" s="42" t="s">
        <v>25</v>
      </c>
      <c r="D24" s="42"/>
      <c r="E24" s="42"/>
      <c r="F24" s="43" t="n">
        <v>3</v>
      </c>
    </row>
    <row r="25" s="7" customFormat="true" ht="15.75" hidden="false" customHeight="true" outlineLevel="0" collapsed="false">
      <c r="B25" s="41"/>
      <c r="C25" s="44" t="s">
        <v>26</v>
      </c>
      <c r="D25" s="45" t="n">
        <v>24</v>
      </c>
      <c r="E25" s="45" t="n">
        <v>1</v>
      </c>
      <c r="F25" s="43"/>
    </row>
    <row r="26" s="7" customFormat="true" ht="15.75" hidden="false" customHeight="true" outlineLevel="0" collapsed="false">
      <c r="B26" s="41"/>
      <c r="C26" s="46" t="s">
        <v>27</v>
      </c>
      <c r="D26" s="47" t="n">
        <v>30</v>
      </c>
      <c r="E26" s="47" t="n">
        <v>1</v>
      </c>
      <c r="F26" s="43"/>
    </row>
    <row r="27" s="7" customFormat="true" ht="15.75" hidden="false" customHeight="true" outlineLevel="0" collapsed="false">
      <c r="B27" s="48" t="s">
        <v>28</v>
      </c>
      <c r="C27" s="49" t="s">
        <v>29</v>
      </c>
      <c r="D27" s="49"/>
      <c r="E27" s="49"/>
      <c r="F27" s="145" t="n">
        <v>2</v>
      </c>
    </row>
    <row r="28" s="7" customFormat="true" ht="15.75" hidden="false" customHeight="true" outlineLevel="0" collapsed="false">
      <c r="B28" s="48"/>
      <c r="C28" s="52" t="s">
        <v>30</v>
      </c>
      <c r="D28" s="53" t="n">
        <v>21</v>
      </c>
      <c r="E28" s="53" t="n">
        <v>1</v>
      </c>
      <c r="F28" s="145"/>
    </row>
    <row r="29" s="7" customFormat="true" ht="15.75" hidden="false" customHeight="true" outlineLevel="0" collapsed="false">
      <c r="B29" s="48"/>
      <c r="C29" s="54" t="s">
        <v>31</v>
      </c>
      <c r="D29" s="55" t="n">
        <v>18</v>
      </c>
      <c r="E29" s="55" t="n">
        <v>1</v>
      </c>
      <c r="F29" s="145"/>
    </row>
    <row r="30" s="7" customFormat="true" ht="15.75" hidden="false" customHeight="true" outlineLevel="0" collapsed="false">
      <c r="B30" s="48" t="s">
        <v>32</v>
      </c>
      <c r="C30" s="56" t="s">
        <v>33</v>
      </c>
      <c r="D30" s="57"/>
      <c r="E30" s="57"/>
      <c r="F30" s="145" t="n">
        <v>2</v>
      </c>
    </row>
    <row r="31" s="7" customFormat="true" ht="15.75" hidden="false" customHeight="true" outlineLevel="0" collapsed="false">
      <c r="B31" s="48"/>
      <c r="C31" s="58" t="s">
        <v>34</v>
      </c>
      <c r="D31" s="60" t="n">
        <v>32</v>
      </c>
      <c r="E31" s="60" t="n">
        <v>1</v>
      </c>
      <c r="F31" s="145"/>
    </row>
    <row r="32" s="7" customFormat="true" ht="15.75" hidden="false" customHeight="true" outlineLevel="0" collapsed="false">
      <c r="B32" s="48" t="s">
        <v>35</v>
      </c>
      <c r="C32" s="61" t="s">
        <v>36</v>
      </c>
      <c r="D32" s="61"/>
      <c r="E32" s="61"/>
      <c r="F32" s="62" t="n">
        <v>1</v>
      </c>
    </row>
    <row r="33" s="7" customFormat="true" ht="15.75" hidden="false" customHeight="true" outlineLevel="0" collapsed="false">
      <c r="B33" s="48"/>
      <c r="C33" s="64" t="s">
        <v>37</v>
      </c>
      <c r="D33" s="65" t="n">
        <v>20</v>
      </c>
      <c r="E33" s="65" t="n">
        <v>1</v>
      </c>
      <c r="F33" s="62"/>
    </row>
    <row r="34" s="7" customFormat="true" ht="15.75" hidden="false" customHeight="true" outlineLevel="0" collapsed="false">
      <c r="B34" s="66"/>
      <c r="C34" s="67" t="s">
        <v>38</v>
      </c>
      <c r="D34" s="68" t="n">
        <f aca="false">SUM(D11:D33)</f>
        <v>340</v>
      </c>
      <c r="E34" s="69"/>
      <c r="F34" s="70" t="n">
        <f aca="false">SUM(F11:F33)</f>
        <v>20</v>
      </c>
    </row>
    <row r="35" s="7" customFormat="true" ht="15.75" hidden="false" customHeight="true" outlineLevel="0" collapsed="false">
      <c r="B35" s="72" t="s">
        <v>39</v>
      </c>
      <c r="C35" s="73" t="s">
        <v>40</v>
      </c>
      <c r="D35" s="74" t="n">
        <v>455</v>
      </c>
      <c r="E35" s="75"/>
      <c r="F35" s="76" t="n">
        <v>10</v>
      </c>
    </row>
    <row r="36" s="7" customFormat="true" ht="15.75" hidden="false" customHeight="true" outlineLevel="0" collapsed="false">
      <c r="B36" s="77"/>
      <c r="C36" s="77"/>
      <c r="D36" s="78"/>
      <c r="E36" s="78"/>
      <c r="F36" s="78"/>
    </row>
    <row r="37" s="7" customFormat="true" ht="15.75" hidden="false" customHeight="true" outlineLevel="0" collapsed="false">
      <c r="B37" s="77"/>
      <c r="C37" s="79"/>
      <c r="D37" s="78"/>
      <c r="E37" s="78"/>
      <c r="F37" s="78"/>
    </row>
    <row r="38" s="7" customFormat="true" ht="15.75" hidden="false" customHeight="true" outlineLevel="0" collapsed="false">
      <c r="B38" s="300" t="s">
        <v>41</v>
      </c>
      <c r="C38" s="300"/>
      <c r="D38" s="300"/>
      <c r="E38" s="301"/>
      <c r="F38" s="302"/>
    </row>
    <row r="39" s="7" customFormat="true" ht="15.75" hidden="false" customHeight="true" outlineLevel="0" collapsed="false">
      <c r="B39" s="303" t="s">
        <v>199</v>
      </c>
      <c r="C39" s="304" t="s">
        <v>1</v>
      </c>
      <c r="D39" s="304" t="s">
        <v>2</v>
      </c>
      <c r="E39" s="304" t="s">
        <v>3</v>
      </c>
      <c r="F39" s="305" t="s">
        <v>4</v>
      </c>
    </row>
    <row r="40" s="7" customFormat="true" ht="15.75" hidden="false" customHeight="true" outlineLevel="0" collapsed="false">
      <c r="B40" s="18" t="s">
        <v>42</v>
      </c>
      <c r="C40" s="49" t="s">
        <v>6</v>
      </c>
      <c r="D40" s="49"/>
      <c r="E40" s="49"/>
      <c r="F40" s="20" t="n">
        <v>4</v>
      </c>
    </row>
    <row r="41" s="7" customFormat="true" ht="15.75" hidden="false" customHeight="true" outlineLevel="0" collapsed="false">
      <c r="B41" s="18"/>
      <c r="C41" s="229" t="s">
        <v>200</v>
      </c>
      <c r="D41" s="81" t="n">
        <v>31</v>
      </c>
      <c r="E41" s="81" t="n">
        <v>1</v>
      </c>
      <c r="F41" s="20"/>
    </row>
    <row r="42" s="7" customFormat="true" ht="15.75" hidden="false" customHeight="true" outlineLevel="0" collapsed="false">
      <c r="B42" s="18"/>
      <c r="C42" s="29" t="s">
        <v>44</v>
      </c>
      <c r="D42" s="81" t="n">
        <v>24</v>
      </c>
      <c r="E42" s="82" t="n">
        <v>1</v>
      </c>
      <c r="F42" s="20"/>
    </row>
    <row r="43" s="7" customFormat="true" ht="15.75" hidden="false" customHeight="true" outlineLevel="0" collapsed="false">
      <c r="B43" s="18"/>
      <c r="C43" s="83" t="s">
        <v>45</v>
      </c>
      <c r="D43" s="84" t="n">
        <v>23</v>
      </c>
      <c r="E43" s="85" t="n">
        <v>1</v>
      </c>
      <c r="F43" s="20"/>
    </row>
    <row r="44" s="7" customFormat="true" ht="15.75" hidden="false" customHeight="true" outlineLevel="0" collapsed="false">
      <c r="B44" s="18" t="s">
        <v>46</v>
      </c>
      <c r="C44" s="19" t="s">
        <v>18</v>
      </c>
      <c r="D44" s="19"/>
      <c r="E44" s="19"/>
      <c r="F44" s="20" t="n">
        <v>2</v>
      </c>
    </row>
    <row r="45" s="7" customFormat="true" ht="15.75" hidden="false" customHeight="true" outlineLevel="0" collapsed="false">
      <c r="B45" s="18"/>
      <c r="C45" s="40" t="s">
        <v>47</v>
      </c>
      <c r="D45" s="38" t="n">
        <v>12</v>
      </c>
      <c r="E45" s="38" t="n">
        <v>1</v>
      </c>
      <c r="F45" s="20"/>
    </row>
    <row r="46" s="7" customFormat="true" ht="15.75" hidden="false" customHeight="true" outlineLevel="0" collapsed="false">
      <c r="B46" s="18"/>
      <c r="C46" s="88" t="s">
        <v>201</v>
      </c>
      <c r="D46" s="89" t="n">
        <v>33</v>
      </c>
      <c r="E46" s="90" t="n">
        <v>3</v>
      </c>
      <c r="F46" s="20"/>
    </row>
    <row r="47" s="7" customFormat="true" ht="15.75" hidden="false" customHeight="true" outlineLevel="0" collapsed="false">
      <c r="B47" s="91" t="s">
        <v>49</v>
      </c>
      <c r="C47" s="92" t="s">
        <v>25</v>
      </c>
      <c r="D47" s="92"/>
      <c r="E47" s="92"/>
      <c r="F47" s="93" t="n">
        <v>3</v>
      </c>
    </row>
    <row r="48" s="7" customFormat="true" ht="15.75" hidden="false" customHeight="true" outlineLevel="0" collapsed="false">
      <c r="B48" s="91"/>
      <c r="C48" s="94" t="s">
        <v>50</v>
      </c>
      <c r="D48" s="45" t="n">
        <v>24</v>
      </c>
      <c r="E48" s="45" t="n">
        <v>1</v>
      </c>
      <c r="F48" s="93"/>
    </row>
    <row r="49" s="7" customFormat="true" ht="15.75" hidden="false" customHeight="true" outlineLevel="0" collapsed="false">
      <c r="B49" s="91"/>
      <c r="C49" s="44" t="s">
        <v>202</v>
      </c>
      <c r="D49" s="45" t="n">
        <v>30</v>
      </c>
      <c r="E49" s="45" t="n">
        <v>1</v>
      </c>
      <c r="F49" s="93"/>
    </row>
    <row r="50" s="7" customFormat="true" ht="15.75" hidden="false" customHeight="true" outlineLevel="0" collapsed="false">
      <c r="B50" s="91" t="s">
        <v>53</v>
      </c>
      <c r="C50" s="92" t="s">
        <v>25</v>
      </c>
      <c r="D50" s="92"/>
      <c r="E50" s="92"/>
      <c r="F50" s="97" t="n">
        <v>3</v>
      </c>
    </row>
    <row r="51" s="7" customFormat="true" ht="15.75" hidden="false" customHeight="true" outlineLevel="0" collapsed="false">
      <c r="B51" s="91"/>
      <c r="C51" s="94" t="s">
        <v>54</v>
      </c>
      <c r="D51" s="45" t="n">
        <v>25</v>
      </c>
      <c r="E51" s="45" t="n">
        <v>1</v>
      </c>
      <c r="F51" s="97"/>
    </row>
    <row r="52" s="7" customFormat="true" ht="15.75" hidden="false" customHeight="true" outlineLevel="0" collapsed="false">
      <c r="B52" s="91"/>
      <c r="C52" s="44" t="s">
        <v>55</v>
      </c>
      <c r="D52" s="45" t="n">
        <v>30</v>
      </c>
      <c r="E52" s="45" t="n">
        <v>1</v>
      </c>
      <c r="F52" s="97"/>
    </row>
    <row r="53" s="7" customFormat="true" ht="15.75" hidden="false" customHeight="true" outlineLevel="0" collapsed="false">
      <c r="B53" s="91" t="s">
        <v>56</v>
      </c>
      <c r="C53" s="42" t="s">
        <v>57</v>
      </c>
      <c r="D53" s="42"/>
      <c r="E53" s="42"/>
      <c r="F53" s="97" t="n">
        <v>3</v>
      </c>
    </row>
    <row r="54" s="7" customFormat="true" ht="15.75" hidden="false" customHeight="true" outlineLevel="0" collapsed="false">
      <c r="B54" s="91"/>
      <c r="C54" s="100" t="s">
        <v>59</v>
      </c>
      <c r="D54" s="45" t="n">
        <v>47</v>
      </c>
      <c r="E54" s="45" t="n">
        <v>1</v>
      </c>
      <c r="F54" s="97"/>
    </row>
    <row r="55" s="7" customFormat="true" ht="15.75" hidden="false" customHeight="true" outlineLevel="0" collapsed="false">
      <c r="B55" s="101" t="s">
        <v>203</v>
      </c>
      <c r="C55" s="49" t="s">
        <v>29</v>
      </c>
      <c r="D55" s="49"/>
      <c r="E55" s="49"/>
      <c r="F55" s="145" t="n">
        <v>2</v>
      </c>
    </row>
    <row r="56" s="7" customFormat="true" ht="15.75" hidden="false" customHeight="true" outlineLevel="0" collapsed="false">
      <c r="B56" s="101"/>
      <c r="C56" s="106" t="s">
        <v>62</v>
      </c>
      <c r="D56" s="81" t="n">
        <v>14</v>
      </c>
      <c r="E56" s="81" t="s">
        <v>14</v>
      </c>
      <c r="F56" s="145"/>
    </row>
    <row r="57" s="7" customFormat="true" ht="15.75" hidden="false" customHeight="true" outlineLevel="0" collapsed="false">
      <c r="B57" s="101"/>
      <c r="C57" s="229" t="s">
        <v>148</v>
      </c>
      <c r="D57" s="81" t="n">
        <v>21</v>
      </c>
      <c r="E57" s="81" t="n">
        <v>1</v>
      </c>
      <c r="F57" s="145"/>
    </row>
    <row r="58" customFormat="false" ht="15.75" hidden="false" customHeight="true" outlineLevel="0" collapsed="false">
      <c r="A58" s="7"/>
      <c r="B58" s="101" t="s">
        <v>204</v>
      </c>
      <c r="C58" s="61" t="s">
        <v>33</v>
      </c>
      <c r="D58" s="61"/>
      <c r="E58" s="61"/>
      <c r="F58" s="306" t="n">
        <v>2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  <c r="KS58" s="7"/>
      <c r="KT58" s="7"/>
      <c r="KU58" s="7"/>
      <c r="KV58" s="7"/>
      <c r="KW58" s="7"/>
      <c r="KX58" s="7"/>
      <c r="KY58" s="7"/>
      <c r="KZ58" s="7"/>
      <c r="LA58" s="7"/>
      <c r="LB58" s="7"/>
      <c r="LC58" s="7"/>
      <c r="LD58" s="7"/>
      <c r="LE58" s="7"/>
      <c r="LF58" s="7"/>
      <c r="LG58" s="7"/>
      <c r="LH58" s="7"/>
      <c r="LI58" s="7"/>
      <c r="LJ58" s="7"/>
      <c r="LK58" s="7"/>
      <c r="LL58" s="7"/>
      <c r="LM58" s="7"/>
      <c r="LN58" s="7"/>
      <c r="LO58" s="7"/>
      <c r="LP58" s="7"/>
      <c r="LQ58" s="7"/>
      <c r="LR58" s="7"/>
      <c r="LS58" s="7"/>
      <c r="LT58" s="7"/>
      <c r="LU58" s="7"/>
      <c r="LV58" s="7"/>
      <c r="LW58" s="7"/>
      <c r="LX58" s="7"/>
      <c r="LY58" s="7"/>
      <c r="LZ58" s="7"/>
      <c r="MA58" s="7"/>
      <c r="MB58" s="7"/>
      <c r="MC58" s="7"/>
      <c r="MD58" s="7"/>
      <c r="ME58" s="7"/>
      <c r="MF58" s="7"/>
      <c r="MG58" s="7"/>
      <c r="MH58" s="7"/>
      <c r="MI58" s="7"/>
      <c r="MJ58" s="7"/>
      <c r="MK58" s="7"/>
      <c r="ML58" s="7"/>
      <c r="MM58" s="7"/>
      <c r="MN58" s="7"/>
      <c r="MO58" s="7"/>
      <c r="MP58" s="7"/>
      <c r="MQ58" s="7"/>
      <c r="MR58" s="7"/>
      <c r="MS58" s="7"/>
      <c r="MT58" s="7"/>
      <c r="MU58" s="7"/>
      <c r="MV58" s="7"/>
      <c r="MW58" s="7"/>
      <c r="MX58" s="7"/>
      <c r="MY58" s="7"/>
      <c r="MZ58" s="7"/>
      <c r="NA58" s="7"/>
      <c r="NB58" s="7"/>
      <c r="NC58" s="7"/>
      <c r="ND58" s="7"/>
      <c r="NE58" s="7"/>
      <c r="NF58" s="7"/>
      <c r="NG58" s="7"/>
      <c r="NH58" s="7"/>
      <c r="NI58" s="7"/>
      <c r="NJ58" s="7"/>
      <c r="NK58" s="7"/>
      <c r="NL58" s="7"/>
      <c r="NM58" s="7"/>
      <c r="NN58" s="7"/>
      <c r="NO58" s="7"/>
      <c r="NP58" s="7"/>
      <c r="NQ58" s="7"/>
      <c r="NR58" s="7"/>
      <c r="NS58" s="7"/>
      <c r="NT58" s="7"/>
      <c r="NU58" s="7"/>
      <c r="NV58" s="7"/>
      <c r="NW58" s="7"/>
      <c r="NX58" s="7"/>
      <c r="NY58" s="7"/>
      <c r="NZ58" s="7"/>
      <c r="OA58" s="7"/>
      <c r="OB58" s="7"/>
      <c r="OC58" s="7"/>
      <c r="OD58" s="7"/>
      <c r="OE58" s="7"/>
      <c r="OF58" s="7"/>
      <c r="OG58" s="7"/>
      <c r="OH58" s="7"/>
      <c r="OI58" s="7"/>
      <c r="OJ58" s="7"/>
      <c r="OK58" s="7"/>
      <c r="OL58" s="7"/>
      <c r="OM58" s="7"/>
      <c r="ON58" s="7"/>
      <c r="OO58" s="7"/>
      <c r="OP58" s="7"/>
      <c r="OQ58" s="7"/>
      <c r="OR58" s="7"/>
      <c r="OS58" s="7"/>
      <c r="OT58" s="7"/>
      <c r="OU58" s="7"/>
      <c r="OV58" s="7"/>
      <c r="OW58" s="7"/>
      <c r="OX58" s="7"/>
      <c r="OY58" s="7"/>
      <c r="OZ58" s="7"/>
      <c r="PA58" s="7"/>
      <c r="PB58" s="7"/>
      <c r="PC58" s="7"/>
      <c r="PD58" s="7"/>
      <c r="PE58" s="7"/>
      <c r="PF58" s="7"/>
      <c r="PG58" s="7"/>
      <c r="PH58" s="7"/>
      <c r="PI58" s="7"/>
      <c r="PJ58" s="7"/>
      <c r="PK58" s="7"/>
      <c r="PL58" s="7"/>
      <c r="PM58" s="7"/>
      <c r="PN58" s="7"/>
      <c r="PO58" s="7"/>
      <c r="PP58" s="7"/>
      <c r="PQ58" s="7"/>
      <c r="PR58" s="7"/>
      <c r="PS58" s="7"/>
      <c r="PT58" s="7"/>
      <c r="PU58" s="7"/>
      <c r="PV58" s="7"/>
      <c r="PW58" s="7"/>
      <c r="PX58" s="7"/>
      <c r="PY58" s="7"/>
      <c r="PZ58" s="7"/>
      <c r="QA58" s="7"/>
      <c r="QB58" s="7"/>
      <c r="QC58" s="7"/>
      <c r="QD58" s="7"/>
      <c r="QE58" s="7"/>
      <c r="QF58" s="7"/>
      <c r="QG58" s="7"/>
      <c r="QH58" s="7"/>
      <c r="QI58" s="7"/>
      <c r="QJ58" s="7"/>
      <c r="QK58" s="7"/>
      <c r="QL58" s="7"/>
      <c r="QM58" s="7"/>
      <c r="QN58" s="7"/>
      <c r="QO58" s="7"/>
      <c r="QP58" s="7"/>
      <c r="QQ58" s="7"/>
      <c r="QR58" s="7"/>
      <c r="QS58" s="7"/>
      <c r="QT58" s="7"/>
      <c r="QU58" s="7"/>
      <c r="QV58" s="7"/>
      <c r="QW58" s="7"/>
      <c r="QX58" s="7"/>
      <c r="QY58" s="7"/>
      <c r="QZ58" s="7"/>
      <c r="RA58" s="7"/>
      <c r="RB58" s="7"/>
      <c r="RC58" s="7"/>
      <c r="RD58" s="7"/>
      <c r="RE58" s="7"/>
      <c r="RF58" s="7"/>
      <c r="RG58" s="7"/>
      <c r="RH58" s="7"/>
      <c r="RI58" s="7"/>
      <c r="RJ58" s="7"/>
      <c r="RK58" s="7"/>
      <c r="RL58" s="7"/>
      <c r="RM58" s="7"/>
      <c r="RN58" s="7"/>
      <c r="RO58" s="7"/>
      <c r="RP58" s="7"/>
      <c r="RQ58" s="7"/>
      <c r="RR58" s="7"/>
      <c r="RS58" s="7"/>
      <c r="RT58" s="7"/>
      <c r="RU58" s="7"/>
      <c r="RV58" s="7"/>
      <c r="RW58" s="7"/>
      <c r="RX58" s="7"/>
      <c r="RY58" s="7"/>
      <c r="RZ58" s="7"/>
      <c r="SA58" s="7"/>
      <c r="SB58" s="7"/>
      <c r="SC58" s="7"/>
      <c r="SD58" s="7"/>
      <c r="SE58" s="7"/>
      <c r="SF58" s="7"/>
      <c r="SG58" s="7"/>
      <c r="SH58" s="7"/>
      <c r="SI58" s="7"/>
      <c r="SJ58" s="7"/>
      <c r="SK58" s="7"/>
      <c r="SL58" s="7"/>
      <c r="SM58" s="7"/>
      <c r="SN58" s="7"/>
      <c r="SO58" s="7"/>
      <c r="SP58" s="7"/>
      <c r="SQ58" s="7"/>
      <c r="SR58" s="7"/>
      <c r="SS58" s="7"/>
      <c r="ST58" s="7"/>
      <c r="SU58" s="7"/>
      <c r="SV58" s="7"/>
      <c r="SW58" s="7"/>
      <c r="SX58" s="7"/>
      <c r="SY58" s="7"/>
      <c r="SZ58" s="7"/>
      <c r="TA58" s="7"/>
      <c r="TB58" s="7"/>
      <c r="TC58" s="7"/>
      <c r="TD58" s="7"/>
      <c r="TE58" s="7"/>
      <c r="TF58" s="7"/>
      <c r="TG58" s="7"/>
      <c r="TH58" s="7"/>
      <c r="TI58" s="7"/>
      <c r="TJ58" s="7"/>
      <c r="TK58" s="7"/>
      <c r="TL58" s="7"/>
      <c r="TM58" s="7"/>
      <c r="TN58" s="7"/>
      <c r="TO58" s="7"/>
      <c r="TP58" s="7"/>
      <c r="TQ58" s="7"/>
      <c r="TR58" s="7"/>
      <c r="TS58" s="7"/>
      <c r="TT58" s="7"/>
      <c r="TU58" s="7"/>
      <c r="TV58" s="7"/>
      <c r="TW58" s="7"/>
      <c r="TX58" s="7"/>
      <c r="TY58" s="7"/>
      <c r="TZ58" s="7"/>
      <c r="UA58" s="7"/>
      <c r="UB58" s="7"/>
      <c r="UC58" s="7"/>
      <c r="UD58" s="7"/>
      <c r="UE58" s="7"/>
      <c r="UF58" s="7"/>
      <c r="UG58" s="7"/>
      <c r="UH58" s="7"/>
      <c r="UI58" s="7"/>
      <c r="UJ58" s="7"/>
      <c r="UK58" s="7"/>
      <c r="UL58" s="7"/>
      <c r="UM58" s="7"/>
      <c r="UN58" s="7"/>
      <c r="UO58" s="7"/>
      <c r="UP58" s="7"/>
      <c r="UQ58" s="7"/>
      <c r="UR58" s="7"/>
      <c r="US58" s="7"/>
      <c r="UT58" s="7"/>
      <c r="UU58" s="7"/>
      <c r="UV58" s="7"/>
      <c r="UW58" s="7"/>
      <c r="UX58" s="7"/>
      <c r="UY58" s="7"/>
      <c r="UZ58" s="7"/>
      <c r="VA58" s="7"/>
      <c r="VB58" s="7"/>
      <c r="VC58" s="7"/>
      <c r="VD58" s="7"/>
      <c r="VE58" s="7"/>
      <c r="VF58" s="7"/>
      <c r="VG58" s="7"/>
      <c r="VH58" s="7"/>
      <c r="VI58" s="7"/>
      <c r="VJ58" s="7"/>
      <c r="VK58" s="7"/>
      <c r="VL58" s="7"/>
      <c r="VM58" s="7"/>
      <c r="VN58" s="7"/>
      <c r="VO58" s="7"/>
      <c r="VP58" s="7"/>
      <c r="VQ58" s="7"/>
      <c r="VR58" s="7"/>
      <c r="VS58" s="7"/>
      <c r="VT58" s="7"/>
      <c r="VU58" s="7"/>
      <c r="VV58" s="7"/>
      <c r="VW58" s="7"/>
      <c r="VX58" s="7"/>
      <c r="VY58" s="7"/>
      <c r="VZ58" s="7"/>
      <c r="WA58" s="7"/>
      <c r="WB58" s="7"/>
      <c r="WC58" s="7"/>
      <c r="WD58" s="7"/>
      <c r="WE58" s="7"/>
      <c r="WF58" s="7"/>
      <c r="WG58" s="7"/>
      <c r="WH58" s="7"/>
      <c r="WI58" s="7"/>
      <c r="WJ58" s="7"/>
      <c r="WK58" s="7"/>
      <c r="WL58" s="7"/>
      <c r="WM58" s="7"/>
      <c r="WN58" s="7"/>
      <c r="WO58" s="7"/>
      <c r="WP58" s="7"/>
      <c r="WQ58" s="7"/>
      <c r="WR58" s="7"/>
      <c r="WS58" s="7"/>
      <c r="WT58" s="7"/>
      <c r="WU58" s="7"/>
      <c r="WV58" s="7"/>
      <c r="WW58" s="7"/>
      <c r="WX58" s="7"/>
      <c r="WY58" s="7"/>
      <c r="WZ58" s="7"/>
      <c r="XA58" s="7"/>
      <c r="XB58" s="7"/>
      <c r="XC58" s="7"/>
      <c r="XD58" s="7"/>
      <c r="XE58" s="7"/>
      <c r="XF58" s="7"/>
      <c r="XG58" s="7"/>
      <c r="XH58" s="7"/>
      <c r="XI58" s="7"/>
      <c r="XJ58" s="7"/>
      <c r="XK58" s="7"/>
      <c r="XL58" s="7"/>
      <c r="XM58" s="7"/>
      <c r="XN58" s="7"/>
      <c r="XO58" s="7"/>
      <c r="XP58" s="7"/>
      <c r="XQ58" s="7"/>
      <c r="XR58" s="7"/>
      <c r="XS58" s="7"/>
      <c r="XT58" s="7"/>
      <c r="XU58" s="7"/>
      <c r="XV58" s="7"/>
      <c r="XW58" s="7"/>
      <c r="XX58" s="7"/>
      <c r="XY58" s="7"/>
      <c r="XZ58" s="7"/>
      <c r="YA58" s="7"/>
      <c r="YB58" s="7"/>
      <c r="YC58" s="7"/>
      <c r="YD58" s="7"/>
      <c r="YE58" s="7"/>
      <c r="YF58" s="7"/>
      <c r="YG58" s="7"/>
      <c r="YH58" s="7"/>
      <c r="YI58" s="7"/>
      <c r="YJ58" s="7"/>
      <c r="YK58" s="7"/>
      <c r="YL58" s="7"/>
      <c r="YM58" s="7"/>
      <c r="YN58" s="7"/>
      <c r="YO58" s="7"/>
      <c r="YP58" s="7"/>
      <c r="YQ58" s="7"/>
      <c r="YR58" s="7"/>
      <c r="YS58" s="7"/>
      <c r="YT58" s="7"/>
      <c r="YU58" s="7"/>
      <c r="YV58" s="7"/>
      <c r="YW58" s="7"/>
      <c r="YX58" s="7"/>
      <c r="YY58" s="7"/>
      <c r="YZ58" s="7"/>
      <c r="ZA58" s="7"/>
      <c r="ZB58" s="7"/>
      <c r="ZC58" s="7"/>
      <c r="ZD58" s="7"/>
      <c r="ZE58" s="7"/>
      <c r="ZF58" s="7"/>
      <c r="ZG58" s="7"/>
      <c r="ZH58" s="7"/>
      <c r="ZI58" s="7"/>
      <c r="ZJ58" s="7"/>
      <c r="ZK58" s="7"/>
      <c r="ZL58" s="7"/>
      <c r="ZM58" s="7"/>
      <c r="ZN58" s="7"/>
      <c r="ZO58" s="7"/>
      <c r="ZP58" s="7"/>
      <c r="ZQ58" s="7"/>
      <c r="ZR58" s="7"/>
      <c r="ZS58" s="7"/>
      <c r="ZT58" s="7"/>
      <c r="ZU58" s="7"/>
      <c r="ZV58" s="7"/>
      <c r="ZW58" s="7"/>
      <c r="ZX58" s="7"/>
      <c r="ZY58" s="7"/>
      <c r="ZZ58" s="7"/>
      <c r="AAA58" s="7"/>
      <c r="AAB58" s="7"/>
      <c r="AAC58" s="7"/>
      <c r="AAD58" s="7"/>
      <c r="AAE58" s="7"/>
      <c r="AAF58" s="7"/>
      <c r="AAG58" s="7"/>
      <c r="AAH58" s="7"/>
      <c r="AAI58" s="7"/>
      <c r="AAJ58" s="7"/>
      <c r="AAK58" s="7"/>
      <c r="AAL58" s="7"/>
      <c r="AAM58" s="7"/>
      <c r="AAN58" s="7"/>
      <c r="AAO58" s="7"/>
      <c r="AAP58" s="7"/>
      <c r="AAQ58" s="7"/>
      <c r="AAR58" s="7"/>
      <c r="AAS58" s="7"/>
      <c r="AAT58" s="7"/>
      <c r="AAU58" s="7"/>
      <c r="AAV58" s="7"/>
      <c r="AAW58" s="7"/>
      <c r="AAX58" s="7"/>
      <c r="AAY58" s="7"/>
      <c r="AAZ58" s="7"/>
      <c r="ABA58" s="7"/>
      <c r="ABB58" s="7"/>
      <c r="ABC58" s="7"/>
      <c r="ABD58" s="7"/>
      <c r="ABE58" s="7"/>
      <c r="ABF58" s="7"/>
      <c r="ABG58" s="7"/>
      <c r="ABH58" s="7"/>
      <c r="ABI58" s="7"/>
      <c r="ABJ58" s="7"/>
      <c r="ABK58" s="7"/>
      <c r="ABL58" s="7"/>
      <c r="ABM58" s="7"/>
      <c r="ABN58" s="7"/>
      <c r="ABO58" s="7"/>
      <c r="ABP58" s="7"/>
      <c r="ABQ58" s="7"/>
      <c r="ABR58" s="7"/>
      <c r="ABS58" s="7"/>
      <c r="ABT58" s="7"/>
      <c r="ABU58" s="7"/>
      <c r="ABV58" s="7"/>
      <c r="ABW58" s="7"/>
      <c r="ABX58" s="7"/>
      <c r="ABY58" s="7"/>
      <c r="ABZ58" s="7"/>
      <c r="ACA58" s="7"/>
      <c r="ACB58" s="7"/>
      <c r="ACC58" s="7"/>
      <c r="ACD58" s="7"/>
      <c r="ACE58" s="7"/>
      <c r="ACF58" s="7"/>
      <c r="ACG58" s="7"/>
      <c r="ACH58" s="7"/>
      <c r="ACI58" s="7"/>
      <c r="ACJ58" s="7"/>
      <c r="ACK58" s="7"/>
      <c r="ACL58" s="7"/>
      <c r="ACM58" s="7"/>
      <c r="ACN58" s="7"/>
      <c r="ACO58" s="7"/>
      <c r="ACP58" s="7"/>
      <c r="ACQ58" s="7"/>
      <c r="ACR58" s="7"/>
      <c r="ACS58" s="7"/>
      <c r="ACT58" s="7"/>
      <c r="ACU58" s="7"/>
      <c r="ACV58" s="7"/>
      <c r="ACW58" s="7"/>
      <c r="ACX58" s="7"/>
      <c r="ACY58" s="7"/>
      <c r="ACZ58" s="7"/>
      <c r="ADA58" s="7"/>
      <c r="ADB58" s="7"/>
      <c r="ADC58" s="7"/>
      <c r="ADD58" s="7"/>
      <c r="ADE58" s="7"/>
      <c r="ADF58" s="7"/>
      <c r="ADG58" s="7"/>
      <c r="ADH58" s="7"/>
      <c r="ADI58" s="7"/>
      <c r="ADJ58" s="7"/>
      <c r="ADK58" s="7"/>
      <c r="ADL58" s="7"/>
      <c r="ADM58" s="7"/>
      <c r="ADN58" s="7"/>
      <c r="ADO58" s="7"/>
      <c r="ADP58" s="7"/>
      <c r="ADQ58" s="7"/>
      <c r="ADR58" s="7"/>
      <c r="ADS58" s="7"/>
      <c r="ADT58" s="7"/>
      <c r="ADU58" s="7"/>
      <c r="ADV58" s="7"/>
      <c r="ADW58" s="7"/>
      <c r="ADX58" s="7"/>
      <c r="ADY58" s="7"/>
      <c r="ADZ58" s="7"/>
      <c r="AEA58" s="7"/>
      <c r="AEB58" s="7"/>
      <c r="AEC58" s="7"/>
      <c r="AED58" s="7"/>
      <c r="AEE58" s="7"/>
      <c r="AEF58" s="7"/>
      <c r="AEG58" s="7"/>
      <c r="AEH58" s="7"/>
      <c r="AEI58" s="7"/>
      <c r="AEJ58" s="7"/>
      <c r="AEK58" s="7"/>
      <c r="AEL58" s="7"/>
      <c r="AEM58" s="7"/>
      <c r="AEN58" s="7"/>
      <c r="AEO58" s="7"/>
      <c r="AEP58" s="7"/>
      <c r="AEQ58" s="7"/>
      <c r="AER58" s="7"/>
      <c r="AES58" s="7"/>
      <c r="AET58" s="7"/>
      <c r="AEU58" s="7"/>
      <c r="AEV58" s="7"/>
      <c r="AEW58" s="7"/>
      <c r="AEX58" s="7"/>
      <c r="AEY58" s="7"/>
      <c r="AEZ58" s="7"/>
      <c r="AFA58" s="7"/>
      <c r="AFB58" s="7"/>
      <c r="AFC58" s="7"/>
      <c r="AFD58" s="7"/>
      <c r="AFE58" s="7"/>
      <c r="AFF58" s="7"/>
      <c r="AFG58" s="7"/>
      <c r="AFH58" s="7"/>
      <c r="AFI58" s="7"/>
      <c r="AFJ58" s="7"/>
      <c r="AFK58" s="7"/>
      <c r="AFL58" s="7"/>
      <c r="AFM58" s="7"/>
      <c r="AFN58" s="7"/>
      <c r="AFO58" s="7"/>
      <c r="AFP58" s="7"/>
      <c r="AFQ58" s="7"/>
      <c r="AFR58" s="7"/>
      <c r="AFS58" s="7"/>
      <c r="AFT58" s="7"/>
      <c r="AFU58" s="7"/>
      <c r="AFV58" s="7"/>
      <c r="AFW58" s="7"/>
      <c r="AFX58" s="7"/>
      <c r="AFY58" s="7"/>
      <c r="AFZ58" s="7"/>
      <c r="AGA58" s="7"/>
      <c r="AGB58" s="7"/>
      <c r="AGC58" s="7"/>
      <c r="AGD58" s="7"/>
      <c r="AGE58" s="7"/>
      <c r="AGF58" s="7"/>
      <c r="AGG58" s="7"/>
      <c r="AGH58" s="7"/>
      <c r="AGI58" s="7"/>
      <c r="AGJ58" s="7"/>
      <c r="AGK58" s="7"/>
      <c r="AGL58" s="7"/>
      <c r="AGM58" s="7"/>
      <c r="AGN58" s="7"/>
      <c r="AGO58" s="7"/>
      <c r="AGP58" s="7"/>
      <c r="AGQ58" s="7"/>
      <c r="AGR58" s="7"/>
      <c r="AGS58" s="7"/>
      <c r="AGT58" s="7"/>
      <c r="AGU58" s="7"/>
      <c r="AGV58" s="7"/>
      <c r="AGW58" s="7"/>
      <c r="AGX58" s="7"/>
      <c r="AGY58" s="7"/>
      <c r="AGZ58" s="7"/>
      <c r="AHA58" s="7"/>
      <c r="AHB58" s="7"/>
      <c r="AHC58" s="7"/>
      <c r="AHD58" s="7"/>
      <c r="AHE58" s="7"/>
      <c r="AHF58" s="7"/>
      <c r="AHG58" s="7"/>
      <c r="AHH58" s="7"/>
      <c r="AHI58" s="7"/>
      <c r="AHJ58" s="7"/>
      <c r="AHK58" s="7"/>
      <c r="AHL58" s="7"/>
      <c r="AHM58" s="7"/>
      <c r="AHN58" s="7"/>
      <c r="AHO58" s="7"/>
      <c r="AHP58" s="7"/>
      <c r="AHQ58" s="7"/>
      <c r="AHR58" s="7"/>
      <c r="AHS58" s="7"/>
      <c r="AHT58" s="7"/>
      <c r="AHU58" s="7"/>
      <c r="AHV58" s="7"/>
      <c r="AHW58" s="7"/>
      <c r="AHX58" s="7"/>
      <c r="AHY58" s="7"/>
      <c r="AHZ58" s="7"/>
      <c r="AIA58" s="7"/>
      <c r="AIB58" s="7"/>
      <c r="AIC58" s="7"/>
      <c r="AID58" s="7"/>
      <c r="AIE58" s="7"/>
      <c r="AIF58" s="7"/>
      <c r="AIG58" s="7"/>
      <c r="AIH58" s="7"/>
      <c r="AII58" s="7"/>
      <c r="AIJ58" s="7"/>
      <c r="AIK58" s="7"/>
      <c r="AIL58" s="7"/>
      <c r="AIM58" s="7"/>
      <c r="AIN58" s="7"/>
      <c r="AIO58" s="7"/>
      <c r="AIP58" s="7"/>
      <c r="AIQ58" s="7"/>
      <c r="AIR58" s="7"/>
      <c r="AIS58" s="7"/>
      <c r="AIT58" s="7"/>
      <c r="AIU58" s="7"/>
      <c r="AIV58" s="7"/>
      <c r="AIW58" s="7"/>
      <c r="AIX58" s="7"/>
      <c r="AIY58" s="7"/>
      <c r="AIZ58" s="7"/>
      <c r="AJA58" s="7"/>
      <c r="AJB58" s="7"/>
      <c r="AJC58" s="7"/>
      <c r="AJD58" s="7"/>
      <c r="AJE58" s="7"/>
      <c r="AJF58" s="7"/>
      <c r="AJG58" s="7"/>
      <c r="AJH58" s="7"/>
      <c r="AJI58" s="7"/>
      <c r="AJJ58" s="7"/>
      <c r="AJK58" s="7"/>
      <c r="AJL58" s="7"/>
      <c r="AJM58" s="7"/>
      <c r="AJN58" s="7"/>
      <c r="AJO58" s="7"/>
      <c r="AJP58" s="7"/>
      <c r="AJQ58" s="7"/>
      <c r="AJR58" s="7"/>
      <c r="AJS58" s="7"/>
      <c r="AJT58" s="7"/>
      <c r="AJU58" s="7"/>
      <c r="AJV58" s="7"/>
      <c r="AJW58" s="7"/>
      <c r="AJX58" s="7"/>
      <c r="AJY58" s="7"/>
      <c r="AJZ58" s="7"/>
      <c r="AKA58" s="7"/>
      <c r="AKB58" s="7"/>
      <c r="AKC58" s="7"/>
      <c r="AKD58" s="7"/>
      <c r="AKE58" s="7"/>
      <c r="AKF58" s="7"/>
      <c r="AKG58" s="7"/>
      <c r="AKH58" s="7"/>
      <c r="AKI58" s="7"/>
      <c r="AKJ58" s="7"/>
      <c r="AKK58" s="7"/>
      <c r="AKL58" s="7"/>
      <c r="AKM58" s="7"/>
      <c r="AKN58" s="7"/>
      <c r="AKO58" s="7"/>
      <c r="AKP58" s="7"/>
      <c r="AKQ58" s="7"/>
      <c r="AKR58" s="7"/>
      <c r="AKS58" s="7"/>
      <c r="AKT58" s="7"/>
      <c r="AKU58" s="7"/>
      <c r="AKV58" s="7"/>
      <c r="AKW58" s="7"/>
      <c r="AKX58" s="7"/>
      <c r="AKY58" s="7"/>
      <c r="AKZ58" s="7"/>
      <c r="ALA58" s="7"/>
      <c r="ALB58" s="7"/>
      <c r="ALC58" s="7"/>
      <c r="ALD58" s="7"/>
      <c r="ALE58" s="7"/>
      <c r="ALF58" s="7"/>
      <c r="ALG58" s="7"/>
      <c r="ALH58" s="7"/>
      <c r="ALI58" s="7"/>
      <c r="ALJ58" s="7"/>
      <c r="ALK58" s="7"/>
      <c r="ALL58" s="7"/>
      <c r="ALM58" s="7"/>
      <c r="ALN58" s="7"/>
      <c r="ALO58" s="7"/>
      <c r="ALP58" s="7"/>
      <c r="ALQ58" s="7"/>
      <c r="ALR58" s="7"/>
      <c r="ALS58" s="7"/>
      <c r="ALT58" s="7"/>
      <c r="ALU58" s="7"/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</row>
    <row r="59" s="7" customFormat="true" ht="15.75" hidden="false" customHeight="true" outlineLevel="0" collapsed="false">
      <c r="B59" s="101"/>
      <c r="C59" s="307" t="s">
        <v>205</v>
      </c>
      <c r="D59" s="105" t="n">
        <v>52</v>
      </c>
      <c r="E59" s="105" t="n">
        <v>1</v>
      </c>
      <c r="F59" s="306"/>
    </row>
    <row r="60" s="7" customFormat="true" ht="15.75" hidden="false" customHeight="true" outlineLevel="0" collapsed="false">
      <c r="B60" s="48" t="s">
        <v>206</v>
      </c>
      <c r="C60" s="61" t="s">
        <v>36</v>
      </c>
      <c r="D60" s="61"/>
      <c r="E60" s="61"/>
      <c r="F60" s="62" t="n">
        <v>1</v>
      </c>
    </row>
    <row r="61" s="7" customFormat="true" ht="15.75" hidden="false" customHeight="true" outlineLevel="0" collapsed="false">
      <c r="B61" s="48"/>
      <c r="C61" s="109" t="s">
        <v>63</v>
      </c>
      <c r="D61" s="65" t="n">
        <v>14</v>
      </c>
      <c r="E61" s="65" t="n">
        <v>1</v>
      </c>
      <c r="F61" s="62"/>
    </row>
    <row r="62" s="7" customFormat="true" ht="15.75" hidden="false" customHeight="true" outlineLevel="0" collapsed="false">
      <c r="B62" s="111"/>
      <c r="C62" s="112" t="s">
        <v>38</v>
      </c>
      <c r="D62" s="113" t="n">
        <f aca="false">SUM(D40:D61)</f>
        <v>380</v>
      </c>
      <c r="E62" s="114"/>
      <c r="F62" s="115" t="n">
        <f aca="false">SUM(F40:F61)</f>
        <v>20</v>
      </c>
    </row>
    <row r="63" s="7" customFormat="true" ht="15.75" hidden="false" customHeight="true" outlineLevel="0" collapsed="false">
      <c r="B63" s="72" t="s">
        <v>64</v>
      </c>
      <c r="C63" s="73" t="s">
        <v>40</v>
      </c>
      <c r="D63" s="75" t="n">
        <v>490</v>
      </c>
      <c r="E63" s="75"/>
      <c r="F63" s="76" t="n">
        <v>10</v>
      </c>
    </row>
    <row r="64" s="7" customFormat="true" ht="15.75" hidden="false" customHeight="true" outlineLevel="0" collapsed="false">
      <c r="B64" s="116" t="s">
        <v>197</v>
      </c>
      <c r="C64" s="116"/>
      <c r="D64" s="116"/>
      <c r="E64" s="116"/>
      <c r="F64" s="116"/>
    </row>
    <row r="65" s="7" customFormat="true" ht="18.75" hidden="false" customHeight="false" outlineLevel="0" collapsed="false">
      <c r="A65" s="1"/>
      <c r="B65" s="2"/>
      <c r="C65" s="2"/>
      <c r="D65" s="3"/>
      <c r="E65" s="3"/>
      <c r="F65" s="3"/>
      <c r="G65" s="5"/>
      <c r="H65" s="219"/>
      <c r="I65" s="22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  <c r="HJ65" s="3"/>
      <c r="HK65" s="3"/>
      <c r="HL65" s="3"/>
      <c r="HM65" s="3"/>
      <c r="HN65" s="3"/>
      <c r="HO65" s="3"/>
      <c r="HP65" s="3"/>
      <c r="HQ65" s="3"/>
      <c r="HR65" s="3"/>
      <c r="HS65" s="3"/>
      <c r="HT65" s="3"/>
      <c r="HU65" s="3"/>
      <c r="HV65" s="3"/>
      <c r="HW65" s="3"/>
      <c r="HX65" s="3"/>
      <c r="HY65" s="3"/>
      <c r="HZ65" s="3"/>
      <c r="IA65" s="3"/>
      <c r="IB65" s="3"/>
      <c r="IC65" s="3"/>
      <c r="ID65" s="3"/>
      <c r="IE65" s="3"/>
      <c r="IF65" s="3"/>
      <c r="IG65" s="3"/>
      <c r="IH65" s="3"/>
      <c r="II65" s="3"/>
      <c r="IJ65" s="3"/>
      <c r="IK65" s="3"/>
      <c r="IL65" s="3"/>
      <c r="IM65" s="3"/>
      <c r="IN65" s="3"/>
      <c r="IO65" s="3"/>
      <c r="IP65" s="3"/>
      <c r="IQ65" s="3"/>
      <c r="IR65" s="3"/>
      <c r="IS65" s="3"/>
      <c r="IT65" s="3"/>
      <c r="IU65" s="3"/>
      <c r="IV65" s="3"/>
      <c r="IW65" s="3"/>
      <c r="IX65" s="3"/>
      <c r="IY65" s="3"/>
      <c r="IZ65" s="3"/>
      <c r="JA65" s="3"/>
      <c r="JB65" s="3"/>
      <c r="JC65" s="3"/>
      <c r="JD65" s="3"/>
      <c r="JE65" s="3"/>
      <c r="JF65" s="3"/>
      <c r="JG65" s="3"/>
      <c r="JH65" s="3"/>
      <c r="JI65" s="3"/>
      <c r="JJ65" s="3"/>
      <c r="JK65" s="3"/>
      <c r="JL65" s="3"/>
      <c r="JM65" s="3"/>
      <c r="JN65" s="3"/>
      <c r="JO65" s="3"/>
      <c r="JP65" s="3"/>
      <c r="JQ65" s="3"/>
      <c r="JR65" s="3"/>
      <c r="JS65" s="3"/>
      <c r="JT65" s="3"/>
      <c r="JU65" s="3"/>
      <c r="JV65" s="3"/>
      <c r="JW65" s="3"/>
      <c r="JX65" s="3"/>
      <c r="JY65" s="3"/>
      <c r="JZ65" s="3"/>
      <c r="KA65" s="3"/>
      <c r="KB65" s="3"/>
      <c r="KC65" s="3"/>
      <c r="KD65" s="3"/>
      <c r="KE65" s="3"/>
      <c r="KF65" s="3"/>
      <c r="KG65" s="3"/>
      <c r="KH65" s="3"/>
      <c r="KI65" s="3"/>
      <c r="KJ65" s="3"/>
      <c r="KK65" s="3"/>
      <c r="KL65" s="3"/>
      <c r="KM65" s="3"/>
      <c r="KN65" s="3"/>
      <c r="KO65" s="3"/>
      <c r="KP65" s="3"/>
      <c r="KQ65" s="3"/>
      <c r="KR65" s="3"/>
      <c r="KS65" s="3"/>
      <c r="KT65" s="3"/>
      <c r="KU65" s="3"/>
      <c r="KV65" s="3"/>
      <c r="KW65" s="3"/>
      <c r="KX65" s="3"/>
      <c r="KY65" s="3"/>
      <c r="KZ65" s="3"/>
      <c r="LA65" s="3"/>
      <c r="LB65" s="3"/>
      <c r="LC65" s="3"/>
      <c r="LD65" s="3"/>
      <c r="LE65" s="3"/>
      <c r="LF65" s="3"/>
      <c r="LG65" s="3"/>
      <c r="LH65" s="3"/>
      <c r="LI65" s="3"/>
      <c r="LJ65" s="3"/>
      <c r="LK65" s="3"/>
      <c r="LL65" s="3"/>
      <c r="LM65" s="3"/>
      <c r="LN65" s="3"/>
      <c r="LO65" s="3"/>
      <c r="LP65" s="3"/>
      <c r="LQ65" s="3"/>
      <c r="LR65" s="3"/>
      <c r="LS65" s="3"/>
      <c r="LT65" s="3"/>
      <c r="LU65" s="3"/>
      <c r="LV65" s="3"/>
      <c r="LW65" s="3"/>
      <c r="LX65" s="3"/>
      <c r="LY65" s="3"/>
      <c r="LZ65" s="3"/>
      <c r="MA65" s="3"/>
      <c r="MB65" s="3"/>
      <c r="MC65" s="3"/>
      <c r="MD65" s="3"/>
      <c r="ME65" s="3"/>
      <c r="MF65" s="3"/>
      <c r="MG65" s="3"/>
      <c r="MH65" s="3"/>
      <c r="MI65" s="3"/>
      <c r="MJ65" s="3"/>
      <c r="MK65" s="3"/>
      <c r="ML65" s="3"/>
      <c r="MM65" s="3"/>
      <c r="MN65" s="3"/>
      <c r="MO65" s="3"/>
      <c r="MP65" s="3"/>
      <c r="MQ65" s="3"/>
      <c r="MR65" s="3"/>
      <c r="MS65" s="3"/>
      <c r="MT65" s="3"/>
      <c r="MU65" s="3"/>
      <c r="MV65" s="3"/>
      <c r="MW65" s="3"/>
      <c r="MX65" s="3"/>
      <c r="MY65" s="3"/>
      <c r="MZ65" s="3"/>
      <c r="NA65" s="3"/>
      <c r="NB65" s="3"/>
      <c r="NC65" s="3"/>
      <c r="ND65" s="3"/>
      <c r="NE65" s="3"/>
      <c r="NF65" s="3"/>
      <c r="NG65" s="3"/>
      <c r="NH65" s="3"/>
      <c r="NI65" s="3"/>
      <c r="NJ65" s="3"/>
      <c r="NK65" s="3"/>
      <c r="NL65" s="3"/>
      <c r="NM65" s="3"/>
      <c r="NN65" s="3"/>
      <c r="NO65" s="3"/>
      <c r="NP65" s="3"/>
      <c r="NQ65" s="3"/>
      <c r="NR65" s="3"/>
      <c r="NS65" s="3"/>
      <c r="NT65" s="3"/>
      <c r="NU65" s="3"/>
      <c r="NV65" s="3"/>
      <c r="NW65" s="3"/>
      <c r="NX65" s="3"/>
      <c r="NY65" s="3"/>
      <c r="NZ65" s="3"/>
      <c r="OA65" s="3"/>
      <c r="OB65" s="3"/>
      <c r="OC65" s="3"/>
      <c r="OD65" s="3"/>
      <c r="OE65" s="3"/>
      <c r="OF65" s="3"/>
      <c r="OG65" s="3"/>
      <c r="OH65" s="3"/>
      <c r="OI65" s="3"/>
      <c r="OJ65" s="3"/>
      <c r="OK65" s="3"/>
      <c r="OL65" s="3"/>
      <c r="OM65" s="3"/>
      <c r="ON65" s="3"/>
      <c r="OO65" s="3"/>
      <c r="OP65" s="3"/>
      <c r="OQ65" s="3"/>
      <c r="OR65" s="3"/>
      <c r="OS65" s="3"/>
      <c r="OT65" s="3"/>
      <c r="OU65" s="3"/>
      <c r="OV65" s="3"/>
      <c r="OW65" s="3"/>
      <c r="OX65" s="3"/>
      <c r="OY65" s="3"/>
      <c r="OZ65" s="3"/>
      <c r="PA65" s="3"/>
      <c r="PB65" s="3"/>
      <c r="PC65" s="3"/>
      <c r="PD65" s="3"/>
      <c r="PE65" s="3"/>
      <c r="PF65" s="3"/>
      <c r="PG65" s="3"/>
      <c r="PH65" s="3"/>
      <c r="PI65" s="3"/>
      <c r="PJ65" s="3"/>
      <c r="PK65" s="3"/>
      <c r="PL65" s="3"/>
      <c r="PM65" s="3"/>
      <c r="PN65" s="3"/>
      <c r="PO65" s="3"/>
      <c r="PP65" s="3"/>
      <c r="PQ65" s="3"/>
      <c r="PR65" s="3"/>
      <c r="PS65" s="3"/>
      <c r="PT65" s="3"/>
      <c r="PU65" s="3"/>
      <c r="PV65" s="3"/>
      <c r="PW65" s="3"/>
      <c r="PX65" s="3"/>
      <c r="PY65" s="3"/>
      <c r="PZ65" s="3"/>
      <c r="QA65" s="3"/>
      <c r="QB65" s="3"/>
      <c r="QC65" s="3"/>
      <c r="QD65" s="3"/>
      <c r="QE65" s="3"/>
      <c r="QF65" s="3"/>
      <c r="QG65" s="3"/>
      <c r="QH65" s="3"/>
      <c r="QI65" s="3"/>
      <c r="QJ65" s="3"/>
      <c r="QK65" s="3"/>
      <c r="QL65" s="3"/>
      <c r="QM65" s="3"/>
      <c r="QN65" s="3"/>
      <c r="QO65" s="3"/>
      <c r="QP65" s="3"/>
      <c r="QQ65" s="3"/>
      <c r="QR65" s="3"/>
      <c r="QS65" s="3"/>
      <c r="QT65" s="3"/>
      <c r="QU65" s="3"/>
      <c r="QV65" s="3"/>
      <c r="QW65" s="3"/>
      <c r="QX65" s="3"/>
      <c r="QY65" s="3"/>
      <c r="QZ65" s="3"/>
      <c r="RA65" s="3"/>
      <c r="RB65" s="3"/>
      <c r="RC65" s="3"/>
      <c r="RD65" s="3"/>
      <c r="RE65" s="3"/>
      <c r="RF65" s="3"/>
      <c r="RG65" s="3"/>
      <c r="RH65" s="3"/>
      <c r="RI65" s="3"/>
      <c r="RJ65" s="3"/>
      <c r="RK65" s="3"/>
      <c r="RL65" s="3"/>
      <c r="RM65" s="3"/>
      <c r="RN65" s="3"/>
      <c r="RO65" s="3"/>
      <c r="RP65" s="3"/>
      <c r="RQ65" s="3"/>
      <c r="RR65" s="3"/>
      <c r="RS65" s="3"/>
      <c r="RT65" s="3"/>
      <c r="RU65" s="3"/>
      <c r="RV65" s="3"/>
      <c r="RW65" s="3"/>
      <c r="RX65" s="3"/>
      <c r="RY65" s="3"/>
      <c r="RZ65" s="3"/>
      <c r="SA65" s="3"/>
      <c r="SB65" s="3"/>
      <c r="SC65" s="3"/>
      <c r="SD65" s="3"/>
      <c r="SE65" s="3"/>
      <c r="SF65" s="3"/>
      <c r="SG65" s="3"/>
      <c r="SH65" s="3"/>
      <c r="SI65" s="3"/>
      <c r="SJ65" s="3"/>
      <c r="SK65" s="3"/>
      <c r="SL65" s="3"/>
      <c r="SM65" s="3"/>
      <c r="SN65" s="3"/>
      <c r="SO65" s="3"/>
      <c r="SP65" s="3"/>
      <c r="SQ65" s="3"/>
      <c r="SR65" s="3"/>
      <c r="SS65" s="3"/>
      <c r="ST65" s="3"/>
      <c r="SU65" s="3"/>
      <c r="SV65" s="3"/>
      <c r="SW65" s="3"/>
      <c r="SX65" s="3"/>
      <c r="SY65" s="3"/>
      <c r="SZ65" s="3"/>
      <c r="TA65" s="3"/>
      <c r="TB65" s="3"/>
      <c r="TC65" s="3"/>
      <c r="TD65" s="3"/>
      <c r="TE65" s="3"/>
      <c r="TF65" s="3"/>
      <c r="TG65" s="3"/>
      <c r="TH65" s="3"/>
      <c r="TI65" s="3"/>
      <c r="TJ65" s="3"/>
      <c r="TK65" s="3"/>
      <c r="TL65" s="3"/>
      <c r="TM65" s="3"/>
      <c r="TN65" s="3"/>
      <c r="TO65" s="3"/>
      <c r="TP65" s="3"/>
      <c r="TQ65" s="3"/>
      <c r="TR65" s="3"/>
      <c r="TS65" s="3"/>
      <c r="TT65" s="3"/>
      <c r="TU65" s="3"/>
      <c r="TV65" s="3"/>
      <c r="TW65" s="3"/>
      <c r="TX65" s="3"/>
      <c r="TY65" s="3"/>
      <c r="TZ65" s="3"/>
      <c r="UA65" s="3"/>
      <c r="UB65" s="3"/>
      <c r="UC65" s="3"/>
      <c r="UD65" s="3"/>
      <c r="UE65" s="3"/>
      <c r="UF65" s="3"/>
      <c r="UG65" s="3"/>
      <c r="UH65" s="3"/>
      <c r="UI65" s="3"/>
      <c r="UJ65" s="3"/>
      <c r="UK65" s="3"/>
      <c r="UL65" s="3"/>
      <c r="UM65" s="3"/>
      <c r="UN65" s="3"/>
      <c r="UO65" s="3"/>
      <c r="UP65" s="3"/>
      <c r="UQ65" s="3"/>
      <c r="UR65" s="3"/>
      <c r="US65" s="3"/>
      <c r="UT65" s="3"/>
      <c r="UU65" s="3"/>
      <c r="UV65" s="3"/>
      <c r="UW65" s="3"/>
      <c r="UX65" s="3"/>
      <c r="UY65" s="3"/>
      <c r="UZ65" s="3"/>
      <c r="VA65" s="3"/>
      <c r="VB65" s="3"/>
      <c r="VC65" s="3"/>
      <c r="VD65" s="3"/>
      <c r="VE65" s="3"/>
      <c r="VF65" s="3"/>
      <c r="VG65" s="3"/>
      <c r="VH65" s="3"/>
      <c r="VI65" s="3"/>
      <c r="VJ65" s="3"/>
      <c r="VK65" s="3"/>
      <c r="VL65" s="3"/>
      <c r="VM65" s="3"/>
      <c r="VN65" s="3"/>
      <c r="VO65" s="3"/>
      <c r="VP65" s="3"/>
      <c r="VQ65" s="3"/>
      <c r="VR65" s="3"/>
      <c r="VS65" s="3"/>
      <c r="VT65" s="3"/>
      <c r="VU65" s="3"/>
      <c r="VV65" s="3"/>
      <c r="VW65" s="3"/>
      <c r="VX65" s="3"/>
      <c r="VY65" s="3"/>
      <c r="VZ65" s="3"/>
      <c r="WA65" s="3"/>
      <c r="WB65" s="3"/>
      <c r="WC65" s="3"/>
      <c r="WD65" s="3"/>
      <c r="WE65" s="3"/>
      <c r="WF65" s="3"/>
      <c r="WG65" s="3"/>
      <c r="WH65" s="3"/>
      <c r="WI65" s="3"/>
      <c r="WJ65" s="3"/>
      <c r="WK65" s="3"/>
      <c r="WL65" s="3"/>
      <c r="WM65" s="3"/>
      <c r="WN65" s="3"/>
      <c r="WO65" s="3"/>
      <c r="WP65" s="3"/>
      <c r="WQ65" s="3"/>
      <c r="WR65" s="3"/>
      <c r="WS65" s="3"/>
      <c r="WT65" s="3"/>
      <c r="WU65" s="3"/>
      <c r="WV65" s="3"/>
      <c r="WW65" s="3"/>
      <c r="WX65" s="3"/>
      <c r="WY65" s="3"/>
      <c r="WZ65" s="3"/>
      <c r="XA65" s="3"/>
      <c r="XB65" s="3"/>
      <c r="XC65" s="3"/>
      <c r="XD65" s="3"/>
      <c r="XE65" s="3"/>
      <c r="XF65" s="3"/>
      <c r="XG65" s="3"/>
      <c r="XH65" s="3"/>
      <c r="XI65" s="3"/>
      <c r="XJ65" s="3"/>
      <c r="XK65" s="3"/>
      <c r="XL65" s="3"/>
      <c r="XM65" s="3"/>
      <c r="XN65" s="3"/>
      <c r="XO65" s="3"/>
      <c r="XP65" s="3"/>
      <c r="XQ65" s="3"/>
      <c r="XR65" s="3"/>
      <c r="XS65" s="3"/>
      <c r="XT65" s="3"/>
      <c r="XU65" s="3"/>
      <c r="XV65" s="3"/>
      <c r="XW65" s="3"/>
      <c r="XX65" s="3"/>
      <c r="XY65" s="3"/>
      <c r="XZ65" s="3"/>
      <c r="YA65" s="3"/>
      <c r="YB65" s="3"/>
      <c r="YC65" s="3"/>
      <c r="YD65" s="3"/>
      <c r="YE65" s="3"/>
      <c r="YF65" s="3"/>
      <c r="YG65" s="3"/>
      <c r="YH65" s="3"/>
      <c r="YI65" s="3"/>
      <c r="YJ65" s="3"/>
      <c r="YK65" s="3"/>
      <c r="YL65" s="3"/>
      <c r="YM65" s="3"/>
      <c r="YN65" s="3"/>
      <c r="YO65" s="3"/>
      <c r="YP65" s="3"/>
      <c r="YQ65" s="3"/>
      <c r="YR65" s="3"/>
      <c r="YS65" s="3"/>
      <c r="YT65" s="3"/>
      <c r="YU65" s="3"/>
      <c r="YV65" s="3"/>
      <c r="YW65" s="3"/>
      <c r="YX65" s="3"/>
      <c r="YY65" s="3"/>
      <c r="YZ65" s="3"/>
      <c r="ZA65" s="3"/>
      <c r="ZB65" s="3"/>
      <c r="ZC65" s="3"/>
      <c r="ZD65" s="3"/>
      <c r="ZE65" s="3"/>
      <c r="ZF65" s="3"/>
      <c r="ZG65" s="3"/>
      <c r="ZH65" s="3"/>
      <c r="ZI65" s="3"/>
      <c r="ZJ65" s="3"/>
      <c r="ZK65" s="3"/>
      <c r="ZL65" s="3"/>
      <c r="ZM65" s="3"/>
      <c r="ZN65" s="3"/>
      <c r="ZO65" s="3"/>
      <c r="ZP65" s="3"/>
      <c r="ZQ65" s="3"/>
      <c r="ZR65" s="3"/>
      <c r="ZS65" s="3"/>
      <c r="ZT65" s="3"/>
      <c r="ZU65" s="3"/>
      <c r="ZV65" s="3"/>
      <c r="ZW65" s="3"/>
      <c r="ZX65" s="3"/>
      <c r="ZY65" s="3"/>
      <c r="ZZ65" s="3"/>
      <c r="AAA65" s="3"/>
      <c r="AAB65" s="3"/>
      <c r="AAC65" s="3"/>
      <c r="AAD65" s="3"/>
      <c r="AAE65" s="3"/>
      <c r="AAF65" s="3"/>
      <c r="AAG65" s="3"/>
      <c r="AAH65" s="3"/>
      <c r="AAI65" s="3"/>
      <c r="AAJ65" s="3"/>
      <c r="AAK65" s="3"/>
      <c r="AAL65" s="3"/>
      <c r="AAM65" s="3"/>
      <c r="AAN65" s="3"/>
      <c r="AAO65" s="3"/>
      <c r="AAP65" s="3"/>
      <c r="AAQ65" s="3"/>
      <c r="AAR65" s="3"/>
      <c r="AAS65" s="3"/>
      <c r="AAT65" s="3"/>
      <c r="AAU65" s="3"/>
      <c r="AAV65" s="3"/>
      <c r="AAW65" s="3"/>
      <c r="AAX65" s="3"/>
      <c r="AAY65" s="3"/>
      <c r="AAZ65" s="3"/>
      <c r="ABA65" s="3"/>
      <c r="ABB65" s="3"/>
      <c r="ABC65" s="3"/>
      <c r="ABD65" s="3"/>
      <c r="ABE65" s="3"/>
      <c r="ABF65" s="3"/>
      <c r="ABG65" s="3"/>
      <c r="ABH65" s="3"/>
      <c r="ABI65" s="3"/>
      <c r="ABJ65" s="3"/>
      <c r="ABK65" s="3"/>
      <c r="ABL65" s="3"/>
      <c r="ABM65" s="3"/>
      <c r="ABN65" s="3"/>
      <c r="ABO65" s="3"/>
      <c r="ABP65" s="3"/>
      <c r="ABQ65" s="3"/>
      <c r="ABR65" s="3"/>
      <c r="ABS65" s="3"/>
      <c r="ABT65" s="3"/>
      <c r="ABU65" s="3"/>
      <c r="ABV65" s="3"/>
      <c r="ABW65" s="3"/>
      <c r="ABX65" s="3"/>
      <c r="ABY65" s="3"/>
      <c r="ABZ65" s="3"/>
      <c r="ACA65" s="3"/>
      <c r="ACB65" s="3"/>
      <c r="ACC65" s="3"/>
      <c r="ACD65" s="3"/>
      <c r="ACE65" s="3"/>
      <c r="ACF65" s="3"/>
      <c r="ACG65" s="3"/>
      <c r="ACH65" s="3"/>
      <c r="ACI65" s="3"/>
      <c r="ACJ65" s="3"/>
      <c r="ACK65" s="3"/>
      <c r="ACL65" s="3"/>
      <c r="ACM65" s="3"/>
      <c r="ACN65" s="3"/>
      <c r="ACO65" s="3"/>
      <c r="ACP65" s="3"/>
      <c r="ACQ65" s="3"/>
      <c r="ACR65" s="3"/>
      <c r="ACS65" s="3"/>
      <c r="ACT65" s="3"/>
      <c r="ACU65" s="3"/>
      <c r="ACV65" s="3"/>
      <c r="ACW65" s="3"/>
      <c r="ACX65" s="3"/>
      <c r="ACY65" s="3"/>
      <c r="ACZ65" s="3"/>
      <c r="ADA65" s="3"/>
      <c r="ADB65" s="3"/>
      <c r="ADC65" s="3"/>
      <c r="ADD65" s="3"/>
      <c r="ADE65" s="3"/>
      <c r="ADF65" s="3"/>
      <c r="ADG65" s="3"/>
      <c r="ADH65" s="3"/>
      <c r="ADI65" s="3"/>
      <c r="ADJ65" s="3"/>
      <c r="ADK65" s="3"/>
      <c r="ADL65" s="3"/>
      <c r="ADM65" s="3"/>
      <c r="ADN65" s="3"/>
      <c r="ADO65" s="3"/>
      <c r="ADP65" s="3"/>
      <c r="ADQ65" s="3"/>
      <c r="ADR65" s="3"/>
      <c r="ADS65" s="3"/>
      <c r="ADT65" s="3"/>
      <c r="ADU65" s="3"/>
      <c r="ADV65" s="3"/>
      <c r="ADW65" s="3"/>
      <c r="ADX65" s="3"/>
      <c r="ADY65" s="3"/>
      <c r="ADZ65" s="3"/>
      <c r="AEA65" s="3"/>
      <c r="AEB65" s="3"/>
      <c r="AEC65" s="3"/>
      <c r="AED65" s="3"/>
      <c r="AEE65" s="3"/>
      <c r="AEF65" s="3"/>
      <c r="AEG65" s="3"/>
      <c r="AEH65" s="3"/>
      <c r="AEI65" s="3"/>
      <c r="AEJ65" s="3"/>
      <c r="AEK65" s="3"/>
      <c r="AEL65" s="3"/>
      <c r="AEM65" s="3"/>
      <c r="AEN65" s="3"/>
      <c r="AEO65" s="3"/>
      <c r="AEP65" s="3"/>
      <c r="AEQ65" s="3"/>
      <c r="AER65" s="3"/>
      <c r="AES65" s="3"/>
      <c r="AET65" s="3"/>
      <c r="AEU65" s="3"/>
      <c r="AEV65" s="3"/>
      <c r="AEW65" s="3"/>
      <c r="AEX65" s="3"/>
      <c r="AEY65" s="3"/>
      <c r="AEZ65" s="3"/>
      <c r="AFA65" s="3"/>
      <c r="AFB65" s="3"/>
      <c r="AFC65" s="3"/>
      <c r="AFD65" s="3"/>
      <c r="AFE65" s="3"/>
      <c r="AFF65" s="3"/>
      <c r="AFG65" s="3"/>
      <c r="AFH65" s="3"/>
      <c r="AFI65" s="3"/>
      <c r="AFJ65" s="3"/>
      <c r="AFK65" s="3"/>
      <c r="AFL65" s="3"/>
      <c r="AFM65" s="3"/>
      <c r="AFN65" s="3"/>
      <c r="AFO65" s="3"/>
      <c r="AFP65" s="3"/>
      <c r="AFQ65" s="3"/>
      <c r="AFR65" s="3"/>
      <c r="AFS65" s="3"/>
      <c r="AFT65" s="3"/>
      <c r="AFU65" s="3"/>
      <c r="AFV65" s="3"/>
      <c r="AFW65" s="3"/>
      <c r="AFX65" s="3"/>
      <c r="AFY65" s="3"/>
      <c r="AFZ65" s="3"/>
      <c r="AGA65" s="3"/>
      <c r="AGB65" s="3"/>
      <c r="AGC65" s="3"/>
      <c r="AGD65" s="3"/>
      <c r="AGE65" s="3"/>
      <c r="AGF65" s="3"/>
      <c r="AGG65" s="3"/>
      <c r="AGH65" s="3"/>
      <c r="AGI65" s="3"/>
      <c r="AGJ65" s="3"/>
      <c r="AGK65" s="3"/>
      <c r="AGL65" s="3"/>
      <c r="AGM65" s="3"/>
      <c r="AGN65" s="3"/>
      <c r="AGO65" s="3"/>
      <c r="AGP65" s="3"/>
      <c r="AGQ65" s="3"/>
      <c r="AGR65" s="3"/>
      <c r="AGS65" s="3"/>
      <c r="AGT65" s="3"/>
      <c r="AGU65" s="3"/>
      <c r="AGV65" s="3"/>
      <c r="AGW65" s="3"/>
      <c r="AGX65" s="3"/>
      <c r="AGY65" s="3"/>
      <c r="AGZ65" s="3"/>
      <c r="AHA65" s="3"/>
      <c r="AHB65" s="3"/>
      <c r="AHC65" s="3"/>
      <c r="AHD65" s="3"/>
      <c r="AHE65" s="3"/>
      <c r="AHF65" s="3"/>
      <c r="AHG65" s="3"/>
      <c r="AHH65" s="3"/>
      <c r="AHI65" s="3"/>
      <c r="AHJ65" s="3"/>
      <c r="AHK65" s="3"/>
      <c r="AHL65" s="3"/>
      <c r="AHM65" s="3"/>
      <c r="AHN65" s="3"/>
      <c r="AHO65" s="3"/>
      <c r="AHP65" s="3"/>
      <c r="AHQ65" s="3"/>
      <c r="AHR65" s="3"/>
      <c r="AHS65" s="3"/>
      <c r="AHT65" s="3"/>
      <c r="AHU65" s="3"/>
      <c r="AHV65" s="3"/>
      <c r="AHW65" s="3"/>
      <c r="AHX65" s="3"/>
      <c r="AHY65" s="3"/>
      <c r="AHZ65" s="3"/>
      <c r="AIA65" s="3"/>
      <c r="AIB65" s="3"/>
      <c r="AIC65" s="3"/>
      <c r="AID65" s="3"/>
      <c r="AIE65" s="3"/>
      <c r="AIF65" s="3"/>
      <c r="AIG65" s="3"/>
      <c r="AIH65" s="3"/>
      <c r="AII65" s="3"/>
      <c r="AIJ65" s="3"/>
      <c r="AIK65" s="3"/>
      <c r="AIL65" s="3"/>
      <c r="AIM65" s="3"/>
      <c r="AIN65" s="3"/>
      <c r="AIO65" s="3"/>
      <c r="AIP65" s="3"/>
      <c r="AIQ65" s="3"/>
      <c r="AIR65" s="3"/>
      <c r="AIS65" s="3"/>
      <c r="AIT65" s="3"/>
      <c r="AIU65" s="3"/>
      <c r="AIV65" s="3"/>
      <c r="AIW65" s="3"/>
      <c r="AIX65" s="3"/>
      <c r="AIY65" s="3"/>
      <c r="AIZ65" s="3"/>
      <c r="AJA65" s="3"/>
      <c r="AJB65" s="3"/>
      <c r="AJC65" s="3"/>
      <c r="AJD65" s="3"/>
      <c r="AJE65" s="3"/>
      <c r="AJF65" s="3"/>
      <c r="AJG65" s="3"/>
      <c r="AJH65" s="3"/>
      <c r="AJI65" s="3"/>
      <c r="AJJ65" s="3"/>
      <c r="AJK65" s="3"/>
      <c r="AJL65" s="3"/>
      <c r="AJM65" s="3"/>
      <c r="AJN65" s="3"/>
      <c r="AJO65" s="3"/>
      <c r="AJP65" s="3"/>
      <c r="AJQ65" s="3"/>
      <c r="AJR65" s="3"/>
      <c r="AJS65" s="3"/>
      <c r="AJT65" s="3"/>
      <c r="AJU65" s="3"/>
      <c r="AJV65" s="3"/>
      <c r="AJW65" s="3"/>
      <c r="AJX65" s="3"/>
      <c r="AJY65" s="3"/>
      <c r="AJZ65" s="3"/>
      <c r="AKA65" s="3"/>
      <c r="AKB65" s="3"/>
      <c r="AKC65" s="3"/>
      <c r="AKD65" s="3"/>
      <c r="AKE65" s="3"/>
      <c r="AKF65" s="3"/>
      <c r="AKG65" s="3"/>
      <c r="AKH65" s="3"/>
      <c r="AKI65" s="3"/>
      <c r="AKJ65" s="3"/>
      <c r="AKK65" s="3"/>
      <c r="AKL65" s="3"/>
      <c r="AKM65" s="3"/>
      <c r="AKN65" s="3"/>
      <c r="AKO65" s="3"/>
      <c r="AKP65" s="3"/>
      <c r="AKQ65" s="3"/>
      <c r="AKR65" s="3"/>
      <c r="AKS65" s="3"/>
      <c r="AKT65" s="3"/>
      <c r="AKU65" s="3"/>
      <c r="AKV65" s="3"/>
      <c r="AKW65" s="3"/>
      <c r="AKX65" s="3"/>
      <c r="AKY65" s="3"/>
      <c r="AKZ65" s="3"/>
      <c r="ALA65" s="3"/>
      <c r="ALB65" s="3"/>
      <c r="ALC65" s="3"/>
      <c r="ALD65" s="3"/>
      <c r="ALE65" s="3"/>
      <c r="ALF65" s="3"/>
      <c r="ALG65" s="3"/>
      <c r="ALH65" s="3"/>
      <c r="ALI65" s="3"/>
      <c r="ALJ65" s="3"/>
      <c r="ALK65" s="3"/>
      <c r="ALL65" s="3"/>
      <c r="ALM65" s="3"/>
      <c r="ALN65" s="3"/>
      <c r="ALO65" s="3"/>
      <c r="ALP65" s="3"/>
      <c r="ALQ65" s="3"/>
      <c r="ALR65" s="3"/>
      <c r="ALS65" s="3"/>
      <c r="ALT65" s="3"/>
      <c r="ALU65" s="3"/>
      <c r="ALV65" s="3"/>
      <c r="ALW65" s="3"/>
      <c r="ALX65" s="3"/>
      <c r="ALY65" s="3"/>
      <c r="ALZ65" s="3"/>
      <c r="AMA65" s="3"/>
      <c r="AMB65" s="3"/>
      <c r="AMC65" s="3"/>
      <c r="AMD65" s="3"/>
      <c r="AME65" s="3"/>
      <c r="AMF65" s="3"/>
      <c r="AMG65" s="3"/>
      <c r="AMH65" s="3"/>
      <c r="AMI65" s="3"/>
      <c r="AMJ65" s="3"/>
    </row>
    <row r="66" s="7" customFormat="true" ht="15.75" hidden="false" customHeight="true" outlineLevel="0" collapsed="false">
      <c r="B66" s="226" t="s">
        <v>207</v>
      </c>
      <c r="C66" s="226"/>
      <c r="D66" s="226"/>
      <c r="E66" s="226"/>
      <c r="F66" s="226"/>
      <c r="G66" s="231"/>
      <c r="H66" s="226" t="s">
        <v>207</v>
      </c>
      <c r="I66" s="226"/>
      <c r="J66" s="226"/>
      <c r="K66" s="226"/>
      <c r="L66" s="226"/>
    </row>
    <row r="67" s="7" customFormat="true" ht="15.75" hidden="false" customHeight="true" outlineLevel="0" collapsed="false">
      <c r="B67" s="8"/>
      <c r="C67" s="8"/>
      <c r="D67" s="8"/>
      <c r="E67" s="8"/>
      <c r="F67" s="8"/>
      <c r="G67" s="10"/>
      <c r="H67" s="8"/>
      <c r="I67" s="8"/>
      <c r="J67" s="8"/>
      <c r="K67" s="8"/>
      <c r="L67" s="8"/>
    </row>
    <row r="68" s="7" customFormat="true" ht="15.75" hidden="false" customHeight="true" outlineLevel="0" collapsed="false">
      <c r="B68" s="300" t="s">
        <v>65</v>
      </c>
      <c r="C68" s="300"/>
      <c r="D68" s="300"/>
      <c r="E68" s="301"/>
      <c r="F68" s="302"/>
      <c r="G68" s="10"/>
      <c r="H68" s="300" t="s">
        <v>152</v>
      </c>
      <c r="I68" s="300"/>
      <c r="J68" s="300"/>
      <c r="K68" s="301"/>
      <c r="L68" s="302"/>
    </row>
    <row r="69" s="7" customFormat="true" ht="15.75" hidden="false" customHeight="true" outlineLevel="0" collapsed="false">
      <c r="B69" s="303" t="s">
        <v>199</v>
      </c>
      <c r="C69" s="304" t="s">
        <v>1</v>
      </c>
      <c r="D69" s="304" t="s">
        <v>2</v>
      </c>
      <c r="E69" s="304" t="s">
        <v>66</v>
      </c>
      <c r="F69" s="305" t="s">
        <v>4</v>
      </c>
      <c r="G69" s="10"/>
      <c r="H69" s="303" t="s">
        <v>199</v>
      </c>
      <c r="I69" s="304" t="s">
        <v>1</v>
      </c>
      <c r="J69" s="304" t="s">
        <v>2</v>
      </c>
      <c r="K69" s="304" t="s">
        <v>66</v>
      </c>
      <c r="L69" s="305" t="s">
        <v>4</v>
      </c>
    </row>
    <row r="70" s="7" customFormat="true" ht="15.75" hidden="false" customHeight="true" outlineLevel="0" collapsed="false">
      <c r="B70" s="18" t="s">
        <v>67</v>
      </c>
      <c r="C70" s="19" t="s">
        <v>12</v>
      </c>
      <c r="D70" s="19"/>
      <c r="E70" s="19"/>
      <c r="F70" s="20" t="n">
        <v>3</v>
      </c>
      <c r="G70" s="10"/>
      <c r="H70" s="18" t="s">
        <v>67</v>
      </c>
      <c r="I70" s="19" t="s">
        <v>12</v>
      </c>
      <c r="J70" s="19"/>
      <c r="K70" s="19"/>
      <c r="L70" s="20" t="n">
        <v>3</v>
      </c>
    </row>
    <row r="71" s="7" customFormat="true" ht="15.75" hidden="false" customHeight="true" outlineLevel="0" collapsed="false">
      <c r="B71" s="18"/>
      <c r="C71" s="119" t="s">
        <v>68</v>
      </c>
      <c r="D71" s="81" t="n">
        <v>24</v>
      </c>
      <c r="E71" s="120" t="n">
        <v>1</v>
      </c>
      <c r="F71" s="20"/>
      <c r="G71" s="24"/>
      <c r="H71" s="18"/>
      <c r="I71" s="119" t="s">
        <v>68</v>
      </c>
      <c r="J71" s="81" t="n">
        <v>24</v>
      </c>
      <c r="K71" s="120" t="n">
        <v>1</v>
      </c>
      <c r="L71" s="20"/>
    </row>
    <row r="72" s="7" customFormat="true" ht="15.75" hidden="false" customHeight="true" outlineLevel="0" collapsed="false">
      <c r="B72" s="18"/>
      <c r="C72" s="121" t="s">
        <v>69</v>
      </c>
      <c r="D72" s="85" t="n">
        <v>28</v>
      </c>
      <c r="E72" s="122" t="n">
        <v>1</v>
      </c>
      <c r="F72" s="20"/>
      <c r="G72" s="24"/>
      <c r="H72" s="18"/>
      <c r="I72" s="121" t="s">
        <v>69</v>
      </c>
      <c r="J72" s="85" t="n">
        <v>28</v>
      </c>
      <c r="K72" s="122" t="n">
        <v>1</v>
      </c>
      <c r="L72" s="20"/>
    </row>
    <row r="73" s="7" customFormat="true" ht="15.75" hidden="false" customHeight="true" outlineLevel="0" collapsed="false">
      <c r="B73" s="91" t="s">
        <v>70</v>
      </c>
      <c r="C73" s="92" t="s">
        <v>25</v>
      </c>
      <c r="D73" s="92"/>
      <c r="E73" s="92"/>
      <c r="F73" s="93" t="n">
        <v>3</v>
      </c>
      <c r="G73" s="24"/>
      <c r="H73" s="91" t="s">
        <v>70</v>
      </c>
      <c r="I73" s="92" t="s">
        <v>25</v>
      </c>
      <c r="J73" s="92"/>
      <c r="K73" s="92"/>
      <c r="L73" s="93" t="n">
        <v>4</v>
      </c>
    </row>
    <row r="74" s="7" customFormat="true" ht="15.75" hidden="false" customHeight="true" outlineLevel="0" collapsed="false">
      <c r="B74" s="91"/>
      <c r="C74" s="96" t="s">
        <v>153</v>
      </c>
      <c r="D74" s="123" t="n">
        <v>25</v>
      </c>
      <c r="E74" s="124" t="n">
        <v>2</v>
      </c>
      <c r="F74" s="93"/>
      <c r="G74" s="125"/>
      <c r="H74" s="91"/>
      <c r="I74" s="96" t="s">
        <v>153</v>
      </c>
      <c r="J74" s="123" t="n">
        <v>25</v>
      </c>
      <c r="K74" s="124" t="n">
        <v>2</v>
      </c>
      <c r="L74" s="93"/>
    </row>
    <row r="75" s="7" customFormat="true" ht="15.75" hidden="false" customHeight="true" outlineLevel="0" collapsed="false">
      <c r="B75" s="91"/>
      <c r="C75" s="132" t="s">
        <v>154</v>
      </c>
      <c r="D75" s="232" t="n">
        <v>12</v>
      </c>
      <c r="E75" s="233" t="n">
        <v>1</v>
      </c>
      <c r="F75" s="93"/>
      <c r="G75" s="24"/>
      <c r="H75" s="91"/>
      <c r="I75" s="132" t="s">
        <v>154</v>
      </c>
      <c r="J75" s="232" t="n">
        <v>12</v>
      </c>
      <c r="K75" s="233" t="n">
        <v>1</v>
      </c>
      <c r="L75" s="93"/>
    </row>
    <row r="76" s="7" customFormat="true" ht="15.75" hidden="false" customHeight="true" outlineLevel="0" collapsed="false">
      <c r="B76" s="91"/>
      <c r="C76" s="46" t="s">
        <v>72</v>
      </c>
      <c r="D76" s="126" t="n">
        <v>12</v>
      </c>
      <c r="E76" s="127" t="n">
        <v>1</v>
      </c>
      <c r="F76" s="93"/>
      <c r="G76" s="24"/>
      <c r="H76" s="91"/>
      <c r="I76" s="234" t="s">
        <v>155</v>
      </c>
      <c r="J76" s="126" t="n">
        <v>24</v>
      </c>
      <c r="K76" s="127" t="n">
        <v>2</v>
      </c>
      <c r="L76" s="93"/>
    </row>
    <row r="77" s="7" customFormat="true" ht="15.75" hidden="false" customHeight="true" outlineLevel="0" collapsed="false">
      <c r="B77" s="91" t="s">
        <v>73</v>
      </c>
      <c r="C77" s="128" t="s">
        <v>74</v>
      </c>
      <c r="D77" s="129"/>
      <c r="E77" s="129"/>
      <c r="F77" s="130" t="n">
        <v>4</v>
      </c>
      <c r="G77" s="24"/>
      <c r="H77" s="41" t="s">
        <v>156</v>
      </c>
      <c r="I77" s="92" t="s">
        <v>157</v>
      </c>
      <c r="J77" s="129"/>
      <c r="K77" s="129"/>
      <c r="L77" s="130" t="n">
        <v>2</v>
      </c>
    </row>
    <row r="78" s="7" customFormat="true" ht="15.75" hidden="false" customHeight="true" outlineLevel="0" collapsed="false">
      <c r="B78" s="91"/>
      <c r="C78" s="132" t="s">
        <v>75</v>
      </c>
      <c r="D78" s="133" t="n">
        <v>30</v>
      </c>
      <c r="E78" s="134" t="n">
        <v>1</v>
      </c>
      <c r="F78" s="130"/>
      <c r="G78" s="24"/>
      <c r="H78" s="41"/>
      <c r="I78" s="235" t="s">
        <v>79</v>
      </c>
      <c r="J78" s="133" t="n">
        <v>14</v>
      </c>
      <c r="K78" s="134" t="n">
        <v>1</v>
      </c>
      <c r="L78" s="130"/>
    </row>
    <row r="79" s="7" customFormat="true" ht="15.75" hidden="false" customHeight="true" outlineLevel="0" collapsed="false">
      <c r="B79" s="91"/>
      <c r="C79" s="132" t="s">
        <v>76</v>
      </c>
      <c r="D79" s="135" t="n">
        <v>34</v>
      </c>
      <c r="E79" s="136" t="n">
        <v>1</v>
      </c>
      <c r="F79" s="130"/>
      <c r="G79" s="24"/>
      <c r="H79" s="41"/>
      <c r="I79" s="46" t="s">
        <v>208</v>
      </c>
      <c r="J79" s="135" t="n">
        <v>20</v>
      </c>
      <c r="K79" s="136" t="n">
        <v>1</v>
      </c>
      <c r="L79" s="130"/>
    </row>
    <row r="80" s="7" customFormat="true" ht="15.75" hidden="false" customHeight="true" outlineLevel="0" collapsed="false">
      <c r="B80" s="41" t="s">
        <v>77</v>
      </c>
      <c r="C80" s="128" t="s">
        <v>74</v>
      </c>
      <c r="D80" s="137"/>
      <c r="E80" s="137"/>
      <c r="F80" s="97" t="n">
        <v>4</v>
      </c>
      <c r="G80" s="24"/>
      <c r="H80" s="41" t="s">
        <v>159</v>
      </c>
      <c r="I80" s="128" t="s">
        <v>160</v>
      </c>
      <c r="J80" s="137"/>
      <c r="K80" s="137"/>
      <c r="L80" s="97" t="n">
        <v>5</v>
      </c>
    </row>
    <row r="81" s="7" customFormat="true" ht="15.75" hidden="false" customHeight="true" outlineLevel="0" collapsed="false">
      <c r="B81" s="41"/>
      <c r="C81" s="138" t="s">
        <v>78</v>
      </c>
      <c r="D81" s="139" t="n">
        <v>30</v>
      </c>
      <c r="E81" s="140" t="n">
        <v>3</v>
      </c>
      <c r="F81" s="97"/>
      <c r="G81" s="24"/>
      <c r="H81" s="41"/>
      <c r="I81" s="138" t="s">
        <v>161</v>
      </c>
      <c r="J81" s="139" t="n">
        <v>34</v>
      </c>
      <c r="K81" s="140" t="n">
        <v>1</v>
      </c>
      <c r="L81" s="97"/>
    </row>
    <row r="82" s="7" customFormat="true" ht="15.75" hidden="false" customHeight="true" outlineLevel="0" collapsed="false">
      <c r="B82" s="41"/>
      <c r="C82" s="46" t="s">
        <v>79</v>
      </c>
      <c r="D82" s="135" t="n">
        <v>20</v>
      </c>
      <c r="E82" s="141" t="n">
        <v>2</v>
      </c>
      <c r="F82" s="97"/>
      <c r="G82" s="24"/>
      <c r="H82" s="41"/>
      <c r="I82" s="46" t="s">
        <v>162</v>
      </c>
      <c r="J82" s="135" t="n">
        <v>34</v>
      </c>
      <c r="K82" s="141" t="n">
        <v>1</v>
      </c>
      <c r="L82" s="97"/>
    </row>
    <row r="83" s="7" customFormat="true" ht="15.75" hidden="false" customHeight="true" outlineLevel="0" collapsed="false">
      <c r="B83" s="14" t="s">
        <v>80</v>
      </c>
      <c r="C83" s="142" t="s">
        <v>29</v>
      </c>
      <c r="D83" s="142"/>
      <c r="E83" s="142"/>
      <c r="F83" s="143" t="n">
        <v>3</v>
      </c>
      <c r="G83" s="24"/>
      <c r="H83" s="14" t="s">
        <v>80</v>
      </c>
      <c r="I83" s="142" t="s">
        <v>29</v>
      </c>
      <c r="J83" s="142"/>
      <c r="K83" s="142"/>
      <c r="L83" s="143" t="n">
        <v>3</v>
      </c>
    </row>
    <row r="84" s="7" customFormat="true" ht="15.75" hidden="false" customHeight="true" outlineLevel="0" collapsed="false">
      <c r="B84" s="14"/>
      <c r="C84" s="144" t="s">
        <v>81</v>
      </c>
      <c r="D84" s="81" t="n">
        <v>18</v>
      </c>
      <c r="E84" s="120" t="n">
        <v>1</v>
      </c>
      <c r="F84" s="143"/>
      <c r="G84" s="24"/>
      <c r="H84" s="14"/>
      <c r="I84" s="144" t="s">
        <v>81</v>
      </c>
      <c r="J84" s="81" t="n">
        <v>18</v>
      </c>
      <c r="K84" s="120" t="n">
        <v>1</v>
      </c>
      <c r="L84" s="143"/>
    </row>
    <row r="85" s="7" customFormat="true" ht="15.75" hidden="false" customHeight="true" outlineLevel="0" collapsed="false">
      <c r="B85" s="14"/>
      <c r="C85" s="64" t="s">
        <v>82</v>
      </c>
      <c r="D85" s="85" t="n">
        <v>20</v>
      </c>
      <c r="E85" s="122" t="n">
        <v>1</v>
      </c>
      <c r="F85" s="143"/>
      <c r="G85" s="24"/>
      <c r="H85" s="14"/>
      <c r="I85" s="64" t="s">
        <v>82</v>
      </c>
      <c r="J85" s="85" t="n">
        <v>20</v>
      </c>
      <c r="K85" s="122" t="n">
        <v>1</v>
      </c>
      <c r="L85" s="143"/>
    </row>
    <row r="86" s="7" customFormat="true" ht="15.75" hidden="false" customHeight="true" outlineLevel="0" collapsed="false">
      <c r="B86" s="48" t="s">
        <v>83</v>
      </c>
      <c r="C86" s="61" t="s">
        <v>33</v>
      </c>
      <c r="D86" s="61"/>
      <c r="E86" s="61"/>
      <c r="F86" s="145" t="n">
        <v>2</v>
      </c>
      <c r="G86" s="24"/>
      <c r="H86" s="48" t="s">
        <v>83</v>
      </c>
      <c r="I86" s="61" t="s">
        <v>33</v>
      </c>
      <c r="J86" s="61"/>
      <c r="K86" s="61"/>
      <c r="L86" s="145" t="n">
        <v>2</v>
      </c>
    </row>
    <row r="87" s="7" customFormat="true" ht="15.75" hidden="false" customHeight="true" outlineLevel="0" collapsed="false">
      <c r="B87" s="48"/>
      <c r="C87" s="64" t="s">
        <v>84</v>
      </c>
      <c r="D87" s="85" t="n">
        <v>30</v>
      </c>
      <c r="E87" s="122" t="n">
        <v>1</v>
      </c>
      <c r="F87" s="145"/>
      <c r="G87" s="24"/>
      <c r="H87" s="48"/>
      <c r="I87" s="64" t="s">
        <v>84</v>
      </c>
      <c r="J87" s="85" t="n">
        <v>30</v>
      </c>
      <c r="K87" s="122" t="n">
        <v>1</v>
      </c>
      <c r="L87" s="145"/>
    </row>
    <row r="88" s="7" customFormat="true" ht="15.75" hidden="false" customHeight="true" outlineLevel="0" collapsed="false">
      <c r="B88" s="48" t="s">
        <v>85</v>
      </c>
      <c r="C88" s="61" t="s">
        <v>36</v>
      </c>
      <c r="D88" s="61"/>
      <c r="E88" s="61"/>
      <c r="F88" s="145" t="n">
        <v>1</v>
      </c>
      <c r="G88" s="24"/>
      <c r="H88" s="48" t="s">
        <v>85</v>
      </c>
      <c r="I88" s="61" t="s">
        <v>36</v>
      </c>
      <c r="J88" s="61"/>
      <c r="K88" s="61"/>
      <c r="L88" s="145" t="n">
        <v>1</v>
      </c>
    </row>
    <row r="89" s="7" customFormat="true" ht="15.75" hidden="false" customHeight="true" outlineLevel="0" collapsed="false">
      <c r="B89" s="48"/>
      <c r="C89" s="146" t="s">
        <v>86</v>
      </c>
      <c r="D89" s="147" t="n">
        <v>20</v>
      </c>
      <c r="E89" s="148" t="n">
        <v>1</v>
      </c>
      <c r="F89" s="145"/>
      <c r="G89" s="149"/>
      <c r="H89" s="48"/>
      <c r="I89" s="146" t="s">
        <v>86</v>
      </c>
      <c r="J89" s="147" t="n">
        <v>20</v>
      </c>
      <c r="K89" s="148" t="n">
        <v>1</v>
      </c>
      <c r="L89" s="145"/>
    </row>
    <row r="90" s="7" customFormat="true" ht="15.75" hidden="false" customHeight="true" outlineLevel="0" collapsed="false">
      <c r="B90" s="150"/>
      <c r="C90" s="151" t="s">
        <v>38</v>
      </c>
      <c r="D90" s="152" t="n">
        <f aca="false">D82+D81+D79+D78+D89+D87+D85+D84+D71+D72+D76+D74+D75</f>
        <v>303</v>
      </c>
      <c r="E90" s="153"/>
      <c r="F90" s="154" t="n">
        <f aca="false">SUM(F70:F89)</f>
        <v>20</v>
      </c>
      <c r="G90" s="24"/>
      <c r="H90" s="150"/>
      <c r="I90" s="151" t="s">
        <v>38</v>
      </c>
      <c r="J90" s="152" t="n">
        <f aca="false">J82+J81+J79+J78+J89+J87+J85+J84+J71+J72+J76+J74+J75</f>
        <v>303</v>
      </c>
      <c r="K90" s="153"/>
      <c r="L90" s="154" t="n">
        <f aca="false">SUM(L70:L89)</f>
        <v>20</v>
      </c>
    </row>
    <row r="91" s="7" customFormat="true" ht="15.75" hidden="false" customHeight="true" outlineLevel="0" collapsed="false">
      <c r="B91" s="72" t="s">
        <v>87</v>
      </c>
      <c r="C91" s="155" t="s">
        <v>88</v>
      </c>
      <c r="D91" s="75" t="n">
        <v>525</v>
      </c>
      <c r="E91" s="156"/>
      <c r="F91" s="157" t="n">
        <v>10</v>
      </c>
      <c r="G91" s="10"/>
      <c r="H91" s="72" t="s">
        <v>87</v>
      </c>
      <c r="I91" s="155" t="s">
        <v>88</v>
      </c>
      <c r="J91" s="75" t="n">
        <v>525</v>
      </c>
      <c r="K91" s="156"/>
      <c r="L91" s="157" t="n">
        <v>10</v>
      </c>
    </row>
    <row r="92" s="7" customFormat="true" ht="15.75" hidden="false" customHeight="true" outlineLevel="0" collapsed="false">
      <c r="B92" s="77"/>
      <c r="C92" s="159"/>
      <c r="D92" s="8"/>
      <c r="E92" s="8"/>
      <c r="F92" s="8"/>
      <c r="G92" s="10"/>
      <c r="H92" s="24"/>
      <c r="I92" s="230"/>
    </row>
    <row r="93" s="7" customFormat="true" ht="15.75" hidden="false" customHeight="true" outlineLevel="0" collapsed="false">
      <c r="B93" s="77"/>
      <c r="C93" s="159"/>
      <c r="D93" s="8"/>
      <c r="E93" s="8"/>
      <c r="F93" s="8"/>
      <c r="G93" s="10"/>
      <c r="H93" s="24"/>
      <c r="I93" s="230"/>
    </row>
    <row r="94" s="7" customFormat="true" ht="15.75" hidden="false" customHeight="true" outlineLevel="0" collapsed="false">
      <c r="B94" s="77"/>
      <c r="C94" s="160"/>
      <c r="F94" s="8"/>
      <c r="G94" s="10"/>
      <c r="H94" s="24"/>
      <c r="I94" s="230"/>
    </row>
    <row r="95" s="7" customFormat="true" ht="15.75" hidden="false" customHeight="true" outlineLevel="0" collapsed="false">
      <c r="B95" s="308" t="s">
        <v>89</v>
      </c>
      <c r="C95" s="308"/>
      <c r="D95" s="308"/>
      <c r="E95" s="308"/>
      <c r="F95" s="308"/>
      <c r="G95" s="10"/>
      <c r="H95" s="24"/>
      <c r="I95" s="230"/>
    </row>
    <row r="96" s="7" customFormat="true" ht="15.75" hidden="false" customHeight="true" outlineLevel="0" collapsed="false">
      <c r="B96" s="309" t="s">
        <v>199</v>
      </c>
      <c r="C96" s="310" t="s">
        <v>1</v>
      </c>
      <c r="D96" s="310" t="s">
        <v>2</v>
      </c>
      <c r="E96" s="310" t="s">
        <v>3</v>
      </c>
      <c r="F96" s="311" t="s">
        <v>4</v>
      </c>
      <c r="G96" s="10"/>
      <c r="H96" s="308" t="s">
        <v>163</v>
      </c>
      <c r="I96" s="308"/>
      <c r="J96" s="308"/>
      <c r="K96" s="308"/>
      <c r="L96" s="308"/>
    </row>
    <row r="97" s="7" customFormat="true" ht="15.75" hidden="false" customHeight="true" outlineLevel="0" collapsed="false">
      <c r="B97" s="161" t="s">
        <v>90</v>
      </c>
      <c r="C97" s="92" t="s">
        <v>91</v>
      </c>
      <c r="D97" s="92"/>
      <c r="E97" s="92"/>
      <c r="F97" s="162" t="n">
        <v>3</v>
      </c>
      <c r="G97" s="10"/>
      <c r="H97" s="309" t="s">
        <v>199</v>
      </c>
      <c r="I97" s="310" t="s">
        <v>1</v>
      </c>
      <c r="J97" s="310" t="s">
        <v>2</v>
      </c>
      <c r="K97" s="310" t="s">
        <v>3</v>
      </c>
      <c r="L97" s="311" t="s">
        <v>4</v>
      </c>
    </row>
    <row r="98" s="7" customFormat="true" ht="15.75" hidden="false" customHeight="true" outlineLevel="0" collapsed="false">
      <c r="B98" s="161"/>
      <c r="C98" s="163" t="s">
        <v>92</v>
      </c>
      <c r="D98" s="45" t="n">
        <v>29</v>
      </c>
      <c r="E98" s="140" t="n">
        <v>1</v>
      </c>
      <c r="F98" s="162"/>
      <c r="G98" s="24"/>
      <c r="H98" s="312" t="s">
        <v>164</v>
      </c>
      <c r="I98" s="236" t="s">
        <v>157</v>
      </c>
      <c r="J98" s="237"/>
      <c r="K98" s="238"/>
      <c r="L98" s="239" t="n">
        <v>4</v>
      </c>
    </row>
    <row r="99" s="7" customFormat="true" ht="15.75" hidden="false" customHeight="true" outlineLevel="0" collapsed="false">
      <c r="B99" s="161"/>
      <c r="C99" s="163" t="s">
        <v>93</v>
      </c>
      <c r="D99" s="164" t="n">
        <v>36</v>
      </c>
      <c r="E99" s="139" t="n">
        <v>1</v>
      </c>
      <c r="F99" s="162"/>
      <c r="G99" s="24"/>
      <c r="H99" s="312"/>
      <c r="I99" s="163" t="s">
        <v>165</v>
      </c>
      <c r="J99" s="45" t="n">
        <v>30</v>
      </c>
      <c r="K99" s="140" t="n">
        <v>3</v>
      </c>
      <c r="L99" s="239"/>
    </row>
    <row r="100" s="7" customFormat="true" ht="15.75" hidden="false" customHeight="true" outlineLevel="0" collapsed="false">
      <c r="B100" s="41" t="s">
        <v>94</v>
      </c>
      <c r="C100" s="92" t="s">
        <v>91</v>
      </c>
      <c r="D100" s="92"/>
      <c r="E100" s="92"/>
      <c r="F100" s="97" t="n">
        <v>3</v>
      </c>
      <c r="G100" s="24"/>
      <c r="H100" s="312"/>
      <c r="I100" s="240" t="s">
        <v>166</v>
      </c>
      <c r="J100" s="140" t="n">
        <v>30</v>
      </c>
      <c r="K100" s="140" t="n">
        <v>3</v>
      </c>
      <c r="L100" s="239"/>
    </row>
    <row r="101" s="7" customFormat="true" ht="15.75" hidden="false" customHeight="true" outlineLevel="0" collapsed="false">
      <c r="B101" s="41"/>
      <c r="C101" s="163" t="s">
        <v>95</v>
      </c>
      <c r="D101" s="45" t="n">
        <v>30</v>
      </c>
      <c r="E101" s="140" t="n">
        <v>1</v>
      </c>
      <c r="F101" s="97"/>
      <c r="G101" s="24"/>
      <c r="H101" s="312"/>
      <c r="I101" s="240" t="s">
        <v>72</v>
      </c>
      <c r="J101" s="241" t="n">
        <v>20</v>
      </c>
      <c r="K101" s="126" t="n">
        <v>2</v>
      </c>
      <c r="L101" s="239"/>
    </row>
    <row r="102" s="7" customFormat="true" ht="15.75" hidden="false" customHeight="true" outlineLevel="0" collapsed="false">
      <c r="B102" s="41"/>
      <c r="C102" s="163" t="s">
        <v>96</v>
      </c>
      <c r="D102" s="164" t="n">
        <v>24</v>
      </c>
      <c r="E102" s="139" t="n">
        <v>1</v>
      </c>
      <c r="F102" s="97"/>
      <c r="G102" s="24"/>
      <c r="H102" s="41" t="s">
        <v>167</v>
      </c>
      <c r="I102" s="313" t="s">
        <v>160</v>
      </c>
      <c r="J102" s="314"/>
      <c r="K102" s="315"/>
      <c r="L102" s="97" t="n">
        <v>3</v>
      </c>
    </row>
    <row r="103" s="7" customFormat="true" ht="15.75" hidden="false" customHeight="true" outlineLevel="0" collapsed="false">
      <c r="B103" s="165" t="s">
        <v>97</v>
      </c>
      <c r="C103" s="92" t="s">
        <v>74</v>
      </c>
      <c r="D103" s="92"/>
      <c r="E103" s="92"/>
      <c r="F103" s="166" t="n">
        <v>1</v>
      </c>
      <c r="G103" s="24"/>
      <c r="H103" s="41"/>
      <c r="I103" s="163" t="s">
        <v>168</v>
      </c>
      <c r="J103" s="164" t="n">
        <v>24</v>
      </c>
      <c r="K103" s="139" t="n">
        <v>2</v>
      </c>
      <c r="L103" s="97"/>
    </row>
    <row r="104" s="7" customFormat="true" ht="15.75" hidden="false" customHeight="true" outlineLevel="0" collapsed="false">
      <c r="B104" s="165"/>
      <c r="C104" s="163" t="s">
        <v>98</v>
      </c>
      <c r="D104" s="45" t="n">
        <v>20</v>
      </c>
      <c r="E104" s="140" t="n">
        <v>1</v>
      </c>
      <c r="F104" s="166"/>
      <c r="G104" s="24"/>
      <c r="H104" s="41"/>
      <c r="I104" s="240" t="s">
        <v>169</v>
      </c>
      <c r="J104" s="140" t="n">
        <v>35</v>
      </c>
      <c r="K104" s="140" t="n">
        <v>3</v>
      </c>
      <c r="L104" s="97"/>
    </row>
    <row r="105" s="7" customFormat="true" ht="15.75" hidden="false" customHeight="true" outlineLevel="0" collapsed="false">
      <c r="B105" s="165"/>
      <c r="C105" s="163" t="s">
        <v>99</v>
      </c>
      <c r="D105" s="164" t="n">
        <v>14</v>
      </c>
      <c r="E105" s="139" t="n">
        <v>1</v>
      </c>
      <c r="F105" s="166"/>
      <c r="G105" s="24"/>
      <c r="H105" s="41"/>
      <c r="I105" s="163" t="s">
        <v>99</v>
      </c>
      <c r="J105" s="164" t="n">
        <v>14</v>
      </c>
      <c r="K105" s="244" t="n">
        <v>1</v>
      </c>
      <c r="L105" s="97"/>
    </row>
    <row r="106" s="7" customFormat="true" ht="15.75" hidden="false" customHeight="true" outlineLevel="0" collapsed="false">
      <c r="B106" s="41" t="s">
        <v>100</v>
      </c>
      <c r="C106" s="42" t="s">
        <v>101</v>
      </c>
      <c r="D106" s="42"/>
      <c r="E106" s="42"/>
      <c r="F106" s="97" t="n">
        <v>5</v>
      </c>
      <c r="G106" s="24"/>
      <c r="H106" s="41" t="s">
        <v>100</v>
      </c>
      <c r="I106" s="42" t="s">
        <v>101</v>
      </c>
      <c r="J106" s="42"/>
      <c r="K106" s="42"/>
      <c r="L106" s="97" t="n">
        <v>5</v>
      </c>
    </row>
    <row r="107" s="172" customFormat="true" ht="15.75" hidden="false" customHeight="true" outlineLevel="0" collapsed="false">
      <c r="A107" s="7"/>
      <c r="B107" s="41"/>
      <c r="C107" s="163" t="s">
        <v>102</v>
      </c>
      <c r="D107" s="167" t="n">
        <v>24</v>
      </c>
      <c r="E107" s="45" t="n">
        <v>2</v>
      </c>
      <c r="F107" s="97"/>
      <c r="G107" s="24"/>
      <c r="H107" s="41"/>
      <c r="I107" s="163" t="s">
        <v>102</v>
      </c>
      <c r="J107" s="167" t="n">
        <v>24</v>
      </c>
      <c r="K107" s="45" t="n">
        <v>2</v>
      </c>
      <c r="L107" s="9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  <c r="KS107" s="7"/>
      <c r="KT107" s="7"/>
      <c r="KU107" s="7"/>
      <c r="KV107" s="7"/>
      <c r="KW107" s="7"/>
      <c r="KX107" s="7"/>
      <c r="KY107" s="7"/>
      <c r="KZ107" s="7"/>
      <c r="LA107" s="7"/>
      <c r="LB107" s="7"/>
      <c r="LC107" s="7"/>
      <c r="LD107" s="7"/>
      <c r="LE107" s="7"/>
      <c r="LF107" s="7"/>
      <c r="LG107" s="7"/>
      <c r="LH107" s="7"/>
      <c r="LI107" s="7"/>
      <c r="LJ107" s="7"/>
      <c r="LK107" s="7"/>
      <c r="LL107" s="7"/>
      <c r="LM107" s="7"/>
      <c r="LN107" s="7"/>
      <c r="LO107" s="7"/>
      <c r="LP107" s="7"/>
      <c r="LQ107" s="7"/>
      <c r="LR107" s="7"/>
      <c r="LS107" s="7"/>
      <c r="LT107" s="7"/>
      <c r="LU107" s="7"/>
      <c r="LV107" s="7"/>
      <c r="LW107" s="7"/>
      <c r="LX107" s="7"/>
      <c r="LY107" s="7"/>
      <c r="LZ107" s="7"/>
      <c r="MA107" s="7"/>
      <c r="MB107" s="7"/>
      <c r="MC107" s="7"/>
      <c r="MD107" s="7"/>
      <c r="ME107" s="7"/>
      <c r="MF107" s="7"/>
      <c r="MG107" s="7"/>
      <c r="MH107" s="7"/>
      <c r="MI107" s="7"/>
      <c r="MJ107" s="7"/>
      <c r="MK107" s="7"/>
      <c r="ML107" s="7"/>
      <c r="MM107" s="7"/>
      <c r="MN107" s="7"/>
      <c r="MO107" s="7"/>
      <c r="MP107" s="7"/>
      <c r="MQ107" s="7"/>
      <c r="MR107" s="7"/>
      <c r="MS107" s="7"/>
      <c r="MT107" s="7"/>
      <c r="MU107" s="7"/>
      <c r="MV107" s="7"/>
      <c r="MW107" s="7"/>
      <c r="MX107" s="7"/>
      <c r="MY107" s="7"/>
      <c r="MZ107" s="7"/>
      <c r="NA107" s="7"/>
      <c r="NB107" s="7"/>
      <c r="NC107" s="7"/>
      <c r="ND107" s="7"/>
      <c r="NE107" s="7"/>
      <c r="NF107" s="7"/>
      <c r="NG107" s="7"/>
      <c r="NH107" s="7"/>
      <c r="NI107" s="7"/>
      <c r="NJ107" s="7"/>
      <c r="NK107" s="7"/>
      <c r="NL107" s="7"/>
      <c r="NM107" s="7"/>
      <c r="NN107" s="7"/>
      <c r="NO107" s="7"/>
      <c r="NP107" s="7"/>
      <c r="NQ107" s="7"/>
      <c r="NR107" s="7"/>
      <c r="NS107" s="7"/>
      <c r="NT107" s="7"/>
      <c r="NU107" s="7"/>
      <c r="NV107" s="7"/>
      <c r="NW107" s="7"/>
      <c r="NX107" s="7"/>
      <c r="NY107" s="7"/>
      <c r="NZ107" s="7"/>
      <c r="OA107" s="7"/>
      <c r="OB107" s="7"/>
      <c r="OC107" s="7"/>
      <c r="OD107" s="7"/>
      <c r="OE107" s="7"/>
      <c r="OF107" s="7"/>
      <c r="OG107" s="7"/>
      <c r="OH107" s="7"/>
      <c r="OI107" s="7"/>
      <c r="OJ107" s="7"/>
      <c r="OK107" s="7"/>
      <c r="OL107" s="7"/>
      <c r="OM107" s="7"/>
      <c r="ON107" s="7"/>
      <c r="OO107" s="7"/>
      <c r="OP107" s="7"/>
      <c r="OQ107" s="7"/>
      <c r="OR107" s="7"/>
      <c r="OS107" s="7"/>
      <c r="OT107" s="7"/>
      <c r="OU107" s="7"/>
      <c r="OV107" s="7"/>
      <c r="OW107" s="7"/>
      <c r="OX107" s="7"/>
      <c r="OY107" s="7"/>
      <c r="OZ107" s="7"/>
      <c r="PA107" s="7"/>
      <c r="PB107" s="7"/>
      <c r="PC107" s="7"/>
      <c r="PD107" s="7"/>
      <c r="PE107" s="7"/>
      <c r="PF107" s="7"/>
      <c r="PG107" s="7"/>
      <c r="PH107" s="7"/>
      <c r="PI107" s="7"/>
      <c r="PJ107" s="7"/>
      <c r="PK107" s="7"/>
      <c r="PL107" s="7"/>
      <c r="PM107" s="7"/>
      <c r="PN107" s="7"/>
      <c r="PO107" s="7"/>
      <c r="PP107" s="7"/>
      <c r="PQ107" s="7"/>
      <c r="PR107" s="7"/>
      <c r="PS107" s="7"/>
      <c r="PT107" s="7"/>
      <c r="PU107" s="7"/>
      <c r="PV107" s="7"/>
      <c r="PW107" s="7"/>
      <c r="PX107" s="7"/>
      <c r="PY107" s="7"/>
      <c r="PZ107" s="7"/>
      <c r="QA107" s="7"/>
      <c r="QB107" s="7"/>
      <c r="QC107" s="7"/>
      <c r="QD107" s="7"/>
      <c r="QE107" s="7"/>
      <c r="QF107" s="7"/>
      <c r="QG107" s="7"/>
      <c r="QH107" s="7"/>
      <c r="QI107" s="7"/>
      <c r="QJ107" s="7"/>
      <c r="QK107" s="7"/>
      <c r="QL107" s="7"/>
      <c r="QM107" s="7"/>
      <c r="QN107" s="7"/>
      <c r="QO107" s="7"/>
      <c r="QP107" s="7"/>
      <c r="QQ107" s="7"/>
      <c r="QR107" s="7"/>
      <c r="QS107" s="7"/>
      <c r="QT107" s="7"/>
      <c r="QU107" s="7"/>
      <c r="QV107" s="7"/>
      <c r="QW107" s="7"/>
      <c r="QX107" s="7"/>
      <c r="QY107" s="7"/>
      <c r="QZ107" s="7"/>
      <c r="RA107" s="7"/>
      <c r="RB107" s="7"/>
      <c r="RC107" s="7"/>
      <c r="RD107" s="7"/>
      <c r="RE107" s="7"/>
      <c r="RF107" s="7"/>
      <c r="RG107" s="7"/>
      <c r="RH107" s="7"/>
      <c r="RI107" s="7"/>
      <c r="RJ107" s="7"/>
      <c r="RK107" s="7"/>
      <c r="RL107" s="7"/>
      <c r="RM107" s="7"/>
      <c r="RN107" s="7"/>
      <c r="RO107" s="7"/>
      <c r="RP107" s="7"/>
      <c r="RQ107" s="7"/>
      <c r="RR107" s="7"/>
      <c r="RS107" s="7"/>
      <c r="RT107" s="7"/>
      <c r="RU107" s="7"/>
      <c r="RV107" s="7"/>
      <c r="RW107" s="7"/>
      <c r="RX107" s="7"/>
      <c r="RY107" s="7"/>
      <c r="RZ107" s="7"/>
      <c r="SA107" s="7"/>
      <c r="SB107" s="7"/>
      <c r="SC107" s="7"/>
      <c r="SD107" s="7"/>
      <c r="SE107" s="7"/>
      <c r="SF107" s="7"/>
      <c r="SG107" s="7"/>
      <c r="SH107" s="7"/>
      <c r="SI107" s="7"/>
      <c r="SJ107" s="7"/>
      <c r="SK107" s="7"/>
      <c r="SL107" s="7"/>
      <c r="SM107" s="7"/>
      <c r="SN107" s="7"/>
      <c r="SO107" s="7"/>
      <c r="SP107" s="7"/>
      <c r="SQ107" s="7"/>
      <c r="SR107" s="7"/>
      <c r="SS107" s="7"/>
      <c r="ST107" s="7"/>
      <c r="SU107" s="7"/>
      <c r="SV107" s="7"/>
      <c r="SW107" s="7"/>
      <c r="SX107" s="7"/>
      <c r="SY107" s="7"/>
      <c r="SZ107" s="7"/>
      <c r="TA107" s="7"/>
      <c r="TB107" s="7"/>
      <c r="TC107" s="7"/>
      <c r="TD107" s="7"/>
      <c r="TE107" s="7"/>
      <c r="TF107" s="7"/>
      <c r="TG107" s="7"/>
      <c r="TH107" s="7"/>
      <c r="TI107" s="7"/>
      <c r="TJ107" s="7"/>
      <c r="TK107" s="7"/>
      <c r="TL107" s="7"/>
      <c r="TM107" s="7"/>
      <c r="TN107" s="7"/>
      <c r="TO107" s="7"/>
      <c r="TP107" s="7"/>
      <c r="TQ107" s="7"/>
      <c r="TR107" s="7"/>
      <c r="TS107" s="7"/>
      <c r="TT107" s="7"/>
      <c r="TU107" s="7"/>
      <c r="TV107" s="7"/>
      <c r="TW107" s="7"/>
      <c r="TX107" s="7"/>
      <c r="TY107" s="7"/>
      <c r="TZ107" s="7"/>
      <c r="UA107" s="7"/>
      <c r="UB107" s="7"/>
      <c r="UC107" s="7"/>
      <c r="UD107" s="7"/>
      <c r="UE107" s="7"/>
      <c r="UF107" s="7"/>
      <c r="UG107" s="7"/>
      <c r="UH107" s="7"/>
      <c r="UI107" s="7"/>
      <c r="UJ107" s="7"/>
      <c r="UK107" s="7"/>
      <c r="UL107" s="7"/>
      <c r="UM107" s="7"/>
      <c r="UN107" s="7"/>
      <c r="UO107" s="7"/>
      <c r="UP107" s="7"/>
      <c r="UQ107" s="7"/>
      <c r="UR107" s="7"/>
      <c r="US107" s="7"/>
      <c r="UT107" s="7"/>
      <c r="UU107" s="7"/>
      <c r="UV107" s="7"/>
      <c r="UW107" s="7"/>
      <c r="UX107" s="7"/>
      <c r="UY107" s="7"/>
      <c r="UZ107" s="7"/>
      <c r="VA107" s="7"/>
      <c r="VB107" s="7"/>
      <c r="VC107" s="7"/>
      <c r="VD107" s="7"/>
      <c r="VE107" s="7"/>
      <c r="VF107" s="7"/>
      <c r="VG107" s="7"/>
      <c r="VH107" s="7"/>
      <c r="VI107" s="7"/>
      <c r="VJ107" s="7"/>
      <c r="VK107" s="7"/>
      <c r="VL107" s="7"/>
      <c r="VM107" s="7"/>
      <c r="VN107" s="7"/>
      <c r="VO107" s="7"/>
      <c r="VP107" s="7"/>
      <c r="VQ107" s="7"/>
      <c r="VR107" s="7"/>
      <c r="VS107" s="7"/>
      <c r="VT107" s="7"/>
      <c r="VU107" s="7"/>
      <c r="VV107" s="7"/>
      <c r="VW107" s="7"/>
      <c r="VX107" s="7"/>
      <c r="VY107" s="7"/>
      <c r="VZ107" s="7"/>
      <c r="WA107" s="7"/>
      <c r="WB107" s="7"/>
      <c r="WC107" s="7"/>
      <c r="WD107" s="7"/>
      <c r="WE107" s="7"/>
      <c r="WF107" s="7"/>
      <c r="WG107" s="7"/>
      <c r="WH107" s="7"/>
      <c r="WI107" s="7"/>
      <c r="WJ107" s="7"/>
      <c r="WK107" s="7"/>
      <c r="WL107" s="7"/>
      <c r="WM107" s="7"/>
      <c r="WN107" s="7"/>
      <c r="WO107" s="7"/>
      <c r="WP107" s="7"/>
      <c r="WQ107" s="7"/>
      <c r="WR107" s="7"/>
      <c r="WS107" s="7"/>
      <c r="WT107" s="7"/>
      <c r="WU107" s="7"/>
      <c r="WV107" s="7"/>
      <c r="WW107" s="7"/>
      <c r="WX107" s="7"/>
      <c r="WY107" s="7"/>
      <c r="WZ107" s="7"/>
      <c r="XA107" s="7"/>
      <c r="XB107" s="7"/>
      <c r="XC107" s="7"/>
      <c r="XD107" s="7"/>
      <c r="XE107" s="7"/>
      <c r="XF107" s="7"/>
      <c r="XG107" s="7"/>
      <c r="XH107" s="7"/>
      <c r="XI107" s="7"/>
      <c r="XJ107" s="7"/>
      <c r="XK107" s="7"/>
      <c r="XL107" s="7"/>
      <c r="XM107" s="7"/>
      <c r="XN107" s="7"/>
      <c r="XO107" s="7"/>
      <c r="XP107" s="7"/>
      <c r="XQ107" s="7"/>
      <c r="XR107" s="7"/>
      <c r="XS107" s="7"/>
      <c r="XT107" s="7"/>
      <c r="XU107" s="7"/>
      <c r="XV107" s="7"/>
      <c r="XW107" s="7"/>
      <c r="XX107" s="7"/>
      <c r="XY107" s="7"/>
      <c r="XZ107" s="7"/>
      <c r="YA107" s="7"/>
      <c r="YB107" s="7"/>
      <c r="YC107" s="7"/>
      <c r="YD107" s="7"/>
      <c r="YE107" s="7"/>
      <c r="YF107" s="7"/>
      <c r="YG107" s="7"/>
      <c r="YH107" s="7"/>
      <c r="YI107" s="7"/>
      <c r="YJ107" s="7"/>
      <c r="YK107" s="7"/>
      <c r="YL107" s="7"/>
      <c r="YM107" s="7"/>
      <c r="YN107" s="7"/>
      <c r="YO107" s="7"/>
      <c r="YP107" s="7"/>
      <c r="YQ107" s="7"/>
      <c r="YR107" s="7"/>
      <c r="YS107" s="7"/>
      <c r="YT107" s="7"/>
      <c r="YU107" s="7"/>
      <c r="YV107" s="7"/>
      <c r="YW107" s="7"/>
      <c r="YX107" s="7"/>
      <c r="YY107" s="7"/>
      <c r="YZ107" s="7"/>
      <c r="ZA107" s="7"/>
      <c r="ZB107" s="7"/>
      <c r="ZC107" s="7"/>
      <c r="ZD107" s="7"/>
      <c r="ZE107" s="7"/>
      <c r="ZF107" s="7"/>
      <c r="ZG107" s="7"/>
      <c r="ZH107" s="7"/>
      <c r="ZI107" s="7"/>
      <c r="ZJ107" s="7"/>
      <c r="ZK107" s="7"/>
      <c r="ZL107" s="7"/>
      <c r="ZM107" s="7"/>
      <c r="ZN107" s="7"/>
      <c r="ZO107" s="7"/>
      <c r="ZP107" s="7"/>
      <c r="ZQ107" s="7"/>
      <c r="ZR107" s="7"/>
      <c r="ZS107" s="7"/>
      <c r="ZT107" s="7"/>
      <c r="ZU107" s="7"/>
      <c r="ZV107" s="7"/>
      <c r="ZW107" s="7"/>
      <c r="ZX107" s="7"/>
      <c r="ZY107" s="7"/>
      <c r="ZZ107" s="7"/>
      <c r="AAA107" s="7"/>
      <c r="AAB107" s="7"/>
      <c r="AAC107" s="7"/>
      <c r="AAD107" s="7"/>
      <c r="AAE107" s="7"/>
      <c r="AAF107" s="7"/>
      <c r="AAG107" s="7"/>
      <c r="AAH107" s="7"/>
      <c r="AAI107" s="7"/>
      <c r="AAJ107" s="7"/>
      <c r="AAK107" s="7"/>
      <c r="AAL107" s="7"/>
      <c r="AAM107" s="7"/>
      <c r="AAN107" s="7"/>
      <c r="AAO107" s="7"/>
      <c r="AAP107" s="7"/>
      <c r="AAQ107" s="7"/>
      <c r="AAR107" s="7"/>
      <c r="AAS107" s="7"/>
      <c r="AAT107" s="7"/>
      <c r="AAU107" s="7"/>
      <c r="AAV107" s="7"/>
      <c r="AAW107" s="7"/>
      <c r="AAX107" s="7"/>
      <c r="AAY107" s="7"/>
      <c r="AAZ107" s="7"/>
      <c r="ABA107" s="7"/>
      <c r="ABB107" s="7"/>
      <c r="ABC107" s="7"/>
      <c r="ABD107" s="7"/>
      <c r="ABE107" s="7"/>
      <c r="ABF107" s="7"/>
      <c r="ABG107" s="7"/>
      <c r="ABH107" s="7"/>
      <c r="ABI107" s="7"/>
      <c r="ABJ107" s="7"/>
      <c r="ABK107" s="7"/>
      <c r="ABL107" s="7"/>
      <c r="ABM107" s="7"/>
      <c r="ABN107" s="7"/>
      <c r="ABO107" s="7"/>
      <c r="ABP107" s="7"/>
      <c r="ABQ107" s="7"/>
      <c r="ABR107" s="7"/>
      <c r="ABS107" s="7"/>
      <c r="ABT107" s="7"/>
      <c r="ABU107" s="7"/>
      <c r="ABV107" s="7"/>
      <c r="ABW107" s="7"/>
      <c r="ABX107" s="7"/>
      <c r="ABY107" s="7"/>
      <c r="ABZ107" s="7"/>
      <c r="ACA107" s="7"/>
      <c r="ACB107" s="7"/>
      <c r="ACC107" s="7"/>
      <c r="ACD107" s="7"/>
      <c r="ACE107" s="7"/>
      <c r="ACF107" s="7"/>
      <c r="ACG107" s="7"/>
      <c r="ACH107" s="7"/>
      <c r="ACI107" s="7"/>
      <c r="ACJ107" s="7"/>
      <c r="ACK107" s="7"/>
      <c r="ACL107" s="7"/>
      <c r="ACM107" s="7"/>
      <c r="ACN107" s="7"/>
      <c r="ACO107" s="7"/>
      <c r="ACP107" s="7"/>
      <c r="ACQ107" s="7"/>
      <c r="ACR107" s="7"/>
      <c r="ACS107" s="7"/>
      <c r="ACT107" s="7"/>
      <c r="ACU107" s="7"/>
      <c r="ACV107" s="7"/>
      <c r="ACW107" s="7"/>
      <c r="ACX107" s="7"/>
      <c r="ACY107" s="7"/>
      <c r="ACZ107" s="7"/>
      <c r="ADA107" s="7"/>
      <c r="ADB107" s="7"/>
      <c r="ADC107" s="7"/>
      <c r="ADD107" s="7"/>
      <c r="ADE107" s="7"/>
      <c r="ADF107" s="7"/>
      <c r="ADG107" s="7"/>
      <c r="ADH107" s="7"/>
      <c r="ADI107" s="7"/>
      <c r="ADJ107" s="7"/>
      <c r="ADK107" s="7"/>
      <c r="ADL107" s="7"/>
      <c r="ADM107" s="7"/>
      <c r="ADN107" s="7"/>
      <c r="ADO107" s="7"/>
      <c r="ADP107" s="7"/>
      <c r="ADQ107" s="7"/>
      <c r="ADR107" s="7"/>
      <c r="ADS107" s="7"/>
      <c r="ADT107" s="7"/>
      <c r="ADU107" s="7"/>
      <c r="ADV107" s="7"/>
      <c r="ADW107" s="7"/>
      <c r="ADX107" s="7"/>
      <c r="ADY107" s="7"/>
      <c r="ADZ107" s="7"/>
      <c r="AEA107" s="7"/>
      <c r="AEB107" s="7"/>
      <c r="AEC107" s="7"/>
      <c r="AED107" s="7"/>
      <c r="AEE107" s="7"/>
      <c r="AEF107" s="7"/>
      <c r="AEG107" s="7"/>
      <c r="AEH107" s="7"/>
      <c r="AEI107" s="7"/>
      <c r="AEJ107" s="7"/>
      <c r="AEK107" s="7"/>
      <c r="AEL107" s="7"/>
      <c r="AEM107" s="7"/>
      <c r="AEN107" s="7"/>
      <c r="AEO107" s="7"/>
      <c r="AEP107" s="7"/>
      <c r="AEQ107" s="7"/>
      <c r="AER107" s="7"/>
      <c r="AES107" s="7"/>
      <c r="AET107" s="7"/>
      <c r="AEU107" s="7"/>
      <c r="AEV107" s="7"/>
      <c r="AEW107" s="7"/>
      <c r="AEX107" s="7"/>
      <c r="AEY107" s="7"/>
      <c r="AEZ107" s="7"/>
      <c r="AFA107" s="7"/>
      <c r="AFB107" s="7"/>
      <c r="AFC107" s="7"/>
      <c r="AFD107" s="7"/>
      <c r="AFE107" s="7"/>
      <c r="AFF107" s="7"/>
      <c r="AFG107" s="7"/>
      <c r="AFH107" s="7"/>
      <c r="AFI107" s="7"/>
      <c r="AFJ107" s="7"/>
      <c r="AFK107" s="7"/>
      <c r="AFL107" s="7"/>
      <c r="AFM107" s="7"/>
      <c r="AFN107" s="7"/>
      <c r="AFO107" s="7"/>
      <c r="AFP107" s="7"/>
      <c r="AFQ107" s="7"/>
      <c r="AFR107" s="7"/>
      <c r="AFS107" s="7"/>
      <c r="AFT107" s="7"/>
      <c r="AFU107" s="7"/>
      <c r="AFV107" s="7"/>
      <c r="AFW107" s="7"/>
      <c r="AFX107" s="7"/>
      <c r="AFY107" s="7"/>
      <c r="AFZ107" s="7"/>
      <c r="AGA107" s="7"/>
      <c r="AGB107" s="7"/>
      <c r="AGC107" s="7"/>
      <c r="AGD107" s="7"/>
      <c r="AGE107" s="7"/>
      <c r="AGF107" s="7"/>
      <c r="AGG107" s="7"/>
      <c r="AGH107" s="7"/>
      <c r="AGI107" s="7"/>
      <c r="AGJ107" s="7"/>
      <c r="AGK107" s="7"/>
      <c r="AGL107" s="7"/>
      <c r="AGM107" s="7"/>
      <c r="AGN107" s="7"/>
      <c r="AGO107" s="7"/>
      <c r="AGP107" s="7"/>
      <c r="AGQ107" s="7"/>
      <c r="AGR107" s="7"/>
      <c r="AGS107" s="7"/>
      <c r="AGT107" s="7"/>
      <c r="AGU107" s="7"/>
      <c r="AGV107" s="7"/>
      <c r="AGW107" s="7"/>
      <c r="AGX107" s="7"/>
      <c r="AGY107" s="7"/>
      <c r="AGZ107" s="7"/>
      <c r="AHA107" s="7"/>
      <c r="AHB107" s="7"/>
      <c r="AHC107" s="7"/>
      <c r="AHD107" s="7"/>
      <c r="AHE107" s="7"/>
      <c r="AHF107" s="7"/>
      <c r="AHG107" s="7"/>
      <c r="AHH107" s="7"/>
      <c r="AHI107" s="7"/>
      <c r="AHJ107" s="7"/>
      <c r="AHK107" s="7"/>
      <c r="AHL107" s="7"/>
      <c r="AHM107" s="7"/>
      <c r="AHN107" s="7"/>
      <c r="AHO107" s="7"/>
      <c r="AHP107" s="7"/>
      <c r="AHQ107" s="7"/>
      <c r="AHR107" s="7"/>
      <c r="AHS107" s="7"/>
      <c r="AHT107" s="7"/>
      <c r="AHU107" s="7"/>
      <c r="AHV107" s="7"/>
      <c r="AHW107" s="7"/>
      <c r="AHX107" s="7"/>
      <c r="AHY107" s="7"/>
      <c r="AHZ107" s="7"/>
      <c r="AIA107" s="7"/>
      <c r="AIB107" s="7"/>
      <c r="AIC107" s="7"/>
      <c r="AID107" s="7"/>
      <c r="AIE107" s="7"/>
      <c r="AIF107" s="7"/>
      <c r="AIG107" s="7"/>
      <c r="AIH107" s="7"/>
      <c r="AII107" s="7"/>
      <c r="AIJ107" s="7"/>
      <c r="AIK107" s="7"/>
      <c r="AIL107" s="7"/>
      <c r="AIM107" s="7"/>
      <c r="AIN107" s="7"/>
      <c r="AIO107" s="7"/>
      <c r="AIP107" s="7"/>
      <c r="AIQ107" s="7"/>
      <c r="AIR107" s="7"/>
      <c r="AIS107" s="7"/>
      <c r="AIT107" s="7"/>
      <c r="AIU107" s="7"/>
      <c r="AIV107" s="7"/>
      <c r="AIW107" s="7"/>
      <c r="AIX107" s="7"/>
      <c r="AIY107" s="7"/>
      <c r="AIZ107" s="7"/>
      <c r="AJA107" s="7"/>
      <c r="AJB107" s="7"/>
      <c r="AJC107" s="7"/>
      <c r="AJD107" s="7"/>
      <c r="AJE107" s="7"/>
      <c r="AJF107" s="7"/>
      <c r="AJG107" s="7"/>
      <c r="AJH107" s="7"/>
      <c r="AJI107" s="7"/>
      <c r="AJJ107" s="7"/>
      <c r="AJK107" s="7"/>
      <c r="AJL107" s="7"/>
      <c r="AJM107" s="7"/>
      <c r="AJN107" s="7"/>
      <c r="AJO107" s="7"/>
      <c r="AJP107" s="7"/>
      <c r="AJQ107" s="7"/>
      <c r="AJR107" s="7"/>
      <c r="AJS107" s="7"/>
      <c r="AJT107" s="7"/>
      <c r="AJU107" s="7"/>
      <c r="AJV107" s="7"/>
      <c r="AJW107" s="7"/>
      <c r="AJX107" s="7"/>
      <c r="AJY107" s="7"/>
      <c r="AJZ107" s="7"/>
      <c r="AKA107" s="7"/>
      <c r="AKB107" s="7"/>
      <c r="AKC107" s="7"/>
      <c r="AKD107" s="7"/>
      <c r="AKE107" s="7"/>
      <c r="AKF107" s="7"/>
      <c r="AKG107" s="7"/>
      <c r="AKH107" s="7"/>
      <c r="AKI107" s="7"/>
      <c r="AKJ107" s="7"/>
      <c r="AKK107" s="7"/>
      <c r="AKL107" s="7"/>
      <c r="AKM107" s="7"/>
      <c r="AKN107" s="7"/>
      <c r="AKO107" s="7"/>
      <c r="AKP107" s="7"/>
      <c r="AKQ107" s="7"/>
      <c r="AKR107" s="7"/>
      <c r="AKS107" s="7"/>
      <c r="AKT107" s="7"/>
      <c r="AKU107" s="7"/>
      <c r="AKV107" s="7"/>
      <c r="AKW107" s="7"/>
      <c r="AKX107" s="7"/>
      <c r="AKY107" s="7"/>
      <c r="AKZ107" s="7"/>
      <c r="ALA107" s="7"/>
      <c r="ALB107" s="7"/>
      <c r="ALC107" s="7"/>
      <c r="ALD107" s="7"/>
      <c r="ALE107" s="7"/>
      <c r="ALF107" s="7"/>
      <c r="ALG107" s="7"/>
      <c r="ALH107" s="7"/>
      <c r="ALI107" s="7"/>
      <c r="ALJ107" s="7"/>
      <c r="ALK107" s="7"/>
      <c r="ALL107" s="7"/>
      <c r="ALM107" s="7"/>
      <c r="ALN107" s="7"/>
      <c r="ALO107" s="7"/>
      <c r="ALP107" s="7"/>
      <c r="ALQ107" s="7"/>
      <c r="ALR107" s="7"/>
      <c r="ALS107" s="7"/>
      <c r="ALT107" s="7"/>
      <c r="ALU107" s="7"/>
      <c r="ALV107" s="7"/>
      <c r="ALW107" s="7"/>
      <c r="ALX107" s="7"/>
      <c r="ALY107" s="7"/>
      <c r="ALZ107" s="7"/>
      <c r="AMA107" s="7"/>
      <c r="AMB107" s="7"/>
      <c r="AMC107" s="7"/>
      <c r="AMD107" s="7"/>
      <c r="AME107" s="7"/>
      <c r="AMF107" s="7"/>
      <c r="AMG107" s="7"/>
      <c r="AMH107" s="7"/>
      <c r="AMI107" s="7"/>
      <c r="AMJ107" s="7"/>
    </row>
    <row r="108" s="172" customFormat="true" ht="15.75" hidden="false" customHeight="true" outlineLevel="0" collapsed="false">
      <c r="A108" s="7"/>
      <c r="B108" s="41"/>
      <c r="C108" s="44" t="s">
        <v>103</v>
      </c>
      <c r="D108" s="140" t="n">
        <v>30</v>
      </c>
      <c r="E108" s="140" t="n">
        <v>3</v>
      </c>
      <c r="F108" s="97"/>
      <c r="G108" s="24"/>
      <c r="H108" s="41"/>
      <c r="I108" s="44" t="s">
        <v>103</v>
      </c>
      <c r="J108" s="140" t="n">
        <v>30</v>
      </c>
      <c r="K108" s="140" t="n">
        <v>3</v>
      </c>
      <c r="L108" s="9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  <c r="KS108" s="7"/>
      <c r="KT108" s="7"/>
      <c r="KU108" s="7"/>
      <c r="KV108" s="7"/>
      <c r="KW108" s="7"/>
      <c r="KX108" s="7"/>
      <c r="KY108" s="7"/>
      <c r="KZ108" s="7"/>
      <c r="LA108" s="7"/>
      <c r="LB108" s="7"/>
      <c r="LC108" s="7"/>
      <c r="LD108" s="7"/>
      <c r="LE108" s="7"/>
      <c r="LF108" s="7"/>
      <c r="LG108" s="7"/>
      <c r="LH108" s="7"/>
      <c r="LI108" s="7"/>
      <c r="LJ108" s="7"/>
      <c r="LK108" s="7"/>
      <c r="LL108" s="7"/>
      <c r="LM108" s="7"/>
      <c r="LN108" s="7"/>
      <c r="LO108" s="7"/>
      <c r="LP108" s="7"/>
      <c r="LQ108" s="7"/>
      <c r="LR108" s="7"/>
      <c r="LS108" s="7"/>
      <c r="LT108" s="7"/>
      <c r="LU108" s="7"/>
      <c r="LV108" s="7"/>
      <c r="LW108" s="7"/>
      <c r="LX108" s="7"/>
      <c r="LY108" s="7"/>
      <c r="LZ108" s="7"/>
      <c r="MA108" s="7"/>
      <c r="MB108" s="7"/>
      <c r="MC108" s="7"/>
      <c r="MD108" s="7"/>
      <c r="ME108" s="7"/>
      <c r="MF108" s="7"/>
      <c r="MG108" s="7"/>
      <c r="MH108" s="7"/>
      <c r="MI108" s="7"/>
      <c r="MJ108" s="7"/>
      <c r="MK108" s="7"/>
      <c r="ML108" s="7"/>
      <c r="MM108" s="7"/>
      <c r="MN108" s="7"/>
      <c r="MO108" s="7"/>
      <c r="MP108" s="7"/>
      <c r="MQ108" s="7"/>
      <c r="MR108" s="7"/>
      <c r="MS108" s="7"/>
      <c r="MT108" s="7"/>
      <c r="MU108" s="7"/>
      <c r="MV108" s="7"/>
      <c r="MW108" s="7"/>
      <c r="MX108" s="7"/>
      <c r="MY108" s="7"/>
      <c r="MZ108" s="7"/>
      <c r="NA108" s="7"/>
      <c r="NB108" s="7"/>
      <c r="NC108" s="7"/>
      <c r="ND108" s="7"/>
      <c r="NE108" s="7"/>
      <c r="NF108" s="7"/>
      <c r="NG108" s="7"/>
      <c r="NH108" s="7"/>
      <c r="NI108" s="7"/>
      <c r="NJ108" s="7"/>
      <c r="NK108" s="7"/>
      <c r="NL108" s="7"/>
      <c r="NM108" s="7"/>
      <c r="NN108" s="7"/>
      <c r="NO108" s="7"/>
      <c r="NP108" s="7"/>
      <c r="NQ108" s="7"/>
      <c r="NR108" s="7"/>
      <c r="NS108" s="7"/>
      <c r="NT108" s="7"/>
      <c r="NU108" s="7"/>
      <c r="NV108" s="7"/>
      <c r="NW108" s="7"/>
      <c r="NX108" s="7"/>
      <c r="NY108" s="7"/>
      <c r="NZ108" s="7"/>
      <c r="OA108" s="7"/>
      <c r="OB108" s="7"/>
      <c r="OC108" s="7"/>
      <c r="OD108" s="7"/>
      <c r="OE108" s="7"/>
      <c r="OF108" s="7"/>
      <c r="OG108" s="7"/>
      <c r="OH108" s="7"/>
      <c r="OI108" s="7"/>
      <c r="OJ108" s="7"/>
      <c r="OK108" s="7"/>
      <c r="OL108" s="7"/>
      <c r="OM108" s="7"/>
      <c r="ON108" s="7"/>
      <c r="OO108" s="7"/>
      <c r="OP108" s="7"/>
      <c r="OQ108" s="7"/>
      <c r="OR108" s="7"/>
      <c r="OS108" s="7"/>
      <c r="OT108" s="7"/>
      <c r="OU108" s="7"/>
      <c r="OV108" s="7"/>
      <c r="OW108" s="7"/>
      <c r="OX108" s="7"/>
      <c r="OY108" s="7"/>
      <c r="OZ108" s="7"/>
      <c r="PA108" s="7"/>
      <c r="PB108" s="7"/>
      <c r="PC108" s="7"/>
      <c r="PD108" s="7"/>
      <c r="PE108" s="7"/>
      <c r="PF108" s="7"/>
      <c r="PG108" s="7"/>
      <c r="PH108" s="7"/>
      <c r="PI108" s="7"/>
      <c r="PJ108" s="7"/>
      <c r="PK108" s="7"/>
      <c r="PL108" s="7"/>
      <c r="PM108" s="7"/>
      <c r="PN108" s="7"/>
      <c r="PO108" s="7"/>
      <c r="PP108" s="7"/>
      <c r="PQ108" s="7"/>
      <c r="PR108" s="7"/>
      <c r="PS108" s="7"/>
      <c r="PT108" s="7"/>
      <c r="PU108" s="7"/>
      <c r="PV108" s="7"/>
      <c r="PW108" s="7"/>
      <c r="PX108" s="7"/>
      <c r="PY108" s="7"/>
      <c r="PZ108" s="7"/>
      <c r="QA108" s="7"/>
      <c r="QB108" s="7"/>
      <c r="QC108" s="7"/>
      <c r="QD108" s="7"/>
      <c r="QE108" s="7"/>
      <c r="QF108" s="7"/>
      <c r="QG108" s="7"/>
      <c r="QH108" s="7"/>
      <c r="QI108" s="7"/>
      <c r="QJ108" s="7"/>
      <c r="QK108" s="7"/>
      <c r="QL108" s="7"/>
      <c r="QM108" s="7"/>
      <c r="QN108" s="7"/>
      <c r="QO108" s="7"/>
      <c r="QP108" s="7"/>
      <c r="QQ108" s="7"/>
      <c r="QR108" s="7"/>
      <c r="QS108" s="7"/>
      <c r="QT108" s="7"/>
      <c r="QU108" s="7"/>
      <c r="QV108" s="7"/>
      <c r="QW108" s="7"/>
      <c r="QX108" s="7"/>
      <c r="QY108" s="7"/>
      <c r="QZ108" s="7"/>
      <c r="RA108" s="7"/>
      <c r="RB108" s="7"/>
      <c r="RC108" s="7"/>
      <c r="RD108" s="7"/>
      <c r="RE108" s="7"/>
      <c r="RF108" s="7"/>
      <c r="RG108" s="7"/>
      <c r="RH108" s="7"/>
      <c r="RI108" s="7"/>
      <c r="RJ108" s="7"/>
      <c r="RK108" s="7"/>
      <c r="RL108" s="7"/>
      <c r="RM108" s="7"/>
      <c r="RN108" s="7"/>
      <c r="RO108" s="7"/>
      <c r="RP108" s="7"/>
      <c r="RQ108" s="7"/>
      <c r="RR108" s="7"/>
      <c r="RS108" s="7"/>
      <c r="RT108" s="7"/>
      <c r="RU108" s="7"/>
      <c r="RV108" s="7"/>
      <c r="RW108" s="7"/>
      <c r="RX108" s="7"/>
      <c r="RY108" s="7"/>
      <c r="RZ108" s="7"/>
      <c r="SA108" s="7"/>
      <c r="SB108" s="7"/>
      <c r="SC108" s="7"/>
      <c r="SD108" s="7"/>
      <c r="SE108" s="7"/>
      <c r="SF108" s="7"/>
      <c r="SG108" s="7"/>
      <c r="SH108" s="7"/>
      <c r="SI108" s="7"/>
      <c r="SJ108" s="7"/>
      <c r="SK108" s="7"/>
      <c r="SL108" s="7"/>
      <c r="SM108" s="7"/>
      <c r="SN108" s="7"/>
      <c r="SO108" s="7"/>
      <c r="SP108" s="7"/>
      <c r="SQ108" s="7"/>
      <c r="SR108" s="7"/>
      <c r="SS108" s="7"/>
      <c r="ST108" s="7"/>
      <c r="SU108" s="7"/>
      <c r="SV108" s="7"/>
      <c r="SW108" s="7"/>
      <c r="SX108" s="7"/>
      <c r="SY108" s="7"/>
      <c r="SZ108" s="7"/>
      <c r="TA108" s="7"/>
      <c r="TB108" s="7"/>
      <c r="TC108" s="7"/>
      <c r="TD108" s="7"/>
      <c r="TE108" s="7"/>
      <c r="TF108" s="7"/>
      <c r="TG108" s="7"/>
      <c r="TH108" s="7"/>
      <c r="TI108" s="7"/>
      <c r="TJ108" s="7"/>
      <c r="TK108" s="7"/>
      <c r="TL108" s="7"/>
      <c r="TM108" s="7"/>
      <c r="TN108" s="7"/>
      <c r="TO108" s="7"/>
      <c r="TP108" s="7"/>
      <c r="TQ108" s="7"/>
      <c r="TR108" s="7"/>
      <c r="TS108" s="7"/>
      <c r="TT108" s="7"/>
      <c r="TU108" s="7"/>
      <c r="TV108" s="7"/>
      <c r="TW108" s="7"/>
      <c r="TX108" s="7"/>
      <c r="TY108" s="7"/>
      <c r="TZ108" s="7"/>
      <c r="UA108" s="7"/>
      <c r="UB108" s="7"/>
      <c r="UC108" s="7"/>
      <c r="UD108" s="7"/>
      <c r="UE108" s="7"/>
      <c r="UF108" s="7"/>
      <c r="UG108" s="7"/>
      <c r="UH108" s="7"/>
      <c r="UI108" s="7"/>
      <c r="UJ108" s="7"/>
      <c r="UK108" s="7"/>
      <c r="UL108" s="7"/>
      <c r="UM108" s="7"/>
      <c r="UN108" s="7"/>
      <c r="UO108" s="7"/>
      <c r="UP108" s="7"/>
      <c r="UQ108" s="7"/>
      <c r="UR108" s="7"/>
      <c r="US108" s="7"/>
      <c r="UT108" s="7"/>
      <c r="UU108" s="7"/>
      <c r="UV108" s="7"/>
      <c r="UW108" s="7"/>
      <c r="UX108" s="7"/>
      <c r="UY108" s="7"/>
      <c r="UZ108" s="7"/>
      <c r="VA108" s="7"/>
      <c r="VB108" s="7"/>
      <c r="VC108" s="7"/>
      <c r="VD108" s="7"/>
      <c r="VE108" s="7"/>
      <c r="VF108" s="7"/>
      <c r="VG108" s="7"/>
      <c r="VH108" s="7"/>
      <c r="VI108" s="7"/>
      <c r="VJ108" s="7"/>
      <c r="VK108" s="7"/>
      <c r="VL108" s="7"/>
      <c r="VM108" s="7"/>
      <c r="VN108" s="7"/>
      <c r="VO108" s="7"/>
      <c r="VP108" s="7"/>
      <c r="VQ108" s="7"/>
      <c r="VR108" s="7"/>
      <c r="VS108" s="7"/>
      <c r="VT108" s="7"/>
      <c r="VU108" s="7"/>
      <c r="VV108" s="7"/>
      <c r="VW108" s="7"/>
      <c r="VX108" s="7"/>
      <c r="VY108" s="7"/>
      <c r="VZ108" s="7"/>
      <c r="WA108" s="7"/>
      <c r="WB108" s="7"/>
      <c r="WC108" s="7"/>
      <c r="WD108" s="7"/>
      <c r="WE108" s="7"/>
      <c r="WF108" s="7"/>
      <c r="WG108" s="7"/>
      <c r="WH108" s="7"/>
      <c r="WI108" s="7"/>
      <c r="WJ108" s="7"/>
      <c r="WK108" s="7"/>
      <c r="WL108" s="7"/>
      <c r="WM108" s="7"/>
      <c r="WN108" s="7"/>
      <c r="WO108" s="7"/>
      <c r="WP108" s="7"/>
      <c r="WQ108" s="7"/>
      <c r="WR108" s="7"/>
      <c r="WS108" s="7"/>
      <c r="WT108" s="7"/>
      <c r="WU108" s="7"/>
      <c r="WV108" s="7"/>
      <c r="WW108" s="7"/>
      <c r="WX108" s="7"/>
      <c r="WY108" s="7"/>
      <c r="WZ108" s="7"/>
      <c r="XA108" s="7"/>
      <c r="XB108" s="7"/>
      <c r="XC108" s="7"/>
      <c r="XD108" s="7"/>
      <c r="XE108" s="7"/>
      <c r="XF108" s="7"/>
      <c r="XG108" s="7"/>
      <c r="XH108" s="7"/>
      <c r="XI108" s="7"/>
      <c r="XJ108" s="7"/>
      <c r="XK108" s="7"/>
      <c r="XL108" s="7"/>
      <c r="XM108" s="7"/>
      <c r="XN108" s="7"/>
      <c r="XO108" s="7"/>
      <c r="XP108" s="7"/>
      <c r="XQ108" s="7"/>
      <c r="XR108" s="7"/>
      <c r="XS108" s="7"/>
      <c r="XT108" s="7"/>
      <c r="XU108" s="7"/>
      <c r="XV108" s="7"/>
      <c r="XW108" s="7"/>
      <c r="XX108" s="7"/>
      <c r="XY108" s="7"/>
      <c r="XZ108" s="7"/>
      <c r="YA108" s="7"/>
      <c r="YB108" s="7"/>
      <c r="YC108" s="7"/>
      <c r="YD108" s="7"/>
      <c r="YE108" s="7"/>
      <c r="YF108" s="7"/>
      <c r="YG108" s="7"/>
      <c r="YH108" s="7"/>
      <c r="YI108" s="7"/>
      <c r="YJ108" s="7"/>
      <c r="YK108" s="7"/>
      <c r="YL108" s="7"/>
      <c r="YM108" s="7"/>
      <c r="YN108" s="7"/>
      <c r="YO108" s="7"/>
      <c r="YP108" s="7"/>
      <c r="YQ108" s="7"/>
      <c r="YR108" s="7"/>
      <c r="YS108" s="7"/>
      <c r="YT108" s="7"/>
      <c r="YU108" s="7"/>
      <c r="YV108" s="7"/>
      <c r="YW108" s="7"/>
      <c r="YX108" s="7"/>
      <c r="YY108" s="7"/>
      <c r="YZ108" s="7"/>
      <c r="ZA108" s="7"/>
      <c r="ZB108" s="7"/>
      <c r="ZC108" s="7"/>
      <c r="ZD108" s="7"/>
      <c r="ZE108" s="7"/>
      <c r="ZF108" s="7"/>
      <c r="ZG108" s="7"/>
      <c r="ZH108" s="7"/>
      <c r="ZI108" s="7"/>
      <c r="ZJ108" s="7"/>
      <c r="ZK108" s="7"/>
      <c r="ZL108" s="7"/>
      <c r="ZM108" s="7"/>
      <c r="ZN108" s="7"/>
      <c r="ZO108" s="7"/>
      <c r="ZP108" s="7"/>
      <c r="ZQ108" s="7"/>
      <c r="ZR108" s="7"/>
      <c r="ZS108" s="7"/>
      <c r="ZT108" s="7"/>
      <c r="ZU108" s="7"/>
      <c r="ZV108" s="7"/>
      <c r="ZW108" s="7"/>
      <c r="ZX108" s="7"/>
      <c r="ZY108" s="7"/>
      <c r="ZZ108" s="7"/>
      <c r="AAA108" s="7"/>
      <c r="AAB108" s="7"/>
      <c r="AAC108" s="7"/>
      <c r="AAD108" s="7"/>
      <c r="AAE108" s="7"/>
      <c r="AAF108" s="7"/>
      <c r="AAG108" s="7"/>
      <c r="AAH108" s="7"/>
      <c r="AAI108" s="7"/>
      <c r="AAJ108" s="7"/>
      <c r="AAK108" s="7"/>
      <c r="AAL108" s="7"/>
      <c r="AAM108" s="7"/>
      <c r="AAN108" s="7"/>
      <c r="AAO108" s="7"/>
      <c r="AAP108" s="7"/>
      <c r="AAQ108" s="7"/>
      <c r="AAR108" s="7"/>
      <c r="AAS108" s="7"/>
      <c r="AAT108" s="7"/>
      <c r="AAU108" s="7"/>
      <c r="AAV108" s="7"/>
      <c r="AAW108" s="7"/>
      <c r="AAX108" s="7"/>
      <c r="AAY108" s="7"/>
      <c r="AAZ108" s="7"/>
      <c r="ABA108" s="7"/>
      <c r="ABB108" s="7"/>
      <c r="ABC108" s="7"/>
      <c r="ABD108" s="7"/>
      <c r="ABE108" s="7"/>
      <c r="ABF108" s="7"/>
      <c r="ABG108" s="7"/>
      <c r="ABH108" s="7"/>
      <c r="ABI108" s="7"/>
      <c r="ABJ108" s="7"/>
      <c r="ABK108" s="7"/>
      <c r="ABL108" s="7"/>
      <c r="ABM108" s="7"/>
      <c r="ABN108" s="7"/>
      <c r="ABO108" s="7"/>
      <c r="ABP108" s="7"/>
      <c r="ABQ108" s="7"/>
      <c r="ABR108" s="7"/>
      <c r="ABS108" s="7"/>
      <c r="ABT108" s="7"/>
      <c r="ABU108" s="7"/>
      <c r="ABV108" s="7"/>
      <c r="ABW108" s="7"/>
      <c r="ABX108" s="7"/>
      <c r="ABY108" s="7"/>
      <c r="ABZ108" s="7"/>
      <c r="ACA108" s="7"/>
      <c r="ACB108" s="7"/>
      <c r="ACC108" s="7"/>
      <c r="ACD108" s="7"/>
      <c r="ACE108" s="7"/>
      <c r="ACF108" s="7"/>
      <c r="ACG108" s="7"/>
      <c r="ACH108" s="7"/>
      <c r="ACI108" s="7"/>
      <c r="ACJ108" s="7"/>
      <c r="ACK108" s="7"/>
      <c r="ACL108" s="7"/>
      <c r="ACM108" s="7"/>
      <c r="ACN108" s="7"/>
      <c r="ACO108" s="7"/>
      <c r="ACP108" s="7"/>
      <c r="ACQ108" s="7"/>
      <c r="ACR108" s="7"/>
      <c r="ACS108" s="7"/>
      <c r="ACT108" s="7"/>
      <c r="ACU108" s="7"/>
      <c r="ACV108" s="7"/>
      <c r="ACW108" s="7"/>
      <c r="ACX108" s="7"/>
      <c r="ACY108" s="7"/>
      <c r="ACZ108" s="7"/>
      <c r="ADA108" s="7"/>
      <c r="ADB108" s="7"/>
      <c r="ADC108" s="7"/>
      <c r="ADD108" s="7"/>
      <c r="ADE108" s="7"/>
      <c r="ADF108" s="7"/>
      <c r="ADG108" s="7"/>
      <c r="ADH108" s="7"/>
      <c r="ADI108" s="7"/>
      <c r="ADJ108" s="7"/>
      <c r="ADK108" s="7"/>
      <c r="ADL108" s="7"/>
      <c r="ADM108" s="7"/>
      <c r="ADN108" s="7"/>
      <c r="ADO108" s="7"/>
      <c r="ADP108" s="7"/>
      <c r="ADQ108" s="7"/>
      <c r="ADR108" s="7"/>
      <c r="ADS108" s="7"/>
      <c r="ADT108" s="7"/>
      <c r="ADU108" s="7"/>
      <c r="ADV108" s="7"/>
      <c r="ADW108" s="7"/>
      <c r="ADX108" s="7"/>
      <c r="ADY108" s="7"/>
      <c r="ADZ108" s="7"/>
      <c r="AEA108" s="7"/>
      <c r="AEB108" s="7"/>
      <c r="AEC108" s="7"/>
      <c r="AED108" s="7"/>
      <c r="AEE108" s="7"/>
      <c r="AEF108" s="7"/>
      <c r="AEG108" s="7"/>
      <c r="AEH108" s="7"/>
      <c r="AEI108" s="7"/>
      <c r="AEJ108" s="7"/>
      <c r="AEK108" s="7"/>
      <c r="AEL108" s="7"/>
      <c r="AEM108" s="7"/>
      <c r="AEN108" s="7"/>
      <c r="AEO108" s="7"/>
      <c r="AEP108" s="7"/>
      <c r="AEQ108" s="7"/>
      <c r="AER108" s="7"/>
      <c r="AES108" s="7"/>
      <c r="AET108" s="7"/>
      <c r="AEU108" s="7"/>
      <c r="AEV108" s="7"/>
      <c r="AEW108" s="7"/>
      <c r="AEX108" s="7"/>
      <c r="AEY108" s="7"/>
      <c r="AEZ108" s="7"/>
      <c r="AFA108" s="7"/>
      <c r="AFB108" s="7"/>
      <c r="AFC108" s="7"/>
      <c r="AFD108" s="7"/>
      <c r="AFE108" s="7"/>
      <c r="AFF108" s="7"/>
      <c r="AFG108" s="7"/>
      <c r="AFH108" s="7"/>
      <c r="AFI108" s="7"/>
      <c r="AFJ108" s="7"/>
      <c r="AFK108" s="7"/>
      <c r="AFL108" s="7"/>
      <c r="AFM108" s="7"/>
      <c r="AFN108" s="7"/>
      <c r="AFO108" s="7"/>
      <c r="AFP108" s="7"/>
      <c r="AFQ108" s="7"/>
      <c r="AFR108" s="7"/>
      <c r="AFS108" s="7"/>
      <c r="AFT108" s="7"/>
      <c r="AFU108" s="7"/>
      <c r="AFV108" s="7"/>
      <c r="AFW108" s="7"/>
      <c r="AFX108" s="7"/>
      <c r="AFY108" s="7"/>
      <c r="AFZ108" s="7"/>
      <c r="AGA108" s="7"/>
      <c r="AGB108" s="7"/>
      <c r="AGC108" s="7"/>
      <c r="AGD108" s="7"/>
      <c r="AGE108" s="7"/>
      <c r="AGF108" s="7"/>
      <c r="AGG108" s="7"/>
      <c r="AGH108" s="7"/>
      <c r="AGI108" s="7"/>
      <c r="AGJ108" s="7"/>
      <c r="AGK108" s="7"/>
      <c r="AGL108" s="7"/>
      <c r="AGM108" s="7"/>
      <c r="AGN108" s="7"/>
      <c r="AGO108" s="7"/>
      <c r="AGP108" s="7"/>
      <c r="AGQ108" s="7"/>
      <c r="AGR108" s="7"/>
      <c r="AGS108" s="7"/>
      <c r="AGT108" s="7"/>
      <c r="AGU108" s="7"/>
      <c r="AGV108" s="7"/>
      <c r="AGW108" s="7"/>
      <c r="AGX108" s="7"/>
      <c r="AGY108" s="7"/>
      <c r="AGZ108" s="7"/>
      <c r="AHA108" s="7"/>
      <c r="AHB108" s="7"/>
      <c r="AHC108" s="7"/>
      <c r="AHD108" s="7"/>
      <c r="AHE108" s="7"/>
      <c r="AHF108" s="7"/>
      <c r="AHG108" s="7"/>
      <c r="AHH108" s="7"/>
      <c r="AHI108" s="7"/>
      <c r="AHJ108" s="7"/>
      <c r="AHK108" s="7"/>
      <c r="AHL108" s="7"/>
      <c r="AHM108" s="7"/>
      <c r="AHN108" s="7"/>
      <c r="AHO108" s="7"/>
      <c r="AHP108" s="7"/>
      <c r="AHQ108" s="7"/>
      <c r="AHR108" s="7"/>
      <c r="AHS108" s="7"/>
      <c r="AHT108" s="7"/>
      <c r="AHU108" s="7"/>
      <c r="AHV108" s="7"/>
      <c r="AHW108" s="7"/>
      <c r="AHX108" s="7"/>
      <c r="AHY108" s="7"/>
      <c r="AHZ108" s="7"/>
      <c r="AIA108" s="7"/>
      <c r="AIB108" s="7"/>
      <c r="AIC108" s="7"/>
      <c r="AID108" s="7"/>
      <c r="AIE108" s="7"/>
      <c r="AIF108" s="7"/>
      <c r="AIG108" s="7"/>
      <c r="AIH108" s="7"/>
      <c r="AII108" s="7"/>
      <c r="AIJ108" s="7"/>
      <c r="AIK108" s="7"/>
      <c r="AIL108" s="7"/>
      <c r="AIM108" s="7"/>
      <c r="AIN108" s="7"/>
      <c r="AIO108" s="7"/>
      <c r="AIP108" s="7"/>
      <c r="AIQ108" s="7"/>
      <c r="AIR108" s="7"/>
      <c r="AIS108" s="7"/>
      <c r="AIT108" s="7"/>
      <c r="AIU108" s="7"/>
      <c r="AIV108" s="7"/>
      <c r="AIW108" s="7"/>
      <c r="AIX108" s="7"/>
      <c r="AIY108" s="7"/>
      <c r="AIZ108" s="7"/>
      <c r="AJA108" s="7"/>
      <c r="AJB108" s="7"/>
      <c r="AJC108" s="7"/>
      <c r="AJD108" s="7"/>
      <c r="AJE108" s="7"/>
      <c r="AJF108" s="7"/>
      <c r="AJG108" s="7"/>
      <c r="AJH108" s="7"/>
      <c r="AJI108" s="7"/>
      <c r="AJJ108" s="7"/>
      <c r="AJK108" s="7"/>
      <c r="AJL108" s="7"/>
      <c r="AJM108" s="7"/>
      <c r="AJN108" s="7"/>
      <c r="AJO108" s="7"/>
      <c r="AJP108" s="7"/>
      <c r="AJQ108" s="7"/>
      <c r="AJR108" s="7"/>
      <c r="AJS108" s="7"/>
      <c r="AJT108" s="7"/>
      <c r="AJU108" s="7"/>
      <c r="AJV108" s="7"/>
      <c r="AJW108" s="7"/>
      <c r="AJX108" s="7"/>
      <c r="AJY108" s="7"/>
      <c r="AJZ108" s="7"/>
      <c r="AKA108" s="7"/>
      <c r="AKB108" s="7"/>
      <c r="AKC108" s="7"/>
      <c r="AKD108" s="7"/>
      <c r="AKE108" s="7"/>
      <c r="AKF108" s="7"/>
      <c r="AKG108" s="7"/>
      <c r="AKH108" s="7"/>
      <c r="AKI108" s="7"/>
      <c r="AKJ108" s="7"/>
      <c r="AKK108" s="7"/>
      <c r="AKL108" s="7"/>
      <c r="AKM108" s="7"/>
      <c r="AKN108" s="7"/>
      <c r="AKO108" s="7"/>
      <c r="AKP108" s="7"/>
      <c r="AKQ108" s="7"/>
      <c r="AKR108" s="7"/>
      <c r="AKS108" s="7"/>
      <c r="AKT108" s="7"/>
      <c r="AKU108" s="7"/>
      <c r="AKV108" s="7"/>
      <c r="AKW108" s="7"/>
      <c r="AKX108" s="7"/>
      <c r="AKY108" s="7"/>
      <c r="AKZ108" s="7"/>
      <c r="ALA108" s="7"/>
      <c r="ALB108" s="7"/>
      <c r="ALC108" s="7"/>
      <c r="ALD108" s="7"/>
      <c r="ALE108" s="7"/>
      <c r="ALF108" s="7"/>
      <c r="ALG108" s="7"/>
      <c r="ALH108" s="7"/>
      <c r="ALI108" s="7"/>
      <c r="ALJ108" s="7"/>
      <c r="ALK108" s="7"/>
      <c r="ALL108" s="7"/>
      <c r="ALM108" s="7"/>
      <c r="ALN108" s="7"/>
      <c r="ALO108" s="7"/>
      <c r="ALP108" s="7"/>
      <c r="ALQ108" s="7"/>
      <c r="ALR108" s="7"/>
      <c r="ALS108" s="7"/>
      <c r="ALT108" s="7"/>
      <c r="ALU108" s="7"/>
      <c r="ALV108" s="7"/>
      <c r="ALW108" s="7"/>
      <c r="ALX108" s="7"/>
      <c r="ALY108" s="7"/>
      <c r="ALZ108" s="7"/>
      <c r="AMA108" s="7"/>
      <c r="AMB108" s="7"/>
      <c r="AMC108" s="7"/>
      <c r="AMD108" s="7"/>
      <c r="AME108" s="7"/>
      <c r="AMF108" s="7"/>
      <c r="AMG108" s="7"/>
      <c r="AMH108" s="7"/>
      <c r="AMI108" s="7"/>
      <c r="AMJ108" s="7"/>
    </row>
    <row r="109" s="172" customFormat="true" ht="15.75" hidden="false" customHeight="true" outlineLevel="0" collapsed="false">
      <c r="A109" s="7"/>
      <c r="B109" s="41"/>
      <c r="C109" s="168" t="s">
        <v>104</v>
      </c>
      <c r="D109" s="169" t="n">
        <v>40</v>
      </c>
      <c r="E109" s="170" t="n">
        <v>4</v>
      </c>
      <c r="F109" s="97"/>
      <c r="G109" s="24"/>
      <c r="H109" s="41"/>
      <c r="I109" s="168" t="s">
        <v>104</v>
      </c>
      <c r="J109" s="169" t="n">
        <v>40</v>
      </c>
      <c r="K109" s="170" t="n">
        <v>4</v>
      </c>
      <c r="L109" s="9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  <c r="KS109" s="7"/>
      <c r="KT109" s="7"/>
      <c r="KU109" s="7"/>
      <c r="KV109" s="7"/>
      <c r="KW109" s="7"/>
      <c r="KX109" s="7"/>
      <c r="KY109" s="7"/>
      <c r="KZ109" s="7"/>
      <c r="LA109" s="7"/>
      <c r="LB109" s="7"/>
      <c r="LC109" s="7"/>
      <c r="LD109" s="7"/>
      <c r="LE109" s="7"/>
      <c r="LF109" s="7"/>
      <c r="LG109" s="7"/>
      <c r="LH109" s="7"/>
      <c r="LI109" s="7"/>
      <c r="LJ109" s="7"/>
      <c r="LK109" s="7"/>
      <c r="LL109" s="7"/>
      <c r="LM109" s="7"/>
      <c r="LN109" s="7"/>
      <c r="LO109" s="7"/>
      <c r="LP109" s="7"/>
      <c r="LQ109" s="7"/>
      <c r="LR109" s="7"/>
      <c r="LS109" s="7"/>
      <c r="LT109" s="7"/>
      <c r="LU109" s="7"/>
      <c r="LV109" s="7"/>
      <c r="LW109" s="7"/>
      <c r="LX109" s="7"/>
      <c r="LY109" s="7"/>
      <c r="LZ109" s="7"/>
      <c r="MA109" s="7"/>
      <c r="MB109" s="7"/>
      <c r="MC109" s="7"/>
      <c r="MD109" s="7"/>
      <c r="ME109" s="7"/>
      <c r="MF109" s="7"/>
      <c r="MG109" s="7"/>
      <c r="MH109" s="7"/>
      <c r="MI109" s="7"/>
      <c r="MJ109" s="7"/>
      <c r="MK109" s="7"/>
      <c r="ML109" s="7"/>
      <c r="MM109" s="7"/>
      <c r="MN109" s="7"/>
      <c r="MO109" s="7"/>
      <c r="MP109" s="7"/>
      <c r="MQ109" s="7"/>
      <c r="MR109" s="7"/>
      <c r="MS109" s="7"/>
      <c r="MT109" s="7"/>
      <c r="MU109" s="7"/>
      <c r="MV109" s="7"/>
      <c r="MW109" s="7"/>
      <c r="MX109" s="7"/>
      <c r="MY109" s="7"/>
      <c r="MZ109" s="7"/>
      <c r="NA109" s="7"/>
      <c r="NB109" s="7"/>
      <c r="NC109" s="7"/>
      <c r="ND109" s="7"/>
      <c r="NE109" s="7"/>
      <c r="NF109" s="7"/>
      <c r="NG109" s="7"/>
      <c r="NH109" s="7"/>
      <c r="NI109" s="7"/>
      <c r="NJ109" s="7"/>
      <c r="NK109" s="7"/>
      <c r="NL109" s="7"/>
      <c r="NM109" s="7"/>
      <c r="NN109" s="7"/>
      <c r="NO109" s="7"/>
      <c r="NP109" s="7"/>
      <c r="NQ109" s="7"/>
      <c r="NR109" s="7"/>
      <c r="NS109" s="7"/>
      <c r="NT109" s="7"/>
      <c r="NU109" s="7"/>
      <c r="NV109" s="7"/>
      <c r="NW109" s="7"/>
      <c r="NX109" s="7"/>
      <c r="NY109" s="7"/>
      <c r="NZ109" s="7"/>
      <c r="OA109" s="7"/>
      <c r="OB109" s="7"/>
      <c r="OC109" s="7"/>
      <c r="OD109" s="7"/>
      <c r="OE109" s="7"/>
      <c r="OF109" s="7"/>
      <c r="OG109" s="7"/>
      <c r="OH109" s="7"/>
      <c r="OI109" s="7"/>
      <c r="OJ109" s="7"/>
      <c r="OK109" s="7"/>
      <c r="OL109" s="7"/>
      <c r="OM109" s="7"/>
      <c r="ON109" s="7"/>
      <c r="OO109" s="7"/>
      <c r="OP109" s="7"/>
      <c r="OQ109" s="7"/>
      <c r="OR109" s="7"/>
      <c r="OS109" s="7"/>
      <c r="OT109" s="7"/>
      <c r="OU109" s="7"/>
      <c r="OV109" s="7"/>
      <c r="OW109" s="7"/>
      <c r="OX109" s="7"/>
      <c r="OY109" s="7"/>
      <c r="OZ109" s="7"/>
      <c r="PA109" s="7"/>
      <c r="PB109" s="7"/>
      <c r="PC109" s="7"/>
      <c r="PD109" s="7"/>
      <c r="PE109" s="7"/>
      <c r="PF109" s="7"/>
      <c r="PG109" s="7"/>
      <c r="PH109" s="7"/>
      <c r="PI109" s="7"/>
      <c r="PJ109" s="7"/>
      <c r="PK109" s="7"/>
      <c r="PL109" s="7"/>
      <c r="PM109" s="7"/>
      <c r="PN109" s="7"/>
      <c r="PO109" s="7"/>
      <c r="PP109" s="7"/>
      <c r="PQ109" s="7"/>
      <c r="PR109" s="7"/>
      <c r="PS109" s="7"/>
      <c r="PT109" s="7"/>
      <c r="PU109" s="7"/>
      <c r="PV109" s="7"/>
      <c r="PW109" s="7"/>
      <c r="PX109" s="7"/>
      <c r="PY109" s="7"/>
      <c r="PZ109" s="7"/>
      <c r="QA109" s="7"/>
      <c r="QB109" s="7"/>
      <c r="QC109" s="7"/>
      <c r="QD109" s="7"/>
      <c r="QE109" s="7"/>
      <c r="QF109" s="7"/>
      <c r="QG109" s="7"/>
      <c r="QH109" s="7"/>
      <c r="QI109" s="7"/>
      <c r="QJ109" s="7"/>
      <c r="QK109" s="7"/>
      <c r="QL109" s="7"/>
      <c r="QM109" s="7"/>
      <c r="QN109" s="7"/>
      <c r="QO109" s="7"/>
      <c r="QP109" s="7"/>
      <c r="QQ109" s="7"/>
      <c r="QR109" s="7"/>
      <c r="QS109" s="7"/>
      <c r="QT109" s="7"/>
      <c r="QU109" s="7"/>
      <c r="QV109" s="7"/>
      <c r="QW109" s="7"/>
      <c r="QX109" s="7"/>
      <c r="QY109" s="7"/>
      <c r="QZ109" s="7"/>
      <c r="RA109" s="7"/>
      <c r="RB109" s="7"/>
      <c r="RC109" s="7"/>
      <c r="RD109" s="7"/>
      <c r="RE109" s="7"/>
      <c r="RF109" s="7"/>
      <c r="RG109" s="7"/>
      <c r="RH109" s="7"/>
      <c r="RI109" s="7"/>
      <c r="RJ109" s="7"/>
      <c r="RK109" s="7"/>
      <c r="RL109" s="7"/>
      <c r="RM109" s="7"/>
      <c r="RN109" s="7"/>
      <c r="RO109" s="7"/>
      <c r="RP109" s="7"/>
      <c r="RQ109" s="7"/>
      <c r="RR109" s="7"/>
      <c r="RS109" s="7"/>
      <c r="RT109" s="7"/>
      <c r="RU109" s="7"/>
      <c r="RV109" s="7"/>
      <c r="RW109" s="7"/>
      <c r="RX109" s="7"/>
      <c r="RY109" s="7"/>
      <c r="RZ109" s="7"/>
      <c r="SA109" s="7"/>
      <c r="SB109" s="7"/>
      <c r="SC109" s="7"/>
      <c r="SD109" s="7"/>
      <c r="SE109" s="7"/>
      <c r="SF109" s="7"/>
      <c r="SG109" s="7"/>
      <c r="SH109" s="7"/>
      <c r="SI109" s="7"/>
      <c r="SJ109" s="7"/>
      <c r="SK109" s="7"/>
      <c r="SL109" s="7"/>
      <c r="SM109" s="7"/>
      <c r="SN109" s="7"/>
      <c r="SO109" s="7"/>
      <c r="SP109" s="7"/>
      <c r="SQ109" s="7"/>
      <c r="SR109" s="7"/>
      <c r="SS109" s="7"/>
      <c r="ST109" s="7"/>
      <c r="SU109" s="7"/>
      <c r="SV109" s="7"/>
      <c r="SW109" s="7"/>
      <c r="SX109" s="7"/>
      <c r="SY109" s="7"/>
      <c r="SZ109" s="7"/>
      <c r="TA109" s="7"/>
      <c r="TB109" s="7"/>
      <c r="TC109" s="7"/>
      <c r="TD109" s="7"/>
      <c r="TE109" s="7"/>
      <c r="TF109" s="7"/>
      <c r="TG109" s="7"/>
      <c r="TH109" s="7"/>
      <c r="TI109" s="7"/>
      <c r="TJ109" s="7"/>
      <c r="TK109" s="7"/>
      <c r="TL109" s="7"/>
      <c r="TM109" s="7"/>
      <c r="TN109" s="7"/>
      <c r="TO109" s="7"/>
      <c r="TP109" s="7"/>
      <c r="TQ109" s="7"/>
      <c r="TR109" s="7"/>
      <c r="TS109" s="7"/>
      <c r="TT109" s="7"/>
      <c r="TU109" s="7"/>
      <c r="TV109" s="7"/>
      <c r="TW109" s="7"/>
      <c r="TX109" s="7"/>
      <c r="TY109" s="7"/>
      <c r="TZ109" s="7"/>
      <c r="UA109" s="7"/>
      <c r="UB109" s="7"/>
      <c r="UC109" s="7"/>
      <c r="UD109" s="7"/>
      <c r="UE109" s="7"/>
      <c r="UF109" s="7"/>
      <c r="UG109" s="7"/>
      <c r="UH109" s="7"/>
      <c r="UI109" s="7"/>
      <c r="UJ109" s="7"/>
      <c r="UK109" s="7"/>
      <c r="UL109" s="7"/>
      <c r="UM109" s="7"/>
      <c r="UN109" s="7"/>
      <c r="UO109" s="7"/>
      <c r="UP109" s="7"/>
      <c r="UQ109" s="7"/>
      <c r="UR109" s="7"/>
      <c r="US109" s="7"/>
      <c r="UT109" s="7"/>
      <c r="UU109" s="7"/>
      <c r="UV109" s="7"/>
      <c r="UW109" s="7"/>
      <c r="UX109" s="7"/>
      <c r="UY109" s="7"/>
      <c r="UZ109" s="7"/>
      <c r="VA109" s="7"/>
      <c r="VB109" s="7"/>
      <c r="VC109" s="7"/>
      <c r="VD109" s="7"/>
      <c r="VE109" s="7"/>
      <c r="VF109" s="7"/>
      <c r="VG109" s="7"/>
      <c r="VH109" s="7"/>
      <c r="VI109" s="7"/>
      <c r="VJ109" s="7"/>
      <c r="VK109" s="7"/>
      <c r="VL109" s="7"/>
      <c r="VM109" s="7"/>
      <c r="VN109" s="7"/>
      <c r="VO109" s="7"/>
      <c r="VP109" s="7"/>
      <c r="VQ109" s="7"/>
      <c r="VR109" s="7"/>
      <c r="VS109" s="7"/>
      <c r="VT109" s="7"/>
      <c r="VU109" s="7"/>
      <c r="VV109" s="7"/>
      <c r="VW109" s="7"/>
      <c r="VX109" s="7"/>
      <c r="VY109" s="7"/>
      <c r="VZ109" s="7"/>
      <c r="WA109" s="7"/>
      <c r="WB109" s="7"/>
      <c r="WC109" s="7"/>
      <c r="WD109" s="7"/>
      <c r="WE109" s="7"/>
      <c r="WF109" s="7"/>
      <c r="WG109" s="7"/>
      <c r="WH109" s="7"/>
      <c r="WI109" s="7"/>
      <c r="WJ109" s="7"/>
      <c r="WK109" s="7"/>
      <c r="WL109" s="7"/>
      <c r="WM109" s="7"/>
      <c r="WN109" s="7"/>
      <c r="WO109" s="7"/>
      <c r="WP109" s="7"/>
      <c r="WQ109" s="7"/>
      <c r="WR109" s="7"/>
      <c r="WS109" s="7"/>
      <c r="WT109" s="7"/>
      <c r="WU109" s="7"/>
      <c r="WV109" s="7"/>
      <c r="WW109" s="7"/>
      <c r="WX109" s="7"/>
      <c r="WY109" s="7"/>
      <c r="WZ109" s="7"/>
      <c r="XA109" s="7"/>
      <c r="XB109" s="7"/>
      <c r="XC109" s="7"/>
      <c r="XD109" s="7"/>
      <c r="XE109" s="7"/>
      <c r="XF109" s="7"/>
      <c r="XG109" s="7"/>
      <c r="XH109" s="7"/>
      <c r="XI109" s="7"/>
      <c r="XJ109" s="7"/>
      <c r="XK109" s="7"/>
      <c r="XL109" s="7"/>
      <c r="XM109" s="7"/>
      <c r="XN109" s="7"/>
      <c r="XO109" s="7"/>
      <c r="XP109" s="7"/>
      <c r="XQ109" s="7"/>
      <c r="XR109" s="7"/>
      <c r="XS109" s="7"/>
      <c r="XT109" s="7"/>
      <c r="XU109" s="7"/>
      <c r="XV109" s="7"/>
      <c r="XW109" s="7"/>
      <c r="XX109" s="7"/>
      <c r="XY109" s="7"/>
      <c r="XZ109" s="7"/>
      <c r="YA109" s="7"/>
      <c r="YB109" s="7"/>
      <c r="YC109" s="7"/>
      <c r="YD109" s="7"/>
      <c r="YE109" s="7"/>
      <c r="YF109" s="7"/>
      <c r="YG109" s="7"/>
      <c r="YH109" s="7"/>
      <c r="YI109" s="7"/>
      <c r="YJ109" s="7"/>
      <c r="YK109" s="7"/>
      <c r="YL109" s="7"/>
      <c r="YM109" s="7"/>
      <c r="YN109" s="7"/>
      <c r="YO109" s="7"/>
      <c r="YP109" s="7"/>
      <c r="YQ109" s="7"/>
      <c r="YR109" s="7"/>
      <c r="YS109" s="7"/>
      <c r="YT109" s="7"/>
      <c r="YU109" s="7"/>
      <c r="YV109" s="7"/>
      <c r="YW109" s="7"/>
      <c r="YX109" s="7"/>
      <c r="YY109" s="7"/>
      <c r="YZ109" s="7"/>
      <c r="ZA109" s="7"/>
      <c r="ZB109" s="7"/>
      <c r="ZC109" s="7"/>
      <c r="ZD109" s="7"/>
      <c r="ZE109" s="7"/>
      <c r="ZF109" s="7"/>
      <c r="ZG109" s="7"/>
      <c r="ZH109" s="7"/>
      <c r="ZI109" s="7"/>
      <c r="ZJ109" s="7"/>
      <c r="ZK109" s="7"/>
      <c r="ZL109" s="7"/>
      <c r="ZM109" s="7"/>
      <c r="ZN109" s="7"/>
      <c r="ZO109" s="7"/>
      <c r="ZP109" s="7"/>
      <c r="ZQ109" s="7"/>
      <c r="ZR109" s="7"/>
      <c r="ZS109" s="7"/>
      <c r="ZT109" s="7"/>
      <c r="ZU109" s="7"/>
      <c r="ZV109" s="7"/>
      <c r="ZW109" s="7"/>
      <c r="ZX109" s="7"/>
      <c r="ZY109" s="7"/>
      <c r="ZZ109" s="7"/>
      <c r="AAA109" s="7"/>
      <c r="AAB109" s="7"/>
      <c r="AAC109" s="7"/>
      <c r="AAD109" s="7"/>
      <c r="AAE109" s="7"/>
      <c r="AAF109" s="7"/>
      <c r="AAG109" s="7"/>
      <c r="AAH109" s="7"/>
      <c r="AAI109" s="7"/>
      <c r="AAJ109" s="7"/>
      <c r="AAK109" s="7"/>
      <c r="AAL109" s="7"/>
      <c r="AAM109" s="7"/>
      <c r="AAN109" s="7"/>
      <c r="AAO109" s="7"/>
      <c r="AAP109" s="7"/>
      <c r="AAQ109" s="7"/>
      <c r="AAR109" s="7"/>
      <c r="AAS109" s="7"/>
      <c r="AAT109" s="7"/>
      <c r="AAU109" s="7"/>
      <c r="AAV109" s="7"/>
      <c r="AAW109" s="7"/>
      <c r="AAX109" s="7"/>
      <c r="AAY109" s="7"/>
      <c r="AAZ109" s="7"/>
      <c r="ABA109" s="7"/>
      <c r="ABB109" s="7"/>
      <c r="ABC109" s="7"/>
      <c r="ABD109" s="7"/>
      <c r="ABE109" s="7"/>
      <c r="ABF109" s="7"/>
      <c r="ABG109" s="7"/>
      <c r="ABH109" s="7"/>
      <c r="ABI109" s="7"/>
      <c r="ABJ109" s="7"/>
      <c r="ABK109" s="7"/>
      <c r="ABL109" s="7"/>
      <c r="ABM109" s="7"/>
      <c r="ABN109" s="7"/>
      <c r="ABO109" s="7"/>
      <c r="ABP109" s="7"/>
      <c r="ABQ109" s="7"/>
      <c r="ABR109" s="7"/>
      <c r="ABS109" s="7"/>
      <c r="ABT109" s="7"/>
      <c r="ABU109" s="7"/>
      <c r="ABV109" s="7"/>
      <c r="ABW109" s="7"/>
      <c r="ABX109" s="7"/>
      <c r="ABY109" s="7"/>
      <c r="ABZ109" s="7"/>
      <c r="ACA109" s="7"/>
      <c r="ACB109" s="7"/>
      <c r="ACC109" s="7"/>
      <c r="ACD109" s="7"/>
      <c r="ACE109" s="7"/>
      <c r="ACF109" s="7"/>
      <c r="ACG109" s="7"/>
      <c r="ACH109" s="7"/>
      <c r="ACI109" s="7"/>
      <c r="ACJ109" s="7"/>
      <c r="ACK109" s="7"/>
      <c r="ACL109" s="7"/>
      <c r="ACM109" s="7"/>
      <c r="ACN109" s="7"/>
      <c r="ACO109" s="7"/>
      <c r="ACP109" s="7"/>
      <c r="ACQ109" s="7"/>
      <c r="ACR109" s="7"/>
      <c r="ACS109" s="7"/>
      <c r="ACT109" s="7"/>
      <c r="ACU109" s="7"/>
      <c r="ACV109" s="7"/>
      <c r="ACW109" s="7"/>
      <c r="ACX109" s="7"/>
      <c r="ACY109" s="7"/>
      <c r="ACZ109" s="7"/>
      <c r="ADA109" s="7"/>
      <c r="ADB109" s="7"/>
      <c r="ADC109" s="7"/>
      <c r="ADD109" s="7"/>
      <c r="ADE109" s="7"/>
      <c r="ADF109" s="7"/>
      <c r="ADG109" s="7"/>
      <c r="ADH109" s="7"/>
      <c r="ADI109" s="7"/>
      <c r="ADJ109" s="7"/>
      <c r="ADK109" s="7"/>
      <c r="ADL109" s="7"/>
      <c r="ADM109" s="7"/>
      <c r="ADN109" s="7"/>
      <c r="ADO109" s="7"/>
      <c r="ADP109" s="7"/>
      <c r="ADQ109" s="7"/>
      <c r="ADR109" s="7"/>
      <c r="ADS109" s="7"/>
      <c r="ADT109" s="7"/>
      <c r="ADU109" s="7"/>
      <c r="ADV109" s="7"/>
      <c r="ADW109" s="7"/>
      <c r="ADX109" s="7"/>
      <c r="ADY109" s="7"/>
      <c r="ADZ109" s="7"/>
      <c r="AEA109" s="7"/>
      <c r="AEB109" s="7"/>
      <c r="AEC109" s="7"/>
      <c r="AED109" s="7"/>
      <c r="AEE109" s="7"/>
      <c r="AEF109" s="7"/>
      <c r="AEG109" s="7"/>
      <c r="AEH109" s="7"/>
      <c r="AEI109" s="7"/>
      <c r="AEJ109" s="7"/>
      <c r="AEK109" s="7"/>
      <c r="AEL109" s="7"/>
      <c r="AEM109" s="7"/>
      <c r="AEN109" s="7"/>
      <c r="AEO109" s="7"/>
      <c r="AEP109" s="7"/>
      <c r="AEQ109" s="7"/>
      <c r="AER109" s="7"/>
      <c r="AES109" s="7"/>
      <c r="AET109" s="7"/>
      <c r="AEU109" s="7"/>
      <c r="AEV109" s="7"/>
      <c r="AEW109" s="7"/>
      <c r="AEX109" s="7"/>
      <c r="AEY109" s="7"/>
      <c r="AEZ109" s="7"/>
      <c r="AFA109" s="7"/>
      <c r="AFB109" s="7"/>
      <c r="AFC109" s="7"/>
      <c r="AFD109" s="7"/>
      <c r="AFE109" s="7"/>
      <c r="AFF109" s="7"/>
      <c r="AFG109" s="7"/>
      <c r="AFH109" s="7"/>
      <c r="AFI109" s="7"/>
      <c r="AFJ109" s="7"/>
      <c r="AFK109" s="7"/>
      <c r="AFL109" s="7"/>
      <c r="AFM109" s="7"/>
      <c r="AFN109" s="7"/>
      <c r="AFO109" s="7"/>
      <c r="AFP109" s="7"/>
      <c r="AFQ109" s="7"/>
      <c r="AFR109" s="7"/>
      <c r="AFS109" s="7"/>
      <c r="AFT109" s="7"/>
      <c r="AFU109" s="7"/>
      <c r="AFV109" s="7"/>
      <c r="AFW109" s="7"/>
      <c r="AFX109" s="7"/>
      <c r="AFY109" s="7"/>
      <c r="AFZ109" s="7"/>
      <c r="AGA109" s="7"/>
      <c r="AGB109" s="7"/>
      <c r="AGC109" s="7"/>
      <c r="AGD109" s="7"/>
      <c r="AGE109" s="7"/>
      <c r="AGF109" s="7"/>
      <c r="AGG109" s="7"/>
      <c r="AGH109" s="7"/>
      <c r="AGI109" s="7"/>
      <c r="AGJ109" s="7"/>
      <c r="AGK109" s="7"/>
      <c r="AGL109" s="7"/>
      <c r="AGM109" s="7"/>
      <c r="AGN109" s="7"/>
      <c r="AGO109" s="7"/>
      <c r="AGP109" s="7"/>
      <c r="AGQ109" s="7"/>
      <c r="AGR109" s="7"/>
      <c r="AGS109" s="7"/>
      <c r="AGT109" s="7"/>
      <c r="AGU109" s="7"/>
      <c r="AGV109" s="7"/>
      <c r="AGW109" s="7"/>
      <c r="AGX109" s="7"/>
      <c r="AGY109" s="7"/>
      <c r="AGZ109" s="7"/>
      <c r="AHA109" s="7"/>
      <c r="AHB109" s="7"/>
      <c r="AHC109" s="7"/>
      <c r="AHD109" s="7"/>
      <c r="AHE109" s="7"/>
      <c r="AHF109" s="7"/>
      <c r="AHG109" s="7"/>
      <c r="AHH109" s="7"/>
      <c r="AHI109" s="7"/>
      <c r="AHJ109" s="7"/>
      <c r="AHK109" s="7"/>
      <c r="AHL109" s="7"/>
      <c r="AHM109" s="7"/>
      <c r="AHN109" s="7"/>
      <c r="AHO109" s="7"/>
      <c r="AHP109" s="7"/>
      <c r="AHQ109" s="7"/>
      <c r="AHR109" s="7"/>
      <c r="AHS109" s="7"/>
      <c r="AHT109" s="7"/>
      <c r="AHU109" s="7"/>
      <c r="AHV109" s="7"/>
      <c r="AHW109" s="7"/>
      <c r="AHX109" s="7"/>
      <c r="AHY109" s="7"/>
      <c r="AHZ109" s="7"/>
      <c r="AIA109" s="7"/>
      <c r="AIB109" s="7"/>
      <c r="AIC109" s="7"/>
      <c r="AID109" s="7"/>
      <c r="AIE109" s="7"/>
      <c r="AIF109" s="7"/>
      <c r="AIG109" s="7"/>
      <c r="AIH109" s="7"/>
      <c r="AII109" s="7"/>
      <c r="AIJ109" s="7"/>
      <c r="AIK109" s="7"/>
      <c r="AIL109" s="7"/>
      <c r="AIM109" s="7"/>
      <c r="AIN109" s="7"/>
      <c r="AIO109" s="7"/>
      <c r="AIP109" s="7"/>
      <c r="AIQ109" s="7"/>
      <c r="AIR109" s="7"/>
      <c r="AIS109" s="7"/>
      <c r="AIT109" s="7"/>
      <c r="AIU109" s="7"/>
      <c r="AIV109" s="7"/>
      <c r="AIW109" s="7"/>
      <c r="AIX109" s="7"/>
      <c r="AIY109" s="7"/>
      <c r="AIZ109" s="7"/>
      <c r="AJA109" s="7"/>
      <c r="AJB109" s="7"/>
      <c r="AJC109" s="7"/>
      <c r="AJD109" s="7"/>
      <c r="AJE109" s="7"/>
      <c r="AJF109" s="7"/>
      <c r="AJG109" s="7"/>
      <c r="AJH109" s="7"/>
      <c r="AJI109" s="7"/>
      <c r="AJJ109" s="7"/>
      <c r="AJK109" s="7"/>
      <c r="AJL109" s="7"/>
      <c r="AJM109" s="7"/>
      <c r="AJN109" s="7"/>
      <c r="AJO109" s="7"/>
      <c r="AJP109" s="7"/>
      <c r="AJQ109" s="7"/>
      <c r="AJR109" s="7"/>
      <c r="AJS109" s="7"/>
      <c r="AJT109" s="7"/>
      <c r="AJU109" s="7"/>
      <c r="AJV109" s="7"/>
      <c r="AJW109" s="7"/>
      <c r="AJX109" s="7"/>
      <c r="AJY109" s="7"/>
      <c r="AJZ109" s="7"/>
      <c r="AKA109" s="7"/>
      <c r="AKB109" s="7"/>
      <c r="AKC109" s="7"/>
      <c r="AKD109" s="7"/>
      <c r="AKE109" s="7"/>
      <c r="AKF109" s="7"/>
      <c r="AKG109" s="7"/>
      <c r="AKH109" s="7"/>
      <c r="AKI109" s="7"/>
      <c r="AKJ109" s="7"/>
      <c r="AKK109" s="7"/>
      <c r="AKL109" s="7"/>
      <c r="AKM109" s="7"/>
      <c r="AKN109" s="7"/>
      <c r="AKO109" s="7"/>
      <c r="AKP109" s="7"/>
      <c r="AKQ109" s="7"/>
      <c r="AKR109" s="7"/>
      <c r="AKS109" s="7"/>
      <c r="AKT109" s="7"/>
      <c r="AKU109" s="7"/>
      <c r="AKV109" s="7"/>
      <c r="AKW109" s="7"/>
      <c r="AKX109" s="7"/>
      <c r="AKY109" s="7"/>
      <c r="AKZ109" s="7"/>
      <c r="ALA109" s="7"/>
      <c r="ALB109" s="7"/>
      <c r="ALC109" s="7"/>
      <c r="ALD109" s="7"/>
      <c r="ALE109" s="7"/>
      <c r="ALF109" s="7"/>
      <c r="ALG109" s="7"/>
      <c r="ALH109" s="7"/>
      <c r="ALI109" s="7"/>
      <c r="ALJ109" s="7"/>
      <c r="ALK109" s="7"/>
      <c r="ALL109" s="7"/>
      <c r="ALM109" s="7"/>
      <c r="ALN109" s="7"/>
      <c r="ALO109" s="7"/>
      <c r="ALP109" s="7"/>
      <c r="ALQ109" s="7"/>
      <c r="ALR109" s="7"/>
      <c r="ALS109" s="7"/>
      <c r="ALT109" s="7"/>
      <c r="ALU109" s="7"/>
      <c r="ALV109" s="7"/>
      <c r="ALW109" s="7"/>
      <c r="ALX109" s="7"/>
      <c r="ALY109" s="7"/>
      <c r="ALZ109" s="7"/>
      <c r="AMA109" s="7"/>
      <c r="AMB109" s="7"/>
      <c r="AMC109" s="7"/>
      <c r="AMD109" s="7"/>
      <c r="AME109" s="7"/>
      <c r="AMF109" s="7"/>
      <c r="AMG109" s="7"/>
      <c r="AMH109" s="7"/>
      <c r="AMI109" s="7"/>
      <c r="AMJ109" s="7"/>
    </row>
    <row r="110" s="172" customFormat="true" ht="15.75" hidden="false" customHeight="true" outlineLevel="0" collapsed="false">
      <c r="A110" s="7"/>
      <c r="B110" s="101" t="s">
        <v>105</v>
      </c>
      <c r="C110" s="49" t="s">
        <v>29</v>
      </c>
      <c r="D110" s="49"/>
      <c r="E110" s="49"/>
      <c r="F110" s="145" t="n">
        <v>2</v>
      </c>
      <c r="G110" s="24"/>
      <c r="H110" s="101" t="s">
        <v>105</v>
      </c>
      <c r="I110" s="49" t="s">
        <v>29</v>
      </c>
      <c r="J110" s="49"/>
      <c r="K110" s="49"/>
      <c r="L110" s="145" t="n">
        <v>2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  <c r="KS110" s="7"/>
      <c r="KT110" s="7"/>
      <c r="KU110" s="7"/>
      <c r="KV110" s="7"/>
      <c r="KW110" s="7"/>
      <c r="KX110" s="7"/>
      <c r="KY110" s="7"/>
      <c r="KZ110" s="7"/>
      <c r="LA110" s="7"/>
      <c r="LB110" s="7"/>
      <c r="LC110" s="7"/>
      <c r="LD110" s="7"/>
      <c r="LE110" s="7"/>
      <c r="LF110" s="7"/>
      <c r="LG110" s="7"/>
      <c r="LH110" s="7"/>
      <c r="LI110" s="7"/>
      <c r="LJ110" s="7"/>
      <c r="LK110" s="7"/>
      <c r="LL110" s="7"/>
      <c r="LM110" s="7"/>
      <c r="LN110" s="7"/>
      <c r="LO110" s="7"/>
      <c r="LP110" s="7"/>
      <c r="LQ110" s="7"/>
      <c r="LR110" s="7"/>
      <c r="LS110" s="7"/>
      <c r="LT110" s="7"/>
      <c r="LU110" s="7"/>
      <c r="LV110" s="7"/>
      <c r="LW110" s="7"/>
      <c r="LX110" s="7"/>
      <c r="LY110" s="7"/>
      <c r="LZ110" s="7"/>
      <c r="MA110" s="7"/>
      <c r="MB110" s="7"/>
      <c r="MC110" s="7"/>
      <c r="MD110" s="7"/>
      <c r="ME110" s="7"/>
      <c r="MF110" s="7"/>
      <c r="MG110" s="7"/>
      <c r="MH110" s="7"/>
      <c r="MI110" s="7"/>
      <c r="MJ110" s="7"/>
      <c r="MK110" s="7"/>
      <c r="ML110" s="7"/>
      <c r="MM110" s="7"/>
      <c r="MN110" s="7"/>
      <c r="MO110" s="7"/>
      <c r="MP110" s="7"/>
      <c r="MQ110" s="7"/>
      <c r="MR110" s="7"/>
      <c r="MS110" s="7"/>
      <c r="MT110" s="7"/>
      <c r="MU110" s="7"/>
      <c r="MV110" s="7"/>
      <c r="MW110" s="7"/>
      <c r="MX110" s="7"/>
      <c r="MY110" s="7"/>
      <c r="MZ110" s="7"/>
      <c r="NA110" s="7"/>
      <c r="NB110" s="7"/>
      <c r="NC110" s="7"/>
      <c r="ND110" s="7"/>
      <c r="NE110" s="7"/>
      <c r="NF110" s="7"/>
      <c r="NG110" s="7"/>
      <c r="NH110" s="7"/>
      <c r="NI110" s="7"/>
      <c r="NJ110" s="7"/>
      <c r="NK110" s="7"/>
      <c r="NL110" s="7"/>
      <c r="NM110" s="7"/>
      <c r="NN110" s="7"/>
      <c r="NO110" s="7"/>
      <c r="NP110" s="7"/>
      <c r="NQ110" s="7"/>
      <c r="NR110" s="7"/>
      <c r="NS110" s="7"/>
      <c r="NT110" s="7"/>
      <c r="NU110" s="7"/>
      <c r="NV110" s="7"/>
      <c r="NW110" s="7"/>
      <c r="NX110" s="7"/>
      <c r="NY110" s="7"/>
      <c r="NZ110" s="7"/>
      <c r="OA110" s="7"/>
      <c r="OB110" s="7"/>
      <c r="OC110" s="7"/>
      <c r="OD110" s="7"/>
      <c r="OE110" s="7"/>
      <c r="OF110" s="7"/>
      <c r="OG110" s="7"/>
      <c r="OH110" s="7"/>
      <c r="OI110" s="7"/>
      <c r="OJ110" s="7"/>
      <c r="OK110" s="7"/>
      <c r="OL110" s="7"/>
      <c r="OM110" s="7"/>
      <c r="ON110" s="7"/>
      <c r="OO110" s="7"/>
      <c r="OP110" s="7"/>
      <c r="OQ110" s="7"/>
      <c r="OR110" s="7"/>
      <c r="OS110" s="7"/>
      <c r="OT110" s="7"/>
      <c r="OU110" s="7"/>
      <c r="OV110" s="7"/>
      <c r="OW110" s="7"/>
      <c r="OX110" s="7"/>
      <c r="OY110" s="7"/>
      <c r="OZ110" s="7"/>
      <c r="PA110" s="7"/>
      <c r="PB110" s="7"/>
      <c r="PC110" s="7"/>
      <c r="PD110" s="7"/>
      <c r="PE110" s="7"/>
      <c r="PF110" s="7"/>
      <c r="PG110" s="7"/>
      <c r="PH110" s="7"/>
      <c r="PI110" s="7"/>
      <c r="PJ110" s="7"/>
      <c r="PK110" s="7"/>
      <c r="PL110" s="7"/>
      <c r="PM110" s="7"/>
      <c r="PN110" s="7"/>
      <c r="PO110" s="7"/>
      <c r="PP110" s="7"/>
      <c r="PQ110" s="7"/>
      <c r="PR110" s="7"/>
      <c r="PS110" s="7"/>
      <c r="PT110" s="7"/>
      <c r="PU110" s="7"/>
      <c r="PV110" s="7"/>
      <c r="PW110" s="7"/>
      <c r="PX110" s="7"/>
      <c r="PY110" s="7"/>
      <c r="PZ110" s="7"/>
      <c r="QA110" s="7"/>
      <c r="QB110" s="7"/>
      <c r="QC110" s="7"/>
      <c r="QD110" s="7"/>
      <c r="QE110" s="7"/>
      <c r="QF110" s="7"/>
      <c r="QG110" s="7"/>
      <c r="QH110" s="7"/>
      <c r="QI110" s="7"/>
      <c r="QJ110" s="7"/>
      <c r="QK110" s="7"/>
      <c r="QL110" s="7"/>
      <c r="QM110" s="7"/>
      <c r="QN110" s="7"/>
      <c r="QO110" s="7"/>
      <c r="QP110" s="7"/>
      <c r="QQ110" s="7"/>
      <c r="QR110" s="7"/>
      <c r="QS110" s="7"/>
      <c r="QT110" s="7"/>
      <c r="QU110" s="7"/>
      <c r="QV110" s="7"/>
      <c r="QW110" s="7"/>
      <c r="QX110" s="7"/>
      <c r="QY110" s="7"/>
      <c r="QZ110" s="7"/>
      <c r="RA110" s="7"/>
      <c r="RB110" s="7"/>
      <c r="RC110" s="7"/>
      <c r="RD110" s="7"/>
      <c r="RE110" s="7"/>
      <c r="RF110" s="7"/>
      <c r="RG110" s="7"/>
      <c r="RH110" s="7"/>
      <c r="RI110" s="7"/>
      <c r="RJ110" s="7"/>
      <c r="RK110" s="7"/>
      <c r="RL110" s="7"/>
      <c r="RM110" s="7"/>
      <c r="RN110" s="7"/>
      <c r="RO110" s="7"/>
      <c r="RP110" s="7"/>
      <c r="RQ110" s="7"/>
      <c r="RR110" s="7"/>
      <c r="RS110" s="7"/>
      <c r="RT110" s="7"/>
      <c r="RU110" s="7"/>
      <c r="RV110" s="7"/>
      <c r="RW110" s="7"/>
      <c r="RX110" s="7"/>
      <c r="RY110" s="7"/>
      <c r="RZ110" s="7"/>
      <c r="SA110" s="7"/>
      <c r="SB110" s="7"/>
      <c r="SC110" s="7"/>
      <c r="SD110" s="7"/>
      <c r="SE110" s="7"/>
      <c r="SF110" s="7"/>
      <c r="SG110" s="7"/>
      <c r="SH110" s="7"/>
      <c r="SI110" s="7"/>
      <c r="SJ110" s="7"/>
      <c r="SK110" s="7"/>
      <c r="SL110" s="7"/>
      <c r="SM110" s="7"/>
      <c r="SN110" s="7"/>
      <c r="SO110" s="7"/>
      <c r="SP110" s="7"/>
      <c r="SQ110" s="7"/>
      <c r="SR110" s="7"/>
      <c r="SS110" s="7"/>
      <c r="ST110" s="7"/>
      <c r="SU110" s="7"/>
      <c r="SV110" s="7"/>
      <c r="SW110" s="7"/>
      <c r="SX110" s="7"/>
      <c r="SY110" s="7"/>
      <c r="SZ110" s="7"/>
      <c r="TA110" s="7"/>
      <c r="TB110" s="7"/>
      <c r="TC110" s="7"/>
      <c r="TD110" s="7"/>
      <c r="TE110" s="7"/>
      <c r="TF110" s="7"/>
      <c r="TG110" s="7"/>
      <c r="TH110" s="7"/>
      <c r="TI110" s="7"/>
      <c r="TJ110" s="7"/>
      <c r="TK110" s="7"/>
      <c r="TL110" s="7"/>
      <c r="TM110" s="7"/>
      <c r="TN110" s="7"/>
      <c r="TO110" s="7"/>
      <c r="TP110" s="7"/>
      <c r="TQ110" s="7"/>
      <c r="TR110" s="7"/>
      <c r="TS110" s="7"/>
      <c r="TT110" s="7"/>
      <c r="TU110" s="7"/>
      <c r="TV110" s="7"/>
      <c r="TW110" s="7"/>
      <c r="TX110" s="7"/>
      <c r="TY110" s="7"/>
      <c r="TZ110" s="7"/>
      <c r="UA110" s="7"/>
      <c r="UB110" s="7"/>
      <c r="UC110" s="7"/>
      <c r="UD110" s="7"/>
      <c r="UE110" s="7"/>
      <c r="UF110" s="7"/>
      <c r="UG110" s="7"/>
      <c r="UH110" s="7"/>
      <c r="UI110" s="7"/>
      <c r="UJ110" s="7"/>
      <c r="UK110" s="7"/>
      <c r="UL110" s="7"/>
      <c r="UM110" s="7"/>
      <c r="UN110" s="7"/>
      <c r="UO110" s="7"/>
      <c r="UP110" s="7"/>
      <c r="UQ110" s="7"/>
      <c r="UR110" s="7"/>
      <c r="US110" s="7"/>
      <c r="UT110" s="7"/>
      <c r="UU110" s="7"/>
      <c r="UV110" s="7"/>
      <c r="UW110" s="7"/>
      <c r="UX110" s="7"/>
      <c r="UY110" s="7"/>
      <c r="UZ110" s="7"/>
      <c r="VA110" s="7"/>
      <c r="VB110" s="7"/>
      <c r="VC110" s="7"/>
      <c r="VD110" s="7"/>
      <c r="VE110" s="7"/>
      <c r="VF110" s="7"/>
      <c r="VG110" s="7"/>
      <c r="VH110" s="7"/>
      <c r="VI110" s="7"/>
      <c r="VJ110" s="7"/>
      <c r="VK110" s="7"/>
      <c r="VL110" s="7"/>
      <c r="VM110" s="7"/>
      <c r="VN110" s="7"/>
      <c r="VO110" s="7"/>
      <c r="VP110" s="7"/>
      <c r="VQ110" s="7"/>
      <c r="VR110" s="7"/>
      <c r="VS110" s="7"/>
      <c r="VT110" s="7"/>
      <c r="VU110" s="7"/>
      <c r="VV110" s="7"/>
      <c r="VW110" s="7"/>
      <c r="VX110" s="7"/>
      <c r="VY110" s="7"/>
      <c r="VZ110" s="7"/>
      <c r="WA110" s="7"/>
      <c r="WB110" s="7"/>
      <c r="WC110" s="7"/>
      <c r="WD110" s="7"/>
      <c r="WE110" s="7"/>
      <c r="WF110" s="7"/>
      <c r="WG110" s="7"/>
      <c r="WH110" s="7"/>
      <c r="WI110" s="7"/>
      <c r="WJ110" s="7"/>
      <c r="WK110" s="7"/>
      <c r="WL110" s="7"/>
      <c r="WM110" s="7"/>
      <c r="WN110" s="7"/>
      <c r="WO110" s="7"/>
      <c r="WP110" s="7"/>
      <c r="WQ110" s="7"/>
      <c r="WR110" s="7"/>
      <c r="WS110" s="7"/>
      <c r="WT110" s="7"/>
      <c r="WU110" s="7"/>
      <c r="WV110" s="7"/>
      <c r="WW110" s="7"/>
      <c r="WX110" s="7"/>
      <c r="WY110" s="7"/>
      <c r="WZ110" s="7"/>
      <c r="XA110" s="7"/>
      <c r="XB110" s="7"/>
      <c r="XC110" s="7"/>
      <c r="XD110" s="7"/>
      <c r="XE110" s="7"/>
      <c r="XF110" s="7"/>
      <c r="XG110" s="7"/>
      <c r="XH110" s="7"/>
      <c r="XI110" s="7"/>
      <c r="XJ110" s="7"/>
      <c r="XK110" s="7"/>
      <c r="XL110" s="7"/>
      <c r="XM110" s="7"/>
      <c r="XN110" s="7"/>
      <c r="XO110" s="7"/>
      <c r="XP110" s="7"/>
      <c r="XQ110" s="7"/>
      <c r="XR110" s="7"/>
      <c r="XS110" s="7"/>
      <c r="XT110" s="7"/>
      <c r="XU110" s="7"/>
      <c r="XV110" s="7"/>
      <c r="XW110" s="7"/>
      <c r="XX110" s="7"/>
      <c r="XY110" s="7"/>
      <c r="XZ110" s="7"/>
      <c r="YA110" s="7"/>
      <c r="YB110" s="7"/>
      <c r="YC110" s="7"/>
      <c r="YD110" s="7"/>
      <c r="YE110" s="7"/>
      <c r="YF110" s="7"/>
      <c r="YG110" s="7"/>
      <c r="YH110" s="7"/>
      <c r="YI110" s="7"/>
      <c r="YJ110" s="7"/>
      <c r="YK110" s="7"/>
      <c r="YL110" s="7"/>
      <c r="YM110" s="7"/>
      <c r="YN110" s="7"/>
      <c r="YO110" s="7"/>
      <c r="YP110" s="7"/>
      <c r="YQ110" s="7"/>
      <c r="YR110" s="7"/>
      <c r="YS110" s="7"/>
      <c r="YT110" s="7"/>
      <c r="YU110" s="7"/>
      <c r="YV110" s="7"/>
      <c r="YW110" s="7"/>
      <c r="YX110" s="7"/>
      <c r="YY110" s="7"/>
      <c r="YZ110" s="7"/>
      <c r="ZA110" s="7"/>
      <c r="ZB110" s="7"/>
      <c r="ZC110" s="7"/>
      <c r="ZD110" s="7"/>
      <c r="ZE110" s="7"/>
      <c r="ZF110" s="7"/>
      <c r="ZG110" s="7"/>
      <c r="ZH110" s="7"/>
      <c r="ZI110" s="7"/>
      <c r="ZJ110" s="7"/>
      <c r="ZK110" s="7"/>
      <c r="ZL110" s="7"/>
      <c r="ZM110" s="7"/>
      <c r="ZN110" s="7"/>
      <c r="ZO110" s="7"/>
      <c r="ZP110" s="7"/>
      <c r="ZQ110" s="7"/>
      <c r="ZR110" s="7"/>
      <c r="ZS110" s="7"/>
      <c r="ZT110" s="7"/>
      <c r="ZU110" s="7"/>
      <c r="ZV110" s="7"/>
      <c r="ZW110" s="7"/>
      <c r="ZX110" s="7"/>
      <c r="ZY110" s="7"/>
      <c r="ZZ110" s="7"/>
      <c r="AAA110" s="7"/>
      <c r="AAB110" s="7"/>
      <c r="AAC110" s="7"/>
      <c r="AAD110" s="7"/>
      <c r="AAE110" s="7"/>
      <c r="AAF110" s="7"/>
      <c r="AAG110" s="7"/>
      <c r="AAH110" s="7"/>
      <c r="AAI110" s="7"/>
      <c r="AAJ110" s="7"/>
      <c r="AAK110" s="7"/>
      <c r="AAL110" s="7"/>
      <c r="AAM110" s="7"/>
      <c r="AAN110" s="7"/>
      <c r="AAO110" s="7"/>
      <c r="AAP110" s="7"/>
      <c r="AAQ110" s="7"/>
      <c r="AAR110" s="7"/>
      <c r="AAS110" s="7"/>
      <c r="AAT110" s="7"/>
      <c r="AAU110" s="7"/>
      <c r="AAV110" s="7"/>
      <c r="AAW110" s="7"/>
      <c r="AAX110" s="7"/>
      <c r="AAY110" s="7"/>
      <c r="AAZ110" s="7"/>
      <c r="ABA110" s="7"/>
      <c r="ABB110" s="7"/>
      <c r="ABC110" s="7"/>
      <c r="ABD110" s="7"/>
      <c r="ABE110" s="7"/>
      <c r="ABF110" s="7"/>
      <c r="ABG110" s="7"/>
      <c r="ABH110" s="7"/>
      <c r="ABI110" s="7"/>
      <c r="ABJ110" s="7"/>
      <c r="ABK110" s="7"/>
      <c r="ABL110" s="7"/>
      <c r="ABM110" s="7"/>
      <c r="ABN110" s="7"/>
      <c r="ABO110" s="7"/>
      <c r="ABP110" s="7"/>
      <c r="ABQ110" s="7"/>
      <c r="ABR110" s="7"/>
      <c r="ABS110" s="7"/>
      <c r="ABT110" s="7"/>
      <c r="ABU110" s="7"/>
      <c r="ABV110" s="7"/>
      <c r="ABW110" s="7"/>
      <c r="ABX110" s="7"/>
      <c r="ABY110" s="7"/>
      <c r="ABZ110" s="7"/>
      <c r="ACA110" s="7"/>
      <c r="ACB110" s="7"/>
      <c r="ACC110" s="7"/>
      <c r="ACD110" s="7"/>
      <c r="ACE110" s="7"/>
      <c r="ACF110" s="7"/>
      <c r="ACG110" s="7"/>
      <c r="ACH110" s="7"/>
      <c r="ACI110" s="7"/>
      <c r="ACJ110" s="7"/>
      <c r="ACK110" s="7"/>
      <c r="ACL110" s="7"/>
      <c r="ACM110" s="7"/>
      <c r="ACN110" s="7"/>
      <c r="ACO110" s="7"/>
      <c r="ACP110" s="7"/>
      <c r="ACQ110" s="7"/>
      <c r="ACR110" s="7"/>
      <c r="ACS110" s="7"/>
      <c r="ACT110" s="7"/>
      <c r="ACU110" s="7"/>
      <c r="ACV110" s="7"/>
      <c r="ACW110" s="7"/>
      <c r="ACX110" s="7"/>
      <c r="ACY110" s="7"/>
      <c r="ACZ110" s="7"/>
      <c r="ADA110" s="7"/>
      <c r="ADB110" s="7"/>
      <c r="ADC110" s="7"/>
      <c r="ADD110" s="7"/>
      <c r="ADE110" s="7"/>
      <c r="ADF110" s="7"/>
      <c r="ADG110" s="7"/>
      <c r="ADH110" s="7"/>
      <c r="ADI110" s="7"/>
      <c r="ADJ110" s="7"/>
      <c r="ADK110" s="7"/>
      <c r="ADL110" s="7"/>
      <c r="ADM110" s="7"/>
      <c r="ADN110" s="7"/>
      <c r="ADO110" s="7"/>
      <c r="ADP110" s="7"/>
      <c r="ADQ110" s="7"/>
      <c r="ADR110" s="7"/>
      <c r="ADS110" s="7"/>
      <c r="ADT110" s="7"/>
      <c r="ADU110" s="7"/>
      <c r="ADV110" s="7"/>
      <c r="ADW110" s="7"/>
      <c r="ADX110" s="7"/>
      <c r="ADY110" s="7"/>
      <c r="ADZ110" s="7"/>
      <c r="AEA110" s="7"/>
      <c r="AEB110" s="7"/>
      <c r="AEC110" s="7"/>
      <c r="AED110" s="7"/>
      <c r="AEE110" s="7"/>
      <c r="AEF110" s="7"/>
      <c r="AEG110" s="7"/>
      <c r="AEH110" s="7"/>
      <c r="AEI110" s="7"/>
      <c r="AEJ110" s="7"/>
      <c r="AEK110" s="7"/>
      <c r="AEL110" s="7"/>
      <c r="AEM110" s="7"/>
      <c r="AEN110" s="7"/>
      <c r="AEO110" s="7"/>
      <c r="AEP110" s="7"/>
      <c r="AEQ110" s="7"/>
      <c r="AER110" s="7"/>
      <c r="AES110" s="7"/>
      <c r="AET110" s="7"/>
      <c r="AEU110" s="7"/>
      <c r="AEV110" s="7"/>
      <c r="AEW110" s="7"/>
      <c r="AEX110" s="7"/>
      <c r="AEY110" s="7"/>
      <c r="AEZ110" s="7"/>
      <c r="AFA110" s="7"/>
      <c r="AFB110" s="7"/>
      <c r="AFC110" s="7"/>
      <c r="AFD110" s="7"/>
      <c r="AFE110" s="7"/>
      <c r="AFF110" s="7"/>
      <c r="AFG110" s="7"/>
      <c r="AFH110" s="7"/>
      <c r="AFI110" s="7"/>
      <c r="AFJ110" s="7"/>
      <c r="AFK110" s="7"/>
      <c r="AFL110" s="7"/>
      <c r="AFM110" s="7"/>
      <c r="AFN110" s="7"/>
      <c r="AFO110" s="7"/>
      <c r="AFP110" s="7"/>
      <c r="AFQ110" s="7"/>
      <c r="AFR110" s="7"/>
      <c r="AFS110" s="7"/>
      <c r="AFT110" s="7"/>
      <c r="AFU110" s="7"/>
      <c r="AFV110" s="7"/>
      <c r="AFW110" s="7"/>
      <c r="AFX110" s="7"/>
      <c r="AFY110" s="7"/>
      <c r="AFZ110" s="7"/>
      <c r="AGA110" s="7"/>
      <c r="AGB110" s="7"/>
      <c r="AGC110" s="7"/>
      <c r="AGD110" s="7"/>
      <c r="AGE110" s="7"/>
      <c r="AGF110" s="7"/>
      <c r="AGG110" s="7"/>
      <c r="AGH110" s="7"/>
      <c r="AGI110" s="7"/>
      <c r="AGJ110" s="7"/>
      <c r="AGK110" s="7"/>
      <c r="AGL110" s="7"/>
      <c r="AGM110" s="7"/>
      <c r="AGN110" s="7"/>
      <c r="AGO110" s="7"/>
      <c r="AGP110" s="7"/>
      <c r="AGQ110" s="7"/>
      <c r="AGR110" s="7"/>
      <c r="AGS110" s="7"/>
      <c r="AGT110" s="7"/>
      <c r="AGU110" s="7"/>
      <c r="AGV110" s="7"/>
      <c r="AGW110" s="7"/>
      <c r="AGX110" s="7"/>
      <c r="AGY110" s="7"/>
      <c r="AGZ110" s="7"/>
      <c r="AHA110" s="7"/>
      <c r="AHB110" s="7"/>
      <c r="AHC110" s="7"/>
      <c r="AHD110" s="7"/>
      <c r="AHE110" s="7"/>
      <c r="AHF110" s="7"/>
      <c r="AHG110" s="7"/>
      <c r="AHH110" s="7"/>
      <c r="AHI110" s="7"/>
      <c r="AHJ110" s="7"/>
      <c r="AHK110" s="7"/>
      <c r="AHL110" s="7"/>
      <c r="AHM110" s="7"/>
      <c r="AHN110" s="7"/>
      <c r="AHO110" s="7"/>
      <c r="AHP110" s="7"/>
      <c r="AHQ110" s="7"/>
      <c r="AHR110" s="7"/>
      <c r="AHS110" s="7"/>
      <c r="AHT110" s="7"/>
      <c r="AHU110" s="7"/>
      <c r="AHV110" s="7"/>
      <c r="AHW110" s="7"/>
      <c r="AHX110" s="7"/>
      <c r="AHY110" s="7"/>
      <c r="AHZ110" s="7"/>
      <c r="AIA110" s="7"/>
      <c r="AIB110" s="7"/>
      <c r="AIC110" s="7"/>
      <c r="AID110" s="7"/>
      <c r="AIE110" s="7"/>
      <c r="AIF110" s="7"/>
      <c r="AIG110" s="7"/>
      <c r="AIH110" s="7"/>
      <c r="AII110" s="7"/>
      <c r="AIJ110" s="7"/>
      <c r="AIK110" s="7"/>
      <c r="AIL110" s="7"/>
      <c r="AIM110" s="7"/>
      <c r="AIN110" s="7"/>
      <c r="AIO110" s="7"/>
      <c r="AIP110" s="7"/>
      <c r="AIQ110" s="7"/>
      <c r="AIR110" s="7"/>
      <c r="AIS110" s="7"/>
      <c r="AIT110" s="7"/>
      <c r="AIU110" s="7"/>
      <c r="AIV110" s="7"/>
      <c r="AIW110" s="7"/>
      <c r="AIX110" s="7"/>
      <c r="AIY110" s="7"/>
      <c r="AIZ110" s="7"/>
      <c r="AJA110" s="7"/>
      <c r="AJB110" s="7"/>
      <c r="AJC110" s="7"/>
      <c r="AJD110" s="7"/>
      <c r="AJE110" s="7"/>
      <c r="AJF110" s="7"/>
      <c r="AJG110" s="7"/>
      <c r="AJH110" s="7"/>
      <c r="AJI110" s="7"/>
      <c r="AJJ110" s="7"/>
      <c r="AJK110" s="7"/>
      <c r="AJL110" s="7"/>
      <c r="AJM110" s="7"/>
      <c r="AJN110" s="7"/>
      <c r="AJO110" s="7"/>
      <c r="AJP110" s="7"/>
      <c r="AJQ110" s="7"/>
      <c r="AJR110" s="7"/>
      <c r="AJS110" s="7"/>
      <c r="AJT110" s="7"/>
      <c r="AJU110" s="7"/>
      <c r="AJV110" s="7"/>
      <c r="AJW110" s="7"/>
      <c r="AJX110" s="7"/>
      <c r="AJY110" s="7"/>
      <c r="AJZ110" s="7"/>
      <c r="AKA110" s="7"/>
      <c r="AKB110" s="7"/>
      <c r="AKC110" s="7"/>
      <c r="AKD110" s="7"/>
      <c r="AKE110" s="7"/>
      <c r="AKF110" s="7"/>
      <c r="AKG110" s="7"/>
      <c r="AKH110" s="7"/>
      <c r="AKI110" s="7"/>
      <c r="AKJ110" s="7"/>
      <c r="AKK110" s="7"/>
      <c r="AKL110" s="7"/>
      <c r="AKM110" s="7"/>
      <c r="AKN110" s="7"/>
      <c r="AKO110" s="7"/>
      <c r="AKP110" s="7"/>
      <c r="AKQ110" s="7"/>
      <c r="AKR110" s="7"/>
      <c r="AKS110" s="7"/>
      <c r="AKT110" s="7"/>
      <c r="AKU110" s="7"/>
      <c r="AKV110" s="7"/>
      <c r="AKW110" s="7"/>
      <c r="AKX110" s="7"/>
      <c r="AKY110" s="7"/>
      <c r="AKZ110" s="7"/>
      <c r="ALA110" s="7"/>
      <c r="ALB110" s="7"/>
      <c r="ALC110" s="7"/>
      <c r="ALD110" s="7"/>
      <c r="ALE110" s="7"/>
      <c r="ALF110" s="7"/>
      <c r="ALG110" s="7"/>
      <c r="ALH110" s="7"/>
      <c r="ALI110" s="7"/>
      <c r="ALJ110" s="7"/>
      <c r="ALK110" s="7"/>
      <c r="ALL110" s="7"/>
      <c r="ALM110" s="7"/>
      <c r="ALN110" s="7"/>
      <c r="ALO110" s="7"/>
      <c r="ALP110" s="7"/>
      <c r="ALQ110" s="7"/>
      <c r="ALR110" s="7"/>
      <c r="ALS110" s="7"/>
      <c r="ALT110" s="7"/>
      <c r="ALU110" s="7"/>
      <c r="ALV110" s="7"/>
      <c r="ALW110" s="7"/>
      <c r="ALX110" s="7"/>
      <c r="ALY110" s="7"/>
      <c r="ALZ110" s="7"/>
      <c r="AMA110" s="7"/>
      <c r="AMB110" s="7"/>
      <c r="AMC110" s="7"/>
      <c r="AMD110" s="7"/>
      <c r="AME110" s="7"/>
      <c r="AMF110" s="7"/>
      <c r="AMG110" s="7"/>
      <c r="AMH110" s="7"/>
      <c r="AMI110" s="7"/>
      <c r="AMJ110" s="7"/>
    </row>
    <row r="111" s="172" customFormat="true" ht="15.75" hidden="false" customHeight="true" outlineLevel="0" collapsed="false">
      <c r="A111" s="7"/>
      <c r="B111" s="101"/>
      <c r="C111" s="58" t="s">
        <v>106</v>
      </c>
      <c r="D111" s="171" t="n">
        <v>12</v>
      </c>
      <c r="E111" s="171" t="n">
        <v>1</v>
      </c>
      <c r="F111" s="145"/>
      <c r="G111" s="24"/>
      <c r="H111" s="101"/>
      <c r="I111" s="58" t="s">
        <v>106</v>
      </c>
      <c r="J111" s="171" t="n">
        <v>12</v>
      </c>
      <c r="K111" s="171" t="n">
        <v>1</v>
      </c>
      <c r="L111" s="145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  <c r="KS111" s="7"/>
      <c r="KT111" s="7"/>
      <c r="KU111" s="7"/>
      <c r="KV111" s="7"/>
      <c r="KW111" s="7"/>
      <c r="KX111" s="7"/>
      <c r="KY111" s="7"/>
      <c r="KZ111" s="7"/>
      <c r="LA111" s="7"/>
      <c r="LB111" s="7"/>
      <c r="LC111" s="7"/>
      <c r="LD111" s="7"/>
      <c r="LE111" s="7"/>
      <c r="LF111" s="7"/>
      <c r="LG111" s="7"/>
      <c r="LH111" s="7"/>
      <c r="LI111" s="7"/>
      <c r="LJ111" s="7"/>
      <c r="LK111" s="7"/>
      <c r="LL111" s="7"/>
      <c r="LM111" s="7"/>
      <c r="LN111" s="7"/>
      <c r="LO111" s="7"/>
      <c r="LP111" s="7"/>
      <c r="LQ111" s="7"/>
      <c r="LR111" s="7"/>
      <c r="LS111" s="7"/>
      <c r="LT111" s="7"/>
      <c r="LU111" s="7"/>
      <c r="LV111" s="7"/>
      <c r="LW111" s="7"/>
      <c r="LX111" s="7"/>
      <c r="LY111" s="7"/>
      <c r="LZ111" s="7"/>
      <c r="MA111" s="7"/>
      <c r="MB111" s="7"/>
      <c r="MC111" s="7"/>
      <c r="MD111" s="7"/>
      <c r="ME111" s="7"/>
      <c r="MF111" s="7"/>
      <c r="MG111" s="7"/>
      <c r="MH111" s="7"/>
      <c r="MI111" s="7"/>
      <c r="MJ111" s="7"/>
      <c r="MK111" s="7"/>
      <c r="ML111" s="7"/>
      <c r="MM111" s="7"/>
      <c r="MN111" s="7"/>
      <c r="MO111" s="7"/>
      <c r="MP111" s="7"/>
      <c r="MQ111" s="7"/>
      <c r="MR111" s="7"/>
      <c r="MS111" s="7"/>
      <c r="MT111" s="7"/>
      <c r="MU111" s="7"/>
      <c r="MV111" s="7"/>
      <c r="MW111" s="7"/>
      <c r="MX111" s="7"/>
      <c r="MY111" s="7"/>
      <c r="MZ111" s="7"/>
      <c r="NA111" s="7"/>
      <c r="NB111" s="7"/>
      <c r="NC111" s="7"/>
      <c r="ND111" s="7"/>
      <c r="NE111" s="7"/>
      <c r="NF111" s="7"/>
      <c r="NG111" s="7"/>
      <c r="NH111" s="7"/>
      <c r="NI111" s="7"/>
      <c r="NJ111" s="7"/>
      <c r="NK111" s="7"/>
      <c r="NL111" s="7"/>
      <c r="NM111" s="7"/>
      <c r="NN111" s="7"/>
      <c r="NO111" s="7"/>
      <c r="NP111" s="7"/>
      <c r="NQ111" s="7"/>
      <c r="NR111" s="7"/>
      <c r="NS111" s="7"/>
      <c r="NT111" s="7"/>
      <c r="NU111" s="7"/>
      <c r="NV111" s="7"/>
      <c r="NW111" s="7"/>
      <c r="NX111" s="7"/>
      <c r="NY111" s="7"/>
      <c r="NZ111" s="7"/>
      <c r="OA111" s="7"/>
      <c r="OB111" s="7"/>
      <c r="OC111" s="7"/>
      <c r="OD111" s="7"/>
      <c r="OE111" s="7"/>
      <c r="OF111" s="7"/>
      <c r="OG111" s="7"/>
      <c r="OH111" s="7"/>
      <c r="OI111" s="7"/>
      <c r="OJ111" s="7"/>
      <c r="OK111" s="7"/>
      <c r="OL111" s="7"/>
      <c r="OM111" s="7"/>
      <c r="ON111" s="7"/>
      <c r="OO111" s="7"/>
      <c r="OP111" s="7"/>
      <c r="OQ111" s="7"/>
      <c r="OR111" s="7"/>
      <c r="OS111" s="7"/>
      <c r="OT111" s="7"/>
      <c r="OU111" s="7"/>
      <c r="OV111" s="7"/>
      <c r="OW111" s="7"/>
      <c r="OX111" s="7"/>
      <c r="OY111" s="7"/>
      <c r="OZ111" s="7"/>
      <c r="PA111" s="7"/>
      <c r="PB111" s="7"/>
      <c r="PC111" s="7"/>
      <c r="PD111" s="7"/>
      <c r="PE111" s="7"/>
      <c r="PF111" s="7"/>
      <c r="PG111" s="7"/>
      <c r="PH111" s="7"/>
      <c r="PI111" s="7"/>
      <c r="PJ111" s="7"/>
      <c r="PK111" s="7"/>
      <c r="PL111" s="7"/>
      <c r="PM111" s="7"/>
      <c r="PN111" s="7"/>
      <c r="PO111" s="7"/>
      <c r="PP111" s="7"/>
      <c r="PQ111" s="7"/>
      <c r="PR111" s="7"/>
      <c r="PS111" s="7"/>
      <c r="PT111" s="7"/>
      <c r="PU111" s="7"/>
      <c r="PV111" s="7"/>
      <c r="PW111" s="7"/>
      <c r="PX111" s="7"/>
      <c r="PY111" s="7"/>
      <c r="PZ111" s="7"/>
      <c r="QA111" s="7"/>
      <c r="QB111" s="7"/>
      <c r="QC111" s="7"/>
      <c r="QD111" s="7"/>
      <c r="QE111" s="7"/>
      <c r="QF111" s="7"/>
      <c r="QG111" s="7"/>
      <c r="QH111" s="7"/>
      <c r="QI111" s="7"/>
      <c r="QJ111" s="7"/>
      <c r="QK111" s="7"/>
      <c r="QL111" s="7"/>
      <c r="QM111" s="7"/>
      <c r="QN111" s="7"/>
      <c r="QO111" s="7"/>
      <c r="QP111" s="7"/>
      <c r="QQ111" s="7"/>
      <c r="QR111" s="7"/>
      <c r="QS111" s="7"/>
      <c r="QT111" s="7"/>
      <c r="QU111" s="7"/>
      <c r="QV111" s="7"/>
      <c r="QW111" s="7"/>
      <c r="QX111" s="7"/>
      <c r="QY111" s="7"/>
      <c r="QZ111" s="7"/>
      <c r="RA111" s="7"/>
      <c r="RB111" s="7"/>
      <c r="RC111" s="7"/>
      <c r="RD111" s="7"/>
      <c r="RE111" s="7"/>
      <c r="RF111" s="7"/>
      <c r="RG111" s="7"/>
      <c r="RH111" s="7"/>
      <c r="RI111" s="7"/>
      <c r="RJ111" s="7"/>
      <c r="RK111" s="7"/>
      <c r="RL111" s="7"/>
      <c r="RM111" s="7"/>
      <c r="RN111" s="7"/>
      <c r="RO111" s="7"/>
      <c r="RP111" s="7"/>
      <c r="RQ111" s="7"/>
      <c r="RR111" s="7"/>
      <c r="RS111" s="7"/>
      <c r="RT111" s="7"/>
      <c r="RU111" s="7"/>
      <c r="RV111" s="7"/>
      <c r="RW111" s="7"/>
      <c r="RX111" s="7"/>
      <c r="RY111" s="7"/>
      <c r="RZ111" s="7"/>
      <c r="SA111" s="7"/>
      <c r="SB111" s="7"/>
      <c r="SC111" s="7"/>
      <c r="SD111" s="7"/>
      <c r="SE111" s="7"/>
      <c r="SF111" s="7"/>
      <c r="SG111" s="7"/>
      <c r="SH111" s="7"/>
      <c r="SI111" s="7"/>
      <c r="SJ111" s="7"/>
      <c r="SK111" s="7"/>
      <c r="SL111" s="7"/>
      <c r="SM111" s="7"/>
      <c r="SN111" s="7"/>
      <c r="SO111" s="7"/>
      <c r="SP111" s="7"/>
      <c r="SQ111" s="7"/>
      <c r="SR111" s="7"/>
      <c r="SS111" s="7"/>
      <c r="ST111" s="7"/>
      <c r="SU111" s="7"/>
      <c r="SV111" s="7"/>
      <c r="SW111" s="7"/>
      <c r="SX111" s="7"/>
      <c r="SY111" s="7"/>
      <c r="SZ111" s="7"/>
      <c r="TA111" s="7"/>
      <c r="TB111" s="7"/>
      <c r="TC111" s="7"/>
      <c r="TD111" s="7"/>
      <c r="TE111" s="7"/>
      <c r="TF111" s="7"/>
      <c r="TG111" s="7"/>
      <c r="TH111" s="7"/>
      <c r="TI111" s="7"/>
      <c r="TJ111" s="7"/>
      <c r="TK111" s="7"/>
      <c r="TL111" s="7"/>
      <c r="TM111" s="7"/>
      <c r="TN111" s="7"/>
      <c r="TO111" s="7"/>
      <c r="TP111" s="7"/>
      <c r="TQ111" s="7"/>
      <c r="TR111" s="7"/>
      <c r="TS111" s="7"/>
      <c r="TT111" s="7"/>
      <c r="TU111" s="7"/>
      <c r="TV111" s="7"/>
      <c r="TW111" s="7"/>
      <c r="TX111" s="7"/>
      <c r="TY111" s="7"/>
      <c r="TZ111" s="7"/>
      <c r="UA111" s="7"/>
      <c r="UB111" s="7"/>
      <c r="UC111" s="7"/>
      <c r="UD111" s="7"/>
      <c r="UE111" s="7"/>
      <c r="UF111" s="7"/>
      <c r="UG111" s="7"/>
      <c r="UH111" s="7"/>
      <c r="UI111" s="7"/>
      <c r="UJ111" s="7"/>
      <c r="UK111" s="7"/>
      <c r="UL111" s="7"/>
      <c r="UM111" s="7"/>
      <c r="UN111" s="7"/>
      <c r="UO111" s="7"/>
      <c r="UP111" s="7"/>
      <c r="UQ111" s="7"/>
      <c r="UR111" s="7"/>
      <c r="US111" s="7"/>
      <c r="UT111" s="7"/>
      <c r="UU111" s="7"/>
      <c r="UV111" s="7"/>
      <c r="UW111" s="7"/>
      <c r="UX111" s="7"/>
      <c r="UY111" s="7"/>
      <c r="UZ111" s="7"/>
      <c r="VA111" s="7"/>
      <c r="VB111" s="7"/>
      <c r="VC111" s="7"/>
      <c r="VD111" s="7"/>
      <c r="VE111" s="7"/>
      <c r="VF111" s="7"/>
      <c r="VG111" s="7"/>
      <c r="VH111" s="7"/>
      <c r="VI111" s="7"/>
      <c r="VJ111" s="7"/>
      <c r="VK111" s="7"/>
      <c r="VL111" s="7"/>
      <c r="VM111" s="7"/>
      <c r="VN111" s="7"/>
      <c r="VO111" s="7"/>
      <c r="VP111" s="7"/>
      <c r="VQ111" s="7"/>
      <c r="VR111" s="7"/>
      <c r="VS111" s="7"/>
      <c r="VT111" s="7"/>
      <c r="VU111" s="7"/>
      <c r="VV111" s="7"/>
      <c r="VW111" s="7"/>
      <c r="VX111" s="7"/>
      <c r="VY111" s="7"/>
      <c r="VZ111" s="7"/>
      <c r="WA111" s="7"/>
      <c r="WB111" s="7"/>
      <c r="WC111" s="7"/>
      <c r="WD111" s="7"/>
      <c r="WE111" s="7"/>
      <c r="WF111" s="7"/>
      <c r="WG111" s="7"/>
      <c r="WH111" s="7"/>
      <c r="WI111" s="7"/>
      <c r="WJ111" s="7"/>
      <c r="WK111" s="7"/>
      <c r="WL111" s="7"/>
      <c r="WM111" s="7"/>
      <c r="WN111" s="7"/>
      <c r="WO111" s="7"/>
      <c r="WP111" s="7"/>
      <c r="WQ111" s="7"/>
      <c r="WR111" s="7"/>
      <c r="WS111" s="7"/>
      <c r="WT111" s="7"/>
      <c r="WU111" s="7"/>
      <c r="WV111" s="7"/>
      <c r="WW111" s="7"/>
      <c r="WX111" s="7"/>
      <c r="WY111" s="7"/>
      <c r="WZ111" s="7"/>
      <c r="XA111" s="7"/>
      <c r="XB111" s="7"/>
      <c r="XC111" s="7"/>
      <c r="XD111" s="7"/>
      <c r="XE111" s="7"/>
      <c r="XF111" s="7"/>
      <c r="XG111" s="7"/>
      <c r="XH111" s="7"/>
      <c r="XI111" s="7"/>
      <c r="XJ111" s="7"/>
      <c r="XK111" s="7"/>
      <c r="XL111" s="7"/>
      <c r="XM111" s="7"/>
      <c r="XN111" s="7"/>
      <c r="XO111" s="7"/>
      <c r="XP111" s="7"/>
      <c r="XQ111" s="7"/>
      <c r="XR111" s="7"/>
      <c r="XS111" s="7"/>
      <c r="XT111" s="7"/>
      <c r="XU111" s="7"/>
      <c r="XV111" s="7"/>
      <c r="XW111" s="7"/>
      <c r="XX111" s="7"/>
      <c r="XY111" s="7"/>
      <c r="XZ111" s="7"/>
      <c r="YA111" s="7"/>
      <c r="YB111" s="7"/>
      <c r="YC111" s="7"/>
      <c r="YD111" s="7"/>
      <c r="YE111" s="7"/>
      <c r="YF111" s="7"/>
      <c r="YG111" s="7"/>
      <c r="YH111" s="7"/>
      <c r="YI111" s="7"/>
      <c r="YJ111" s="7"/>
      <c r="YK111" s="7"/>
      <c r="YL111" s="7"/>
      <c r="YM111" s="7"/>
      <c r="YN111" s="7"/>
      <c r="YO111" s="7"/>
      <c r="YP111" s="7"/>
      <c r="YQ111" s="7"/>
      <c r="YR111" s="7"/>
      <c r="YS111" s="7"/>
      <c r="YT111" s="7"/>
      <c r="YU111" s="7"/>
      <c r="YV111" s="7"/>
      <c r="YW111" s="7"/>
      <c r="YX111" s="7"/>
      <c r="YY111" s="7"/>
      <c r="YZ111" s="7"/>
      <c r="ZA111" s="7"/>
      <c r="ZB111" s="7"/>
      <c r="ZC111" s="7"/>
      <c r="ZD111" s="7"/>
      <c r="ZE111" s="7"/>
      <c r="ZF111" s="7"/>
      <c r="ZG111" s="7"/>
      <c r="ZH111" s="7"/>
      <c r="ZI111" s="7"/>
      <c r="ZJ111" s="7"/>
      <c r="ZK111" s="7"/>
      <c r="ZL111" s="7"/>
      <c r="ZM111" s="7"/>
      <c r="ZN111" s="7"/>
      <c r="ZO111" s="7"/>
      <c r="ZP111" s="7"/>
      <c r="ZQ111" s="7"/>
      <c r="ZR111" s="7"/>
      <c r="ZS111" s="7"/>
      <c r="ZT111" s="7"/>
      <c r="ZU111" s="7"/>
      <c r="ZV111" s="7"/>
      <c r="ZW111" s="7"/>
      <c r="ZX111" s="7"/>
      <c r="ZY111" s="7"/>
      <c r="ZZ111" s="7"/>
      <c r="AAA111" s="7"/>
      <c r="AAB111" s="7"/>
      <c r="AAC111" s="7"/>
      <c r="AAD111" s="7"/>
      <c r="AAE111" s="7"/>
      <c r="AAF111" s="7"/>
      <c r="AAG111" s="7"/>
      <c r="AAH111" s="7"/>
      <c r="AAI111" s="7"/>
      <c r="AAJ111" s="7"/>
      <c r="AAK111" s="7"/>
      <c r="AAL111" s="7"/>
      <c r="AAM111" s="7"/>
      <c r="AAN111" s="7"/>
      <c r="AAO111" s="7"/>
      <c r="AAP111" s="7"/>
      <c r="AAQ111" s="7"/>
      <c r="AAR111" s="7"/>
      <c r="AAS111" s="7"/>
      <c r="AAT111" s="7"/>
      <c r="AAU111" s="7"/>
      <c r="AAV111" s="7"/>
      <c r="AAW111" s="7"/>
      <c r="AAX111" s="7"/>
      <c r="AAY111" s="7"/>
      <c r="AAZ111" s="7"/>
      <c r="ABA111" s="7"/>
      <c r="ABB111" s="7"/>
      <c r="ABC111" s="7"/>
      <c r="ABD111" s="7"/>
      <c r="ABE111" s="7"/>
      <c r="ABF111" s="7"/>
      <c r="ABG111" s="7"/>
      <c r="ABH111" s="7"/>
      <c r="ABI111" s="7"/>
      <c r="ABJ111" s="7"/>
      <c r="ABK111" s="7"/>
      <c r="ABL111" s="7"/>
      <c r="ABM111" s="7"/>
      <c r="ABN111" s="7"/>
      <c r="ABO111" s="7"/>
      <c r="ABP111" s="7"/>
      <c r="ABQ111" s="7"/>
      <c r="ABR111" s="7"/>
      <c r="ABS111" s="7"/>
      <c r="ABT111" s="7"/>
      <c r="ABU111" s="7"/>
      <c r="ABV111" s="7"/>
      <c r="ABW111" s="7"/>
      <c r="ABX111" s="7"/>
      <c r="ABY111" s="7"/>
      <c r="ABZ111" s="7"/>
      <c r="ACA111" s="7"/>
      <c r="ACB111" s="7"/>
      <c r="ACC111" s="7"/>
      <c r="ACD111" s="7"/>
      <c r="ACE111" s="7"/>
      <c r="ACF111" s="7"/>
      <c r="ACG111" s="7"/>
      <c r="ACH111" s="7"/>
      <c r="ACI111" s="7"/>
      <c r="ACJ111" s="7"/>
      <c r="ACK111" s="7"/>
      <c r="ACL111" s="7"/>
      <c r="ACM111" s="7"/>
      <c r="ACN111" s="7"/>
      <c r="ACO111" s="7"/>
      <c r="ACP111" s="7"/>
      <c r="ACQ111" s="7"/>
      <c r="ACR111" s="7"/>
      <c r="ACS111" s="7"/>
      <c r="ACT111" s="7"/>
      <c r="ACU111" s="7"/>
      <c r="ACV111" s="7"/>
      <c r="ACW111" s="7"/>
      <c r="ACX111" s="7"/>
      <c r="ACY111" s="7"/>
      <c r="ACZ111" s="7"/>
      <c r="ADA111" s="7"/>
      <c r="ADB111" s="7"/>
      <c r="ADC111" s="7"/>
      <c r="ADD111" s="7"/>
      <c r="ADE111" s="7"/>
      <c r="ADF111" s="7"/>
      <c r="ADG111" s="7"/>
      <c r="ADH111" s="7"/>
      <c r="ADI111" s="7"/>
      <c r="ADJ111" s="7"/>
      <c r="ADK111" s="7"/>
      <c r="ADL111" s="7"/>
      <c r="ADM111" s="7"/>
      <c r="ADN111" s="7"/>
      <c r="ADO111" s="7"/>
      <c r="ADP111" s="7"/>
      <c r="ADQ111" s="7"/>
      <c r="ADR111" s="7"/>
      <c r="ADS111" s="7"/>
      <c r="ADT111" s="7"/>
      <c r="ADU111" s="7"/>
      <c r="ADV111" s="7"/>
      <c r="ADW111" s="7"/>
      <c r="ADX111" s="7"/>
      <c r="ADY111" s="7"/>
      <c r="ADZ111" s="7"/>
      <c r="AEA111" s="7"/>
      <c r="AEB111" s="7"/>
      <c r="AEC111" s="7"/>
      <c r="AED111" s="7"/>
      <c r="AEE111" s="7"/>
      <c r="AEF111" s="7"/>
      <c r="AEG111" s="7"/>
      <c r="AEH111" s="7"/>
      <c r="AEI111" s="7"/>
      <c r="AEJ111" s="7"/>
      <c r="AEK111" s="7"/>
      <c r="AEL111" s="7"/>
      <c r="AEM111" s="7"/>
      <c r="AEN111" s="7"/>
      <c r="AEO111" s="7"/>
      <c r="AEP111" s="7"/>
      <c r="AEQ111" s="7"/>
      <c r="AER111" s="7"/>
      <c r="AES111" s="7"/>
      <c r="AET111" s="7"/>
      <c r="AEU111" s="7"/>
      <c r="AEV111" s="7"/>
      <c r="AEW111" s="7"/>
      <c r="AEX111" s="7"/>
      <c r="AEY111" s="7"/>
      <c r="AEZ111" s="7"/>
      <c r="AFA111" s="7"/>
      <c r="AFB111" s="7"/>
      <c r="AFC111" s="7"/>
      <c r="AFD111" s="7"/>
      <c r="AFE111" s="7"/>
      <c r="AFF111" s="7"/>
      <c r="AFG111" s="7"/>
      <c r="AFH111" s="7"/>
      <c r="AFI111" s="7"/>
      <c r="AFJ111" s="7"/>
      <c r="AFK111" s="7"/>
      <c r="AFL111" s="7"/>
      <c r="AFM111" s="7"/>
      <c r="AFN111" s="7"/>
      <c r="AFO111" s="7"/>
      <c r="AFP111" s="7"/>
      <c r="AFQ111" s="7"/>
      <c r="AFR111" s="7"/>
      <c r="AFS111" s="7"/>
      <c r="AFT111" s="7"/>
      <c r="AFU111" s="7"/>
      <c r="AFV111" s="7"/>
      <c r="AFW111" s="7"/>
      <c r="AFX111" s="7"/>
      <c r="AFY111" s="7"/>
      <c r="AFZ111" s="7"/>
      <c r="AGA111" s="7"/>
      <c r="AGB111" s="7"/>
      <c r="AGC111" s="7"/>
      <c r="AGD111" s="7"/>
      <c r="AGE111" s="7"/>
      <c r="AGF111" s="7"/>
      <c r="AGG111" s="7"/>
      <c r="AGH111" s="7"/>
      <c r="AGI111" s="7"/>
      <c r="AGJ111" s="7"/>
      <c r="AGK111" s="7"/>
      <c r="AGL111" s="7"/>
      <c r="AGM111" s="7"/>
      <c r="AGN111" s="7"/>
      <c r="AGO111" s="7"/>
      <c r="AGP111" s="7"/>
      <c r="AGQ111" s="7"/>
      <c r="AGR111" s="7"/>
      <c r="AGS111" s="7"/>
      <c r="AGT111" s="7"/>
      <c r="AGU111" s="7"/>
      <c r="AGV111" s="7"/>
      <c r="AGW111" s="7"/>
      <c r="AGX111" s="7"/>
      <c r="AGY111" s="7"/>
      <c r="AGZ111" s="7"/>
      <c r="AHA111" s="7"/>
      <c r="AHB111" s="7"/>
      <c r="AHC111" s="7"/>
      <c r="AHD111" s="7"/>
      <c r="AHE111" s="7"/>
      <c r="AHF111" s="7"/>
      <c r="AHG111" s="7"/>
      <c r="AHH111" s="7"/>
      <c r="AHI111" s="7"/>
      <c r="AHJ111" s="7"/>
      <c r="AHK111" s="7"/>
      <c r="AHL111" s="7"/>
      <c r="AHM111" s="7"/>
      <c r="AHN111" s="7"/>
      <c r="AHO111" s="7"/>
      <c r="AHP111" s="7"/>
      <c r="AHQ111" s="7"/>
      <c r="AHR111" s="7"/>
      <c r="AHS111" s="7"/>
      <c r="AHT111" s="7"/>
      <c r="AHU111" s="7"/>
      <c r="AHV111" s="7"/>
      <c r="AHW111" s="7"/>
      <c r="AHX111" s="7"/>
      <c r="AHY111" s="7"/>
      <c r="AHZ111" s="7"/>
      <c r="AIA111" s="7"/>
      <c r="AIB111" s="7"/>
      <c r="AIC111" s="7"/>
      <c r="AID111" s="7"/>
      <c r="AIE111" s="7"/>
      <c r="AIF111" s="7"/>
      <c r="AIG111" s="7"/>
      <c r="AIH111" s="7"/>
      <c r="AII111" s="7"/>
      <c r="AIJ111" s="7"/>
      <c r="AIK111" s="7"/>
      <c r="AIL111" s="7"/>
      <c r="AIM111" s="7"/>
      <c r="AIN111" s="7"/>
      <c r="AIO111" s="7"/>
      <c r="AIP111" s="7"/>
      <c r="AIQ111" s="7"/>
      <c r="AIR111" s="7"/>
      <c r="AIS111" s="7"/>
      <c r="AIT111" s="7"/>
      <c r="AIU111" s="7"/>
      <c r="AIV111" s="7"/>
      <c r="AIW111" s="7"/>
      <c r="AIX111" s="7"/>
      <c r="AIY111" s="7"/>
      <c r="AIZ111" s="7"/>
      <c r="AJA111" s="7"/>
      <c r="AJB111" s="7"/>
      <c r="AJC111" s="7"/>
      <c r="AJD111" s="7"/>
      <c r="AJE111" s="7"/>
      <c r="AJF111" s="7"/>
      <c r="AJG111" s="7"/>
      <c r="AJH111" s="7"/>
      <c r="AJI111" s="7"/>
      <c r="AJJ111" s="7"/>
      <c r="AJK111" s="7"/>
      <c r="AJL111" s="7"/>
      <c r="AJM111" s="7"/>
      <c r="AJN111" s="7"/>
      <c r="AJO111" s="7"/>
      <c r="AJP111" s="7"/>
      <c r="AJQ111" s="7"/>
      <c r="AJR111" s="7"/>
      <c r="AJS111" s="7"/>
      <c r="AJT111" s="7"/>
      <c r="AJU111" s="7"/>
      <c r="AJV111" s="7"/>
      <c r="AJW111" s="7"/>
      <c r="AJX111" s="7"/>
      <c r="AJY111" s="7"/>
      <c r="AJZ111" s="7"/>
      <c r="AKA111" s="7"/>
      <c r="AKB111" s="7"/>
      <c r="AKC111" s="7"/>
      <c r="AKD111" s="7"/>
      <c r="AKE111" s="7"/>
      <c r="AKF111" s="7"/>
      <c r="AKG111" s="7"/>
      <c r="AKH111" s="7"/>
      <c r="AKI111" s="7"/>
      <c r="AKJ111" s="7"/>
      <c r="AKK111" s="7"/>
      <c r="AKL111" s="7"/>
      <c r="AKM111" s="7"/>
      <c r="AKN111" s="7"/>
      <c r="AKO111" s="7"/>
      <c r="AKP111" s="7"/>
      <c r="AKQ111" s="7"/>
      <c r="AKR111" s="7"/>
      <c r="AKS111" s="7"/>
      <c r="AKT111" s="7"/>
      <c r="AKU111" s="7"/>
      <c r="AKV111" s="7"/>
      <c r="AKW111" s="7"/>
      <c r="AKX111" s="7"/>
      <c r="AKY111" s="7"/>
      <c r="AKZ111" s="7"/>
      <c r="ALA111" s="7"/>
      <c r="ALB111" s="7"/>
      <c r="ALC111" s="7"/>
      <c r="ALD111" s="7"/>
      <c r="ALE111" s="7"/>
      <c r="ALF111" s="7"/>
      <c r="ALG111" s="7"/>
      <c r="ALH111" s="7"/>
      <c r="ALI111" s="7"/>
      <c r="ALJ111" s="7"/>
      <c r="ALK111" s="7"/>
      <c r="ALL111" s="7"/>
      <c r="ALM111" s="7"/>
      <c r="ALN111" s="7"/>
      <c r="ALO111" s="7"/>
      <c r="ALP111" s="7"/>
      <c r="ALQ111" s="7"/>
      <c r="ALR111" s="7"/>
      <c r="ALS111" s="7"/>
      <c r="ALT111" s="7"/>
      <c r="ALU111" s="7"/>
      <c r="ALV111" s="7"/>
      <c r="ALW111" s="7"/>
      <c r="ALX111" s="7"/>
      <c r="ALY111" s="7"/>
      <c r="ALZ111" s="7"/>
      <c r="AMA111" s="7"/>
      <c r="AMB111" s="7"/>
      <c r="AMC111" s="7"/>
      <c r="AMD111" s="7"/>
      <c r="AME111" s="7"/>
      <c r="AMF111" s="7"/>
      <c r="AMG111" s="7"/>
      <c r="AMH111" s="7"/>
      <c r="AMI111" s="7"/>
      <c r="AMJ111" s="7"/>
    </row>
    <row r="112" s="172" customFormat="true" ht="15.75" hidden="false" customHeight="true" outlineLevel="0" collapsed="false">
      <c r="A112" s="7"/>
      <c r="B112" s="101"/>
      <c r="C112" s="245" t="s">
        <v>107</v>
      </c>
      <c r="D112" s="60" t="n">
        <v>18</v>
      </c>
      <c r="E112" s="60" t="n">
        <v>1</v>
      </c>
      <c r="F112" s="145"/>
      <c r="G112" s="24"/>
      <c r="H112" s="101"/>
      <c r="I112" s="245" t="s">
        <v>107</v>
      </c>
      <c r="J112" s="60" t="n">
        <v>18</v>
      </c>
      <c r="K112" s="60" t="n">
        <v>1</v>
      </c>
      <c r="L112" s="145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  <c r="KS112" s="7"/>
      <c r="KT112" s="7"/>
      <c r="KU112" s="7"/>
      <c r="KV112" s="7"/>
      <c r="KW112" s="7"/>
      <c r="KX112" s="7"/>
      <c r="KY112" s="7"/>
      <c r="KZ112" s="7"/>
      <c r="LA112" s="7"/>
      <c r="LB112" s="7"/>
      <c r="LC112" s="7"/>
      <c r="LD112" s="7"/>
      <c r="LE112" s="7"/>
      <c r="LF112" s="7"/>
      <c r="LG112" s="7"/>
      <c r="LH112" s="7"/>
      <c r="LI112" s="7"/>
      <c r="LJ112" s="7"/>
      <c r="LK112" s="7"/>
      <c r="LL112" s="7"/>
      <c r="LM112" s="7"/>
      <c r="LN112" s="7"/>
      <c r="LO112" s="7"/>
      <c r="LP112" s="7"/>
      <c r="LQ112" s="7"/>
      <c r="LR112" s="7"/>
      <c r="LS112" s="7"/>
      <c r="LT112" s="7"/>
      <c r="LU112" s="7"/>
      <c r="LV112" s="7"/>
      <c r="LW112" s="7"/>
      <c r="LX112" s="7"/>
      <c r="LY112" s="7"/>
      <c r="LZ112" s="7"/>
      <c r="MA112" s="7"/>
      <c r="MB112" s="7"/>
      <c r="MC112" s="7"/>
      <c r="MD112" s="7"/>
      <c r="ME112" s="7"/>
      <c r="MF112" s="7"/>
      <c r="MG112" s="7"/>
      <c r="MH112" s="7"/>
      <c r="MI112" s="7"/>
      <c r="MJ112" s="7"/>
      <c r="MK112" s="7"/>
      <c r="ML112" s="7"/>
      <c r="MM112" s="7"/>
      <c r="MN112" s="7"/>
      <c r="MO112" s="7"/>
      <c r="MP112" s="7"/>
      <c r="MQ112" s="7"/>
      <c r="MR112" s="7"/>
      <c r="MS112" s="7"/>
      <c r="MT112" s="7"/>
      <c r="MU112" s="7"/>
      <c r="MV112" s="7"/>
      <c r="MW112" s="7"/>
      <c r="MX112" s="7"/>
      <c r="MY112" s="7"/>
      <c r="MZ112" s="7"/>
      <c r="NA112" s="7"/>
      <c r="NB112" s="7"/>
      <c r="NC112" s="7"/>
      <c r="ND112" s="7"/>
      <c r="NE112" s="7"/>
      <c r="NF112" s="7"/>
      <c r="NG112" s="7"/>
      <c r="NH112" s="7"/>
      <c r="NI112" s="7"/>
      <c r="NJ112" s="7"/>
      <c r="NK112" s="7"/>
      <c r="NL112" s="7"/>
      <c r="NM112" s="7"/>
      <c r="NN112" s="7"/>
      <c r="NO112" s="7"/>
      <c r="NP112" s="7"/>
      <c r="NQ112" s="7"/>
      <c r="NR112" s="7"/>
      <c r="NS112" s="7"/>
      <c r="NT112" s="7"/>
      <c r="NU112" s="7"/>
      <c r="NV112" s="7"/>
      <c r="NW112" s="7"/>
      <c r="NX112" s="7"/>
      <c r="NY112" s="7"/>
      <c r="NZ112" s="7"/>
      <c r="OA112" s="7"/>
      <c r="OB112" s="7"/>
      <c r="OC112" s="7"/>
      <c r="OD112" s="7"/>
      <c r="OE112" s="7"/>
      <c r="OF112" s="7"/>
      <c r="OG112" s="7"/>
      <c r="OH112" s="7"/>
      <c r="OI112" s="7"/>
      <c r="OJ112" s="7"/>
      <c r="OK112" s="7"/>
      <c r="OL112" s="7"/>
      <c r="OM112" s="7"/>
      <c r="ON112" s="7"/>
      <c r="OO112" s="7"/>
      <c r="OP112" s="7"/>
      <c r="OQ112" s="7"/>
      <c r="OR112" s="7"/>
      <c r="OS112" s="7"/>
      <c r="OT112" s="7"/>
      <c r="OU112" s="7"/>
      <c r="OV112" s="7"/>
      <c r="OW112" s="7"/>
      <c r="OX112" s="7"/>
      <c r="OY112" s="7"/>
      <c r="OZ112" s="7"/>
      <c r="PA112" s="7"/>
      <c r="PB112" s="7"/>
      <c r="PC112" s="7"/>
      <c r="PD112" s="7"/>
      <c r="PE112" s="7"/>
      <c r="PF112" s="7"/>
      <c r="PG112" s="7"/>
      <c r="PH112" s="7"/>
      <c r="PI112" s="7"/>
      <c r="PJ112" s="7"/>
      <c r="PK112" s="7"/>
      <c r="PL112" s="7"/>
      <c r="PM112" s="7"/>
      <c r="PN112" s="7"/>
      <c r="PO112" s="7"/>
      <c r="PP112" s="7"/>
      <c r="PQ112" s="7"/>
      <c r="PR112" s="7"/>
      <c r="PS112" s="7"/>
      <c r="PT112" s="7"/>
      <c r="PU112" s="7"/>
      <c r="PV112" s="7"/>
      <c r="PW112" s="7"/>
      <c r="PX112" s="7"/>
      <c r="PY112" s="7"/>
      <c r="PZ112" s="7"/>
      <c r="QA112" s="7"/>
      <c r="QB112" s="7"/>
      <c r="QC112" s="7"/>
      <c r="QD112" s="7"/>
      <c r="QE112" s="7"/>
      <c r="QF112" s="7"/>
      <c r="QG112" s="7"/>
      <c r="QH112" s="7"/>
      <c r="QI112" s="7"/>
      <c r="QJ112" s="7"/>
      <c r="QK112" s="7"/>
      <c r="QL112" s="7"/>
      <c r="QM112" s="7"/>
      <c r="QN112" s="7"/>
      <c r="QO112" s="7"/>
      <c r="QP112" s="7"/>
      <c r="QQ112" s="7"/>
      <c r="QR112" s="7"/>
      <c r="QS112" s="7"/>
      <c r="QT112" s="7"/>
      <c r="QU112" s="7"/>
      <c r="QV112" s="7"/>
      <c r="QW112" s="7"/>
      <c r="QX112" s="7"/>
      <c r="QY112" s="7"/>
      <c r="QZ112" s="7"/>
      <c r="RA112" s="7"/>
      <c r="RB112" s="7"/>
      <c r="RC112" s="7"/>
      <c r="RD112" s="7"/>
      <c r="RE112" s="7"/>
      <c r="RF112" s="7"/>
      <c r="RG112" s="7"/>
      <c r="RH112" s="7"/>
      <c r="RI112" s="7"/>
      <c r="RJ112" s="7"/>
      <c r="RK112" s="7"/>
      <c r="RL112" s="7"/>
      <c r="RM112" s="7"/>
      <c r="RN112" s="7"/>
      <c r="RO112" s="7"/>
      <c r="RP112" s="7"/>
      <c r="RQ112" s="7"/>
      <c r="RR112" s="7"/>
      <c r="RS112" s="7"/>
      <c r="RT112" s="7"/>
      <c r="RU112" s="7"/>
      <c r="RV112" s="7"/>
      <c r="RW112" s="7"/>
      <c r="RX112" s="7"/>
      <c r="RY112" s="7"/>
      <c r="RZ112" s="7"/>
      <c r="SA112" s="7"/>
      <c r="SB112" s="7"/>
      <c r="SC112" s="7"/>
      <c r="SD112" s="7"/>
      <c r="SE112" s="7"/>
      <c r="SF112" s="7"/>
      <c r="SG112" s="7"/>
      <c r="SH112" s="7"/>
      <c r="SI112" s="7"/>
      <c r="SJ112" s="7"/>
      <c r="SK112" s="7"/>
      <c r="SL112" s="7"/>
      <c r="SM112" s="7"/>
      <c r="SN112" s="7"/>
      <c r="SO112" s="7"/>
      <c r="SP112" s="7"/>
      <c r="SQ112" s="7"/>
      <c r="SR112" s="7"/>
      <c r="SS112" s="7"/>
      <c r="ST112" s="7"/>
      <c r="SU112" s="7"/>
      <c r="SV112" s="7"/>
      <c r="SW112" s="7"/>
      <c r="SX112" s="7"/>
      <c r="SY112" s="7"/>
      <c r="SZ112" s="7"/>
      <c r="TA112" s="7"/>
      <c r="TB112" s="7"/>
      <c r="TC112" s="7"/>
      <c r="TD112" s="7"/>
      <c r="TE112" s="7"/>
      <c r="TF112" s="7"/>
      <c r="TG112" s="7"/>
      <c r="TH112" s="7"/>
      <c r="TI112" s="7"/>
      <c r="TJ112" s="7"/>
      <c r="TK112" s="7"/>
      <c r="TL112" s="7"/>
      <c r="TM112" s="7"/>
      <c r="TN112" s="7"/>
      <c r="TO112" s="7"/>
      <c r="TP112" s="7"/>
      <c r="TQ112" s="7"/>
      <c r="TR112" s="7"/>
      <c r="TS112" s="7"/>
      <c r="TT112" s="7"/>
      <c r="TU112" s="7"/>
      <c r="TV112" s="7"/>
      <c r="TW112" s="7"/>
      <c r="TX112" s="7"/>
      <c r="TY112" s="7"/>
      <c r="TZ112" s="7"/>
      <c r="UA112" s="7"/>
      <c r="UB112" s="7"/>
      <c r="UC112" s="7"/>
      <c r="UD112" s="7"/>
      <c r="UE112" s="7"/>
      <c r="UF112" s="7"/>
      <c r="UG112" s="7"/>
      <c r="UH112" s="7"/>
      <c r="UI112" s="7"/>
      <c r="UJ112" s="7"/>
      <c r="UK112" s="7"/>
      <c r="UL112" s="7"/>
      <c r="UM112" s="7"/>
      <c r="UN112" s="7"/>
      <c r="UO112" s="7"/>
      <c r="UP112" s="7"/>
      <c r="UQ112" s="7"/>
      <c r="UR112" s="7"/>
      <c r="US112" s="7"/>
      <c r="UT112" s="7"/>
      <c r="UU112" s="7"/>
      <c r="UV112" s="7"/>
      <c r="UW112" s="7"/>
      <c r="UX112" s="7"/>
      <c r="UY112" s="7"/>
      <c r="UZ112" s="7"/>
      <c r="VA112" s="7"/>
      <c r="VB112" s="7"/>
      <c r="VC112" s="7"/>
      <c r="VD112" s="7"/>
      <c r="VE112" s="7"/>
      <c r="VF112" s="7"/>
      <c r="VG112" s="7"/>
      <c r="VH112" s="7"/>
      <c r="VI112" s="7"/>
      <c r="VJ112" s="7"/>
      <c r="VK112" s="7"/>
      <c r="VL112" s="7"/>
      <c r="VM112" s="7"/>
      <c r="VN112" s="7"/>
      <c r="VO112" s="7"/>
      <c r="VP112" s="7"/>
      <c r="VQ112" s="7"/>
      <c r="VR112" s="7"/>
      <c r="VS112" s="7"/>
      <c r="VT112" s="7"/>
      <c r="VU112" s="7"/>
      <c r="VV112" s="7"/>
      <c r="VW112" s="7"/>
      <c r="VX112" s="7"/>
      <c r="VY112" s="7"/>
      <c r="VZ112" s="7"/>
      <c r="WA112" s="7"/>
      <c r="WB112" s="7"/>
      <c r="WC112" s="7"/>
      <c r="WD112" s="7"/>
      <c r="WE112" s="7"/>
      <c r="WF112" s="7"/>
      <c r="WG112" s="7"/>
      <c r="WH112" s="7"/>
      <c r="WI112" s="7"/>
      <c r="WJ112" s="7"/>
      <c r="WK112" s="7"/>
      <c r="WL112" s="7"/>
      <c r="WM112" s="7"/>
      <c r="WN112" s="7"/>
      <c r="WO112" s="7"/>
      <c r="WP112" s="7"/>
      <c r="WQ112" s="7"/>
      <c r="WR112" s="7"/>
      <c r="WS112" s="7"/>
      <c r="WT112" s="7"/>
      <c r="WU112" s="7"/>
      <c r="WV112" s="7"/>
      <c r="WW112" s="7"/>
      <c r="WX112" s="7"/>
      <c r="WY112" s="7"/>
      <c r="WZ112" s="7"/>
      <c r="XA112" s="7"/>
      <c r="XB112" s="7"/>
      <c r="XC112" s="7"/>
      <c r="XD112" s="7"/>
      <c r="XE112" s="7"/>
      <c r="XF112" s="7"/>
      <c r="XG112" s="7"/>
      <c r="XH112" s="7"/>
      <c r="XI112" s="7"/>
      <c r="XJ112" s="7"/>
      <c r="XK112" s="7"/>
      <c r="XL112" s="7"/>
      <c r="XM112" s="7"/>
      <c r="XN112" s="7"/>
      <c r="XO112" s="7"/>
      <c r="XP112" s="7"/>
      <c r="XQ112" s="7"/>
      <c r="XR112" s="7"/>
      <c r="XS112" s="7"/>
      <c r="XT112" s="7"/>
      <c r="XU112" s="7"/>
      <c r="XV112" s="7"/>
      <c r="XW112" s="7"/>
      <c r="XX112" s="7"/>
      <c r="XY112" s="7"/>
      <c r="XZ112" s="7"/>
      <c r="YA112" s="7"/>
      <c r="YB112" s="7"/>
      <c r="YC112" s="7"/>
      <c r="YD112" s="7"/>
      <c r="YE112" s="7"/>
      <c r="YF112" s="7"/>
      <c r="YG112" s="7"/>
      <c r="YH112" s="7"/>
      <c r="YI112" s="7"/>
      <c r="YJ112" s="7"/>
      <c r="YK112" s="7"/>
      <c r="YL112" s="7"/>
      <c r="YM112" s="7"/>
      <c r="YN112" s="7"/>
      <c r="YO112" s="7"/>
      <c r="YP112" s="7"/>
      <c r="YQ112" s="7"/>
      <c r="YR112" s="7"/>
      <c r="YS112" s="7"/>
      <c r="YT112" s="7"/>
      <c r="YU112" s="7"/>
      <c r="YV112" s="7"/>
      <c r="YW112" s="7"/>
      <c r="YX112" s="7"/>
      <c r="YY112" s="7"/>
      <c r="YZ112" s="7"/>
      <c r="ZA112" s="7"/>
      <c r="ZB112" s="7"/>
      <c r="ZC112" s="7"/>
      <c r="ZD112" s="7"/>
      <c r="ZE112" s="7"/>
      <c r="ZF112" s="7"/>
      <c r="ZG112" s="7"/>
      <c r="ZH112" s="7"/>
      <c r="ZI112" s="7"/>
      <c r="ZJ112" s="7"/>
      <c r="ZK112" s="7"/>
      <c r="ZL112" s="7"/>
      <c r="ZM112" s="7"/>
      <c r="ZN112" s="7"/>
      <c r="ZO112" s="7"/>
      <c r="ZP112" s="7"/>
      <c r="ZQ112" s="7"/>
      <c r="ZR112" s="7"/>
      <c r="ZS112" s="7"/>
      <c r="ZT112" s="7"/>
      <c r="ZU112" s="7"/>
      <c r="ZV112" s="7"/>
      <c r="ZW112" s="7"/>
      <c r="ZX112" s="7"/>
      <c r="ZY112" s="7"/>
      <c r="ZZ112" s="7"/>
      <c r="AAA112" s="7"/>
      <c r="AAB112" s="7"/>
      <c r="AAC112" s="7"/>
      <c r="AAD112" s="7"/>
      <c r="AAE112" s="7"/>
      <c r="AAF112" s="7"/>
      <c r="AAG112" s="7"/>
      <c r="AAH112" s="7"/>
      <c r="AAI112" s="7"/>
      <c r="AAJ112" s="7"/>
      <c r="AAK112" s="7"/>
      <c r="AAL112" s="7"/>
      <c r="AAM112" s="7"/>
      <c r="AAN112" s="7"/>
      <c r="AAO112" s="7"/>
      <c r="AAP112" s="7"/>
      <c r="AAQ112" s="7"/>
      <c r="AAR112" s="7"/>
      <c r="AAS112" s="7"/>
      <c r="AAT112" s="7"/>
      <c r="AAU112" s="7"/>
      <c r="AAV112" s="7"/>
      <c r="AAW112" s="7"/>
      <c r="AAX112" s="7"/>
      <c r="AAY112" s="7"/>
      <c r="AAZ112" s="7"/>
      <c r="ABA112" s="7"/>
      <c r="ABB112" s="7"/>
      <c r="ABC112" s="7"/>
      <c r="ABD112" s="7"/>
      <c r="ABE112" s="7"/>
      <c r="ABF112" s="7"/>
      <c r="ABG112" s="7"/>
      <c r="ABH112" s="7"/>
      <c r="ABI112" s="7"/>
      <c r="ABJ112" s="7"/>
      <c r="ABK112" s="7"/>
      <c r="ABL112" s="7"/>
      <c r="ABM112" s="7"/>
      <c r="ABN112" s="7"/>
      <c r="ABO112" s="7"/>
      <c r="ABP112" s="7"/>
      <c r="ABQ112" s="7"/>
      <c r="ABR112" s="7"/>
      <c r="ABS112" s="7"/>
      <c r="ABT112" s="7"/>
      <c r="ABU112" s="7"/>
      <c r="ABV112" s="7"/>
      <c r="ABW112" s="7"/>
      <c r="ABX112" s="7"/>
      <c r="ABY112" s="7"/>
      <c r="ABZ112" s="7"/>
      <c r="ACA112" s="7"/>
      <c r="ACB112" s="7"/>
      <c r="ACC112" s="7"/>
      <c r="ACD112" s="7"/>
      <c r="ACE112" s="7"/>
      <c r="ACF112" s="7"/>
      <c r="ACG112" s="7"/>
      <c r="ACH112" s="7"/>
      <c r="ACI112" s="7"/>
      <c r="ACJ112" s="7"/>
      <c r="ACK112" s="7"/>
      <c r="ACL112" s="7"/>
      <c r="ACM112" s="7"/>
      <c r="ACN112" s="7"/>
      <c r="ACO112" s="7"/>
      <c r="ACP112" s="7"/>
      <c r="ACQ112" s="7"/>
      <c r="ACR112" s="7"/>
      <c r="ACS112" s="7"/>
      <c r="ACT112" s="7"/>
      <c r="ACU112" s="7"/>
      <c r="ACV112" s="7"/>
      <c r="ACW112" s="7"/>
      <c r="ACX112" s="7"/>
      <c r="ACY112" s="7"/>
      <c r="ACZ112" s="7"/>
      <c r="ADA112" s="7"/>
      <c r="ADB112" s="7"/>
      <c r="ADC112" s="7"/>
      <c r="ADD112" s="7"/>
      <c r="ADE112" s="7"/>
      <c r="ADF112" s="7"/>
      <c r="ADG112" s="7"/>
      <c r="ADH112" s="7"/>
      <c r="ADI112" s="7"/>
      <c r="ADJ112" s="7"/>
      <c r="ADK112" s="7"/>
      <c r="ADL112" s="7"/>
      <c r="ADM112" s="7"/>
      <c r="ADN112" s="7"/>
      <c r="ADO112" s="7"/>
      <c r="ADP112" s="7"/>
      <c r="ADQ112" s="7"/>
      <c r="ADR112" s="7"/>
      <c r="ADS112" s="7"/>
      <c r="ADT112" s="7"/>
      <c r="ADU112" s="7"/>
      <c r="ADV112" s="7"/>
      <c r="ADW112" s="7"/>
      <c r="ADX112" s="7"/>
      <c r="ADY112" s="7"/>
      <c r="ADZ112" s="7"/>
      <c r="AEA112" s="7"/>
      <c r="AEB112" s="7"/>
      <c r="AEC112" s="7"/>
      <c r="AED112" s="7"/>
      <c r="AEE112" s="7"/>
      <c r="AEF112" s="7"/>
      <c r="AEG112" s="7"/>
      <c r="AEH112" s="7"/>
      <c r="AEI112" s="7"/>
      <c r="AEJ112" s="7"/>
      <c r="AEK112" s="7"/>
      <c r="AEL112" s="7"/>
      <c r="AEM112" s="7"/>
      <c r="AEN112" s="7"/>
      <c r="AEO112" s="7"/>
      <c r="AEP112" s="7"/>
      <c r="AEQ112" s="7"/>
      <c r="AER112" s="7"/>
      <c r="AES112" s="7"/>
      <c r="AET112" s="7"/>
      <c r="AEU112" s="7"/>
      <c r="AEV112" s="7"/>
      <c r="AEW112" s="7"/>
      <c r="AEX112" s="7"/>
      <c r="AEY112" s="7"/>
      <c r="AEZ112" s="7"/>
      <c r="AFA112" s="7"/>
      <c r="AFB112" s="7"/>
      <c r="AFC112" s="7"/>
      <c r="AFD112" s="7"/>
      <c r="AFE112" s="7"/>
      <c r="AFF112" s="7"/>
      <c r="AFG112" s="7"/>
      <c r="AFH112" s="7"/>
      <c r="AFI112" s="7"/>
      <c r="AFJ112" s="7"/>
      <c r="AFK112" s="7"/>
      <c r="AFL112" s="7"/>
      <c r="AFM112" s="7"/>
      <c r="AFN112" s="7"/>
      <c r="AFO112" s="7"/>
      <c r="AFP112" s="7"/>
      <c r="AFQ112" s="7"/>
      <c r="AFR112" s="7"/>
      <c r="AFS112" s="7"/>
      <c r="AFT112" s="7"/>
      <c r="AFU112" s="7"/>
      <c r="AFV112" s="7"/>
      <c r="AFW112" s="7"/>
      <c r="AFX112" s="7"/>
      <c r="AFY112" s="7"/>
      <c r="AFZ112" s="7"/>
      <c r="AGA112" s="7"/>
      <c r="AGB112" s="7"/>
      <c r="AGC112" s="7"/>
      <c r="AGD112" s="7"/>
      <c r="AGE112" s="7"/>
      <c r="AGF112" s="7"/>
      <c r="AGG112" s="7"/>
      <c r="AGH112" s="7"/>
      <c r="AGI112" s="7"/>
      <c r="AGJ112" s="7"/>
      <c r="AGK112" s="7"/>
      <c r="AGL112" s="7"/>
      <c r="AGM112" s="7"/>
      <c r="AGN112" s="7"/>
      <c r="AGO112" s="7"/>
      <c r="AGP112" s="7"/>
      <c r="AGQ112" s="7"/>
      <c r="AGR112" s="7"/>
      <c r="AGS112" s="7"/>
      <c r="AGT112" s="7"/>
      <c r="AGU112" s="7"/>
      <c r="AGV112" s="7"/>
      <c r="AGW112" s="7"/>
      <c r="AGX112" s="7"/>
      <c r="AGY112" s="7"/>
      <c r="AGZ112" s="7"/>
      <c r="AHA112" s="7"/>
      <c r="AHB112" s="7"/>
      <c r="AHC112" s="7"/>
      <c r="AHD112" s="7"/>
      <c r="AHE112" s="7"/>
      <c r="AHF112" s="7"/>
      <c r="AHG112" s="7"/>
      <c r="AHH112" s="7"/>
      <c r="AHI112" s="7"/>
      <c r="AHJ112" s="7"/>
      <c r="AHK112" s="7"/>
      <c r="AHL112" s="7"/>
      <c r="AHM112" s="7"/>
      <c r="AHN112" s="7"/>
      <c r="AHO112" s="7"/>
      <c r="AHP112" s="7"/>
      <c r="AHQ112" s="7"/>
      <c r="AHR112" s="7"/>
      <c r="AHS112" s="7"/>
      <c r="AHT112" s="7"/>
      <c r="AHU112" s="7"/>
      <c r="AHV112" s="7"/>
      <c r="AHW112" s="7"/>
      <c r="AHX112" s="7"/>
      <c r="AHY112" s="7"/>
      <c r="AHZ112" s="7"/>
      <c r="AIA112" s="7"/>
      <c r="AIB112" s="7"/>
      <c r="AIC112" s="7"/>
      <c r="AID112" s="7"/>
      <c r="AIE112" s="7"/>
      <c r="AIF112" s="7"/>
      <c r="AIG112" s="7"/>
      <c r="AIH112" s="7"/>
      <c r="AII112" s="7"/>
      <c r="AIJ112" s="7"/>
      <c r="AIK112" s="7"/>
      <c r="AIL112" s="7"/>
      <c r="AIM112" s="7"/>
      <c r="AIN112" s="7"/>
      <c r="AIO112" s="7"/>
      <c r="AIP112" s="7"/>
      <c r="AIQ112" s="7"/>
      <c r="AIR112" s="7"/>
      <c r="AIS112" s="7"/>
      <c r="AIT112" s="7"/>
      <c r="AIU112" s="7"/>
      <c r="AIV112" s="7"/>
      <c r="AIW112" s="7"/>
      <c r="AIX112" s="7"/>
      <c r="AIY112" s="7"/>
      <c r="AIZ112" s="7"/>
      <c r="AJA112" s="7"/>
      <c r="AJB112" s="7"/>
      <c r="AJC112" s="7"/>
      <c r="AJD112" s="7"/>
      <c r="AJE112" s="7"/>
      <c r="AJF112" s="7"/>
      <c r="AJG112" s="7"/>
      <c r="AJH112" s="7"/>
      <c r="AJI112" s="7"/>
      <c r="AJJ112" s="7"/>
      <c r="AJK112" s="7"/>
      <c r="AJL112" s="7"/>
      <c r="AJM112" s="7"/>
      <c r="AJN112" s="7"/>
      <c r="AJO112" s="7"/>
      <c r="AJP112" s="7"/>
      <c r="AJQ112" s="7"/>
      <c r="AJR112" s="7"/>
      <c r="AJS112" s="7"/>
      <c r="AJT112" s="7"/>
      <c r="AJU112" s="7"/>
      <c r="AJV112" s="7"/>
      <c r="AJW112" s="7"/>
      <c r="AJX112" s="7"/>
      <c r="AJY112" s="7"/>
      <c r="AJZ112" s="7"/>
      <c r="AKA112" s="7"/>
      <c r="AKB112" s="7"/>
      <c r="AKC112" s="7"/>
      <c r="AKD112" s="7"/>
      <c r="AKE112" s="7"/>
      <c r="AKF112" s="7"/>
      <c r="AKG112" s="7"/>
      <c r="AKH112" s="7"/>
      <c r="AKI112" s="7"/>
      <c r="AKJ112" s="7"/>
      <c r="AKK112" s="7"/>
      <c r="AKL112" s="7"/>
      <c r="AKM112" s="7"/>
      <c r="AKN112" s="7"/>
      <c r="AKO112" s="7"/>
      <c r="AKP112" s="7"/>
      <c r="AKQ112" s="7"/>
      <c r="AKR112" s="7"/>
      <c r="AKS112" s="7"/>
      <c r="AKT112" s="7"/>
      <c r="AKU112" s="7"/>
      <c r="AKV112" s="7"/>
      <c r="AKW112" s="7"/>
      <c r="AKX112" s="7"/>
      <c r="AKY112" s="7"/>
      <c r="AKZ112" s="7"/>
      <c r="ALA112" s="7"/>
      <c r="ALB112" s="7"/>
      <c r="ALC112" s="7"/>
      <c r="ALD112" s="7"/>
      <c r="ALE112" s="7"/>
      <c r="ALF112" s="7"/>
      <c r="ALG112" s="7"/>
      <c r="ALH112" s="7"/>
      <c r="ALI112" s="7"/>
      <c r="ALJ112" s="7"/>
      <c r="ALK112" s="7"/>
      <c r="ALL112" s="7"/>
      <c r="ALM112" s="7"/>
      <c r="ALN112" s="7"/>
      <c r="ALO112" s="7"/>
      <c r="ALP112" s="7"/>
      <c r="ALQ112" s="7"/>
      <c r="ALR112" s="7"/>
      <c r="ALS112" s="7"/>
      <c r="ALT112" s="7"/>
      <c r="ALU112" s="7"/>
      <c r="ALV112" s="7"/>
      <c r="ALW112" s="7"/>
      <c r="ALX112" s="7"/>
      <c r="ALY112" s="7"/>
      <c r="ALZ112" s="7"/>
      <c r="AMA112" s="7"/>
      <c r="AMB112" s="7"/>
      <c r="AMC112" s="7"/>
      <c r="AMD112" s="7"/>
      <c r="AME112" s="7"/>
      <c r="AMF112" s="7"/>
      <c r="AMG112" s="7"/>
      <c r="AMH112" s="7"/>
      <c r="AMI112" s="7"/>
      <c r="AMJ112" s="7"/>
    </row>
    <row r="113" s="172" customFormat="true" ht="15.75" hidden="false" customHeight="true" outlineLevel="0" collapsed="false">
      <c r="A113" s="7"/>
      <c r="B113" s="101" t="s">
        <v>108</v>
      </c>
      <c r="C113" s="61" t="s">
        <v>33</v>
      </c>
      <c r="D113" s="61"/>
      <c r="E113" s="61"/>
      <c r="F113" s="145" t="n">
        <v>1</v>
      </c>
      <c r="G113" s="24"/>
      <c r="H113" s="101" t="s">
        <v>170</v>
      </c>
      <c r="I113" s="61" t="s">
        <v>33</v>
      </c>
      <c r="J113" s="61"/>
      <c r="K113" s="61"/>
      <c r="L113" s="145" t="n">
        <v>1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  <c r="KS113" s="7"/>
      <c r="KT113" s="7"/>
      <c r="KU113" s="7"/>
      <c r="KV113" s="7"/>
      <c r="KW113" s="7"/>
      <c r="KX113" s="7"/>
      <c r="KY113" s="7"/>
      <c r="KZ113" s="7"/>
      <c r="LA113" s="7"/>
      <c r="LB113" s="7"/>
      <c r="LC113" s="7"/>
      <c r="LD113" s="7"/>
      <c r="LE113" s="7"/>
      <c r="LF113" s="7"/>
      <c r="LG113" s="7"/>
      <c r="LH113" s="7"/>
      <c r="LI113" s="7"/>
      <c r="LJ113" s="7"/>
      <c r="LK113" s="7"/>
      <c r="LL113" s="7"/>
      <c r="LM113" s="7"/>
      <c r="LN113" s="7"/>
      <c r="LO113" s="7"/>
      <c r="LP113" s="7"/>
      <c r="LQ113" s="7"/>
      <c r="LR113" s="7"/>
      <c r="LS113" s="7"/>
      <c r="LT113" s="7"/>
      <c r="LU113" s="7"/>
      <c r="LV113" s="7"/>
      <c r="LW113" s="7"/>
      <c r="LX113" s="7"/>
      <c r="LY113" s="7"/>
      <c r="LZ113" s="7"/>
      <c r="MA113" s="7"/>
      <c r="MB113" s="7"/>
      <c r="MC113" s="7"/>
      <c r="MD113" s="7"/>
      <c r="ME113" s="7"/>
      <c r="MF113" s="7"/>
      <c r="MG113" s="7"/>
      <c r="MH113" s="7"/>
      <c r="MI113" s="7"/>
      <c r="MJ113" s="7"/>
      <c r="MK113" s="7"/>
      <c r="ML113" s="7"/>
      <c r="MM113" s="7"/>
      <c r="MN113" s="7"/>
      <c r="MO113" s="7"/>
      <c r="MP113" s="7"/>
      <c r="MQ113" s="7"/>
      <c r="MR113" s="7"/>
      <c r="MS113" s="7"/>
      <c r="MT113" s="7"/>
      <c r="MU113" s="7"/>
      <c r="MV113" s="7"/>
      <c r="MW113" s="7"/>
      <c r="MX113" s="7"/>
      <c r="MY113" s="7"/>
      <c r="MZ113" s="7"/>
      <c r="NA113" s="7"/>
      <c r="NB113" s="7"/>
      <c r="NC113" s="7"/>
      <c r="ND113" s="7"/>
      <c r="NE113" s="7"/>
      <c r="NF113" s="7"/>
      <c r="NG113" s="7"/>
      <c r="NH113" s="7"/>
      <c r="NI113" s="7"/>
      <c r="NJ113" s="7"/>
      <c r="NK113" s="7"/>
      <c r="NL113" s="7"/>
      <c r="NM113" s="7"/>
      <c r="NN113" s="7"/>
      <c r="NO113" s="7"/>
      <c r="NP113" s="7"/>
      <c r="NQ113" s="7"/>
      <c r="NR113" s="7"/>
      <c r="NS113" s="7"/>
      <c r="NT113" s="7"/>
      <c r="NU113" s="7"/>
      <c r="NV113" s="7"/>
      <c r="NW113" s="7"/>
      <c r="NX113" s="7"/>
      <c r="NY113" s="7"/>
      <c r="NZ113" s="7"/>
      <c r="OA113" s="7"/>
      <c r="OB113" s="7"/>
      <c r="OC113" s="7"/>
      <c r="OD113" s="7"/>
      <c r="OE113" s="7"/>
      <c r="OF113" s="7"/>
      <c r="OG113" s="7"/>
      <c r="OH113" s="7"/>
      <c r="OI113" s="7"/>
      <c r="OJ113" s="7"/>
      <c r="OK113" s="7"/>
      <c r="OL113" s="7"/>
      <c r="OM113" s="7"/>
      <c r="ON113" s="7"/>
      <c r="OO113" s="7"/>
      <c r="OP113" s="7"/>
      <c r="OQ113" s="7"/>
      <c r="OR113" s="7"/>
      <c r="OS113" s="7"/>
      <c r="OT113" s="7"/>
      <c r="OU113" s="7"/>
      <c r="OV113" s="7"/>
      <c r="OW113" s="7"/>
      <c r="OX113" s="7"/>
      <c r="OY113" s="7"/>
      <c r="OZ113" s="7"/>
      <c r="PA113" s="7"/>
      <c r="PB113" s="7"/>
      <c r="PC113" s="7"/>
      <c r="PD113" s="7"/>
      <c r="PE113" s="7"/>
      <c r="PF113" s="7"/>
      <c r="PG113" s="7"/>
      <c r="PH113" s="7"/>
      <c r="PI113" s="7"/>
      <c r="PJ113" s="7"/>
      <c r="PK113" s="7"/>
      <c r="PL113" s="7"/>
      <c r="PM113" s="7"/>
      <c r="PN113" s="7"/>
      <c r="PO113" s="7"/>
      <c r="PP113" s="7"/>
      <c r="PQ113" s="7"/>
      <c r="PR113" s="7"/>
      <c r="PS113" s="7"/>
      <c r="PT113" s="7"/>
      <c r="PU113" s="7"/>
      <c r="PV113" s="7"/>
      <c r="PW113" s="7"/>
      <c r="PX113" s="7"/>
      <c r="PY113" s="7"/>
      <c r="PZ113" s="7"/>
      <c r="QA113" s="7"/>
      <c r="QB113" s="7"/>
      <c r="QC113" s="7"/>
      <c r="QD113" s="7"/>
      <c r="QE113" s="7"/>
      <c r="QF113" s="7"/>
      <c r="QG113" s="7"/>
      <c r="QH113" s="7"/>
      <c r="QI113" s="7"/>
      <c r="QJ113" s="7"/>
      <c r="QK113" s="7"/>
      <c r="QL113" s="7"/>
      <c r="QM113" s="7"/>
      <c r="QN113" s="7"/>
      <c r="QO113" s="7"/>
      <c r="QP113" s="7"/>
      <c r="QQ113" s="7"/>
      <c r="QR113" s="7"/>
      <c r="QS113" s="7"/>
      <c r="QT113" s="7"/>
      <c r="QU113" s="7"/>
      <c r="QV113" s="7"/>
      <c r="QW113" s="7"/>
      <c r="QX113" s="7"/>
      <c r="QY113" s="7"/>
      <c r="QZ113" s="7"/>
      <c r="RA113" s="7"/>
      <c r="RB113" s="7"/>
      <c r="RC113" s="7"/>
      <c r="RD113" s="7"/>
      <c r="RE113" s="7"/>
      <c r="RF113" s="7"/>
      <c r="RG113" s="7"/>
      <c r="RH113" s="7"/>
      <c r="RI113" s="7"/>
      <c r="RJ113" s="7"/>
      <c r="RK113" s="7"/>
      <c r="RL113" s="7"/>
      <c r="RM113" s="7"/>
      <c r="RN113" s="7"/>
      <c r="RO113" s="7"/>
      <c r="RP113" s="7"/>
      <c r="RQ113" s="7"/>
      <c r="RR113" s="7"/>
      <c r="RS113" s="7"/>
      <c r="RT113" s="7"/>
      <c r="RU113" s="7"/>
      <c r="RV113" s="7"/>
      <c r="RW113" s="7"/>
      <c r="RX113" s="7"/>
      <c r="RY113" s="7"/>
      <c r="RZ113" s="7"/>
      <c r="SA113" s="7"/>
      <c r="SB113" s="7"/>
      <c r="SC113" s="7"/>
      <c r="SD113" s="7"/>
      <c r="SE113" s="7"/>
      <c r="SF113" s="7"/>
      <c r="SG113" s="7"/>
      <c r="SH113" s="7"/>
      <c r="SI113" s="7"/>
      <c r="SJ113" s="7"/>
      <c r="SK113" s="7"/>
      <c r="SL113" s="7"/>
      <c r="SM113" s="7"/>
      <c r="SN113" s="7"/>
      <c r="SO113" s="7"/>
      <c r="SP113" s="7"/>
      <c r="SQ113" s="7"/>
      <c r="SR113" s="7"/>
      <c r="SS113" s="7"/>
      <c r="ST113" s="7"/>
      <c r="SU113" s="7"/>
      <c r="SV113" s="7"/>
      <c r="SW113" s="7"/>
      <c r="SX113" s="7"/>
      <c r="SY113" s="7"/>
      <c r="SZ113" s="7"/>
      <c r="TA113" s="7"/>
      <c r="TB113" s="7"/>
      <c r="TC113" s="7"/>
      <c r="TD113" s="7"/>
      <c r="TE113" s="7"/>
      <c r="TF113" s="7"/>
      <c r="TG113" s="7"/>
      <c r="TH113" s="7"/>
      <c r="TI113" s="7"/>
      <c r="TJ113" s="7"/>
      <c r="TK113" s="7"/>
      <c r="TL113" s="7"/>
      <c r="TM113" s="7"/>
      <c r="TN113" s="7"/>
      <c r="TO113" s="7"/>
      <c r="TP113" s="7"/>
      <c r="TQ113" s="7"/>
      <c r="TR113" s="7"/>
      <c r="TS113" s="7"/>
      <c r="TT113" s="7"/>
      <c r="TU113" s="7"/>
      <c r="TV113" s="7"/>
      <c r="TW113" s="7"/>
      <c r="TX113" s="7"/>
      <c r="TY113" s="7"/>
      <c r="TZ113" s="7"/>
      <c r="UA113" s="7"/>
      <c r="UB113" s="7"/>
      <c r="UC113" s="7"/>
      <c r="UD113" s="7"/>
      <c r="UE113" s="7"/>
      <c r="UF113" s="7"/>
      <c r="UG113" s="7"/>
      <c r="UH113" s="7"/>
      <c r="UI113" s="7"/>
      <c r="UJ113" s="7"/>
      <c r="UK113" s="7"/>
      <c r="UL113" s="7"/>
      <c r="UM113" s="7"/>
      <c r="UN113" s="7"/>
      <c r="UO113" s="7"/>
      <c r="UP113" s="7"/>
      <c r="UQ113" s="7"/>
      <c r="UR113" s="7"/>
      <c r="US113" s="7"/>
      <c r="UT113" s="7"/>
      <c r="UU113" s="7"/>
      <c r="UV113" s="7"/>
      <c r="UW113" s="7"/>
      <c r="UX113" s="7"/>
      <c r="UY113" s="7"/>
      <c r="UZ113" s="7"/>
      <c r="VA113" s="7"/>
      <c r="VB113" s="7"/>
      <c r="VC113" s="7"/>
      <c r="VD113" s="7"/>
      <c r="VE113" s="7"/>
      <c r="VF113" s="7"/>
      <c r="VG113" s="7"/>
      <c r="VH113" s="7"/>
      <c r="VI113" s="7"/>
      <c r="VJ113" s="7"/>
      <c r="VK113" s="7"/>
      <c r="VL113" s="7"/>
      <c r="VM113" s="7"/>
      <c r="VN113" s="7"/>
      <c r="VO113" s="7"/>
      <c r="VP113" s="7"/>
      <c r="VQ113" s="7"/>
      <c r="VR113" s="7"/>
      <c r="VS113" s="7"/>
      <c r="VT113" s="7"/>
      <c r="VU113" s="7"/>
      <c r="VV113" s="7"/>
      <c r="VW113" s="7"/>
      <c r="VX113" s="7"/>
      <c r="VY113" s="7"/>
      <c r="VZ113" s="7"/>
      <c r="WA113" s="7"/>
      <c r="WB113" s="7"/>
      <c r="WC113" s="7"/>
      <c r="WD113" s="7"/>
      <c r="WE113" s="7"/>
      <c r="WF113" s="7"/>
      <c r="WG113" s="7"/>
      <c r="WH113" s="7"/>
      <c r="WI113" s="7"/>
      <c r="WJ113" s="7"/>
      <c r="WK113" s="7"/>
      <c r="WL113" s="7"/>
      <c r="WM113" s="7"/>
      <c r="WN113" s="7"/>
      <c r="WO113" s="7"/>
      <c r="WP113" s="7"/>
      <c r="WQ113" s="7"/>
      <c r="WR113" s="7"/>
      <c r="WS113" s="7"/>
      <c r="WT113" s="7"/>
      <c r="WU113" s="7"/>
      <c r="WV113" s="7"/>
      <c r="WW113" s="7"/>
      <c r="WX113" s="7"/>
      <c r="WY113" s="7"/>
      <c r="WZ113" s="7"/>
      <c r="XA113" s="7"/>
      <c r="XB113" s="7"/>
      <c r="XC113" s="7"/>
      <c r="XD113" s="7"/>
      <c r="XE113" s="7"/>
      <c r="XF113" s="7"/>
      <c r="XG113" s="7"/>
      <c r="XH113" s="7"/>
      <c r="XI113" s="7"/>
      <c r="XJ113" s="7"/>
      <c r="XK113" s="7"/>
      <c r="XL113" s="7"/>
      <c r="XM113" s="7"/>
      <c r="XN113" s="7"/>
      <c r="XO113" s="7"/>
      <c r="XP113" s="7"/>
      <c r="XQ113" s="7"/>
      <c r="XR113" s="7"/>
      <c r="XS113" s="7"/>
      <c r="XT113" s="7"/>
      <c r="XU113" s="7"/>
      <c r="XV113" s="7"/>
      <c r="XW113" s="7"/>
      <c r="XX113" s="7"/>
      <c r="XY113" s="7"/>
      <c r="XZ113" s="7"/>
      <c r="YA113" s="7"/>
      <c r="YB113" s="7"/>
      <c r="YC113" s="7"/>
      <c r="YD113" s="7"/>
      <c r="YE113" s="7"/>
      <c r="YF113" s="7"/>
      <c r="YG113" s="7"/>
      <c r="YH113" s="7"/>
      <c r="YI113" s="7"/>
      <c r="YJ113" s="7"/>
      <c r="YK113" s="7"/>
      <c r="YL113" s="7"/>
      <c r="YM113" s="7"/>
      <c r="YN113" s="7"/>
      <c r="YO113" s="7"/>
      <c r="YP113" s="7"/>
      <c r="YQ113" s="7"/>
      <c r="YR113" s="7"/>
      <c r="YS113" s="7"/>
      <c r="YT113" s="7"/>
      <c r="YU113" s="7"/>
      <c r="YV113" s="7"/>
      <c r="YW113" s="7"/>
      <c r="YX113" s="7"/>
      <c r="YY113" s="7"/>
      <c r="YZ113" s="7"/>
      <c r="ZA113" s="7"/>
      <c r="ZB113" s="7"/>
      <c r="ZC113" s="7"/>
      <c r="ZD113" s="7"/>
      <c r="ZE113" s="7"/>
      <c r="ZF113" s="7"/>
      <c r="ZG113" s="7"/>
      <c r="ZH113" s="7"/>
      <c r="ZI113" s="7"/>
      <c r="ZJ113" s="7"/>
      <c r="ZK113" s="7"/>
      <c r="ZL113" s="7"/>
      <c r="ZM113" s="7"/>
      <c r="ZN113" s="7"/>
      <c r="ZO113" s="7"/>
      <c r="ZP113" s="7"/>
      <c r="ZQ113" s="7"/>
      <c r="ZR113" s="7"/>
      <c r="ZS113" s="7"/>
      <c r="ZT113" s="7"/>
      <c r="ZU113" s="7"/>
      <c r="ZV113" s="7"/>
      <c r="ZW113" s="7"/>
      <c r="ZX113" s="7"/>
      <c r="ZY113" s="7"/>
      <c r="ZZ113" s="7"/>
      <c r="AAA113" s="7"/>
      <c r="AAB113" s="7"/>
      <c r="AAC113" s="7"/>
      <c r="AAD113" s="7"/>
      <c r="AAE113" s="7"/>
      <c r="AAF113" s="7"/>
      <c r="AAG113" s="7"/>
      <c r="AAH113" s="7"/>
      <c r="AAI113" s="7"/>
      <c r="AAJ113" s="7"/>
      <c r="AAK113" s="7"/>
      <c r="AAL113" s="7"/>
      <c r="AAM113" s="7"/>
      <c r="AAN113" s="7"/>
      <c r="AAO113" s="7"/>
      <c r="AAP113" s="7"/>
      <c r="AAQ113" s="7"/>
      <c r="AAR113" s="7"/>
      <c r="AAS113" s="7"/>
      <c r="AAT113" s="7"/>
      <c r="AAU113" s="7"/>
      <c r="AAV113" s="7"/>
      <c r="AAW113" s="7"/>
      <c r="AAX113" s="7"/>
      <c r="AAY113" s="7"/>
      <c r="AAZ113" s="7"/>
      <c r="ABA113" s="7"/>
      <c r="ABB113" s="7"/>
      <c r="ABC113" s="7"/>
      <c r="ABD113" s="7"/>
      <c r="ABE113" s="7"/>
      <c r="ABF113" s="7"/>
      <c r="ABG113" s="7"/>
      <c r="ABH113" s="7"/>
      <c r="ABI113" s="7"/>
      <c r="ABJ113" s="7"/>
      <c r="ABK113" s="7"/>
      <c r="ABL113" s="7"/>
      <c r="ABM113" s="7"/>
      <c r="ABN113" s="7"/>
      <c r="ABO113" s="7"/>
      <c r="ABP113" s="7"/>
      <c r="ABQ113" s="7"/>
      <c r="ABR113" s="7"/>
      <c r="ABS113" s="7"/>
      <c r="ABT113" s="7"/>
      <c r="ABU113" s="7"/>
      <c r="ABV113" s="7"/>
      <c r="ABW113" s="7"/>
      <c r="ABX113" s="7"/>
      <c r="ABY113" s="7"/>
      <c r="ABZ113" s="7"/>
      <c r="ACA113" s="7"/>
      <c r="ACB113" s="7"/>
      <c r="ACC113" s="7"/>
      <c r="ACD113" s="7"/>
      <c r="ACE113" s="7"/>
      <c r="ACF113" s="7"/>
      <c r="ACG113" s="7"/>
      <c r="ACH113" s="7"/>
      <c r="ACI113" s="7"/>
      <c r="ACJ113" s="7"/>
      <c r="ACK113" s="7"/>
      <c r="ACL113" s="7"/>
      <c r="ACM113" s="7"/>
      <c r="ACN113" s="7"/>
      <c r="ACO113" s="7"/>
      <c r="ACP113" s="7"/>
      <c r="ACQ113" s="7"/>
      <c r="ACR113" s="7"/>
      <c r="ACS113" s="7"/>
      <c r="ACT113" s="7"/>
      <c r="ACU113" s="7"/>
      <c r="ACV113" s="7"/>
      <c r="ACW113" s="7"/>
      <c r="ACX113" s="7"/>
      <c r="ACY113" s="7"/>
      <c r="ACZ113" s="7"/>
      <c r="ADA113" s="7"/>
      <c r="ADB113" s="7"/>
      <c r="ADC113" s="7"/>
      <c r="ADD113" s="7"/>
      <c r="ADE113" s="7"/>
      <c r="ADF113" s="7"/>
      <c r="ADG113" s="7"/>
      <c r="ADH113" s="7"/>
      <c r="ADI113" s="7"/>
      <c r="ADJ113" s="7"/>
      <c r="ADK113" s="7"/>
      <c r="ADL113" s="7"/>
      <c r="ADM113" s="7"/>
      <c r="ADN113" s="7"/>
      <c r="ADO113" s="7"/>
      <c r="ADP113" s="7"/>
      <c r="ADQ113" s="7"/>
      <c r="ADR113" s="7"/>
      <c r="ADS113" s="7"/>
      <c r="ADT113" s="7"/>
      <c r="ADU113" s="7"/>
      <c r="ADV113" s="7"/>
      <c r="ADW113" s="7"/>
      <c r="ADX113" s="7"/>
      <c r="ADY113" s="7"/>
      <c r="ADZ113" s="7"/>
      <c r="AEA113" s="7"/>
      <c r="AEB113" s="7"/>
      <c r="AEC113" s="7"/>
      <c r="AED113" s="7"/>
      <c r="AEE113" s="7"/>
      <c r="AEF113" s="7"/>
      <c r="AEG113" s="7"/>
      <c r="AEH113" s="7"/>
      <c r="AEI113" s="7"/>
      <c r="AEJ113" s="7"/>
      <c r="AEK113" s="7"/>
      <c r="AEL113" s="7"/>
      <c r="AEM113" s="7"/>
      <c r="AEN113" s="7"/>
      <c r="AEO113" s="7"/>
      <c r="AEP113" s="7"/>
      <c r="AEQ113" s="7"/>
      <c r="AER113" s="7"/>
      <c r="AES113" s="7"/>
      <c r="AET113" s="7"/>
      <c r="AEU113" s="7"/>
      <c r="AEV113" s="7"/>
      <c r="AEW113" s="7"/>
      <c r="AEX113" s="7"/>
      <c r="AEY113" s="7"/>
      <c r="AEZ113" s="7"/>
      <c r="AFA113" s="7"/>
      <c r="AFB113" s="7"/>
      <c r="AFC113" s="7"/>
      <c r="AFD113" s="7"/>
      <c r="AFE113" s="7"/>
      <c r="AFF113" s="7"/>
      <c r="AFG113" s="7"/>
      <c r="AFH113" s="7"/>
      <c r="AFI113" s="7"/>
      <c r="AFJ113" s="7"/>
      <c r="AFK113" s="7"/>
      <c r="AFL113" s="7"/>
      <c r="AFM113" s="7"/>
      <c r="AFN113" s="7"/>
      <c r="AFO113" s="7"/>
      <c r="AFP113" s="7"/>
      <c r="AFQ113" s="7"/>
      <c r="AFR113" s="7"/>
      <c r="AFS113" s="7"/>
      <c r="AFT113" s="7"/>
      <c r="AFU113" s="7"/>
      <c r="AFV113" s="7"/>
      <c r="AFW113" s="7"/>
      <c r="AFX113" s="7"/>
      <c r="AFY113" s="7"/>
      <c r="AFZ113" s="7"/>
      <c r="AGA113" s="7"/>
      <c r="AGB113" s="7"/>
      <c r="AGC113" s="7"/>
      <c r="AGD113" s="7"/>
      <c r="AGE113" s="7"/>
      <c r="AGF113" s="7"/>
      <c r="AGG113" s="7"/>
      <c r="AGH113" s="7"/>
      <c r="AGI113" s="7"/>
      <c r="AGJ113" s="7"/>
      <c r="AGK113" s="7"/>
      <c r="AGL113" s="7"/>
      <c r="AGM113" s="7"/>
      <c r="AGN113" s="7"/>
      <c r="AGO113" s="7"/>
      <c r="AGP113" s="7"/>
      <c r="AGQ113" s="7"/>
      <c r="AGR113" s="7"/>
      <c r="AGS113" s="7"/>
      <c r="AGT113" s="7"/>
      <c r="AGU113" s="7"/>
      <c r="AGV113" s="7"/>
      <c r="AGW113" s="7"/>
      <c r="AGX113" s="7"/>
      <c r="AGY113" s="7"/>
      <c r="AGZ113" s="7"/>
      <c r="AHA113" s="7"/>
      <c r="AHB113" s="7"/>
      <c r="AHC113" s="7"/>
      <c r="AHD113" s="7"/>
      <c r="AHE113" s="7"/>
      <c r="AHF113" s="7"/>
      <c r="AHG113" s="7"/>
      <c r="AHH113" s="7"/>
      <c r="AHI113" s="7"/>
      <c r="AHJ113" s="7"/>
      <c r="AHK113" s="7"/>
      <c r="AHL113" s="7"/>
      <c r="AHM113" s="7"/>
      <c r="AHN113" s="7"/>
      <c r="AHO113" s="7"/>
      <c r="AHP113" s="7"/>
      <c r="AHQ113" s="7"/>
      <c r="AHR113" s="7"/>
      <c r="AHS113" s="7"/>
      <c r="AHT113" s="7"/>
      <c r="AHU113" s="7"/>
      <c r="AHV113" s="7"/>
      <c r="AHW113" s="7"/>
      <c r="AHX113" s="7"/>
      <c r="AHY113" s="7"/>
      <c r="AHZ113" s="7"/>
      <c r="AIA113" s="7"/>
      <c r="AIB113" s="7"/>
      <c r="AIC113" s="7"/>
      <c r="AID113" s="7"/>
      <c r="AIE113" s="7"/>
      <c r="AIF113" s="7"/>
      <c r="AIG113" s="7"/>
      <c r="AIH113" s="7"/>
      <c r="AII113" s="7"/>
      <c r="AIJ113" s="7"/>
      <c r="AIK113" s="7"/>
      <c r="AIL113" s="7"/>
      <c r="AIM113" s="7"/>
      <c r="AIN113" s="7"/>
      <c r="AIO113" s="7"/>
      <c r="AIP113" s="7"/>
      <c r="AIQ113" s="7"/>
      <c r="AIR113" s="7"/>
      <c r="AIS113" s="7"/>
      <c r="AIT113" s="7"/>
      <c r="AIU113" s="7"/>
      <c r="AIV113" s="7"/>
      <c r="AIW113" s="7"/>
      <c r="AIX113" s="7"/>
      <c r="AIY113" s="7"/>
      <c r="AIZ113" s="7"/>
      <c r="AJA113" s="7"/>
      <c r="AJB113" s="7"/>
      <c r="AJC113" s="7"/>
      <c r="AJD113" s="7"/>
      <c r="AJE113" s="7"/>
      <c r="AJF113" s="7"/>
      <c r="AJG113" s="7"/>
      <c r="AJH113" s="7"/>
      <c r="AJI113" s="7"/>
      <c r="AJJ113" s="7"/>
      <c r="AJK113" s="7"/>
      <c r="AJL113" s="7"/>
      <c r="AJM113" s="7"/>
      <c r="AJN113" s="7"/>
      <c r="AJO113" s="7"/>
      <c r="AJP113" s="7"/>
      <c r="AJQ113" s="7"/>
      <c r="AJR113" s="7"/>
      <c r="AJS113" s="7"/>
      <c r="AJT113" s="7"/>
      <c r="AJU113" s="7"/>
      <c r="AJV113" s="7"/>
      <c r="AJW113" s="7"/>
      <c r="AJX113" s="7"/>
      <c r="AJY113" s="7"/>
      <c r="AJZ113" s="7"/>
      <c r="AKA113" s="7"/>
      <c r="AKB113" s="7"/>
      <c r="AKC113" s="7"/>
      <c r="AKD113" s="7"/>
      <c r="AKE113" s="7"/>
      <c r="AKF113" s="7"/>
      <c r="AKG113" s="7"/>
      <c r="AKH113" s="7"/>
      <c r="AKI113" s="7"/>
      <c r="AKJ113" s="7"/>
      <c r="AKK113" s="7"/>
      <c r="AKL113" s="7"/>
      <c r="AKM113" s="7"/>
      <c r="AKN113" s="7"/>
      <c r="AKO113" s="7"/>
      <c r="AKP113" s="7"/>
      <c r="AKQ113" s="7"/>
      <c r="AKR113" s="7"/>
      <c r="AKS113" s="7"/>
      <c r="AKT113" s="7"/>
      <c r="AKU113" s="7"/>
      <c r="AKV113" s="7"/>
      <c r="AKW113" s="7"/>
      <c r="AKX113" s="7"/>
      <c r="AKY113" s="7"/>
      <c r="AKZ113" s="7"/>
      <c r="ALA113" s="7"/>
      <c r="ALB113" s="7"/>
      <c r="ALC113" s="7"/>
      <c r="ALD113" s="7"/>
      <c r="ALE113" s="7"/>
      <c r="ALF113" s="7"/>
      <c r="ALG113" s="7"/>
      <c r="ALH113" s="7"/>
      <c r="ALI113" s="7"/>
      <c r="ALJ113" s="7"/>
      <c r="ALK113" s="7"/>
      <c r="ALL113" s="7"/>
      <c r="ALM113" s="7"/>
      <c r="ALN113" s="7"/>
      <c r="ALO113" s="7"/>
      <c r="ALP113" s="7"/>
      <c r="ALQ113" s="7"/>
      <c r="ALR113" s="7"/>
      <c r="ALS113" s="7"/>
      <c r="ALT113" s="7"/>
      <c r="ALU113" s="7"/>
      <c r="ALV113" s="7"/>
      <c r="ALW113" s="7"/>
      <c r="ALX113" s="7"/>
      <c r="ALY113" s="7"/>
      <c r="ALZ113" s="7"/>
      <c r="AMA113" s="7"/>
      <c r="AMB113" s="7"/>
      <c r="AMC113" s="7"/>
      <c r="AMD113" s="7"/>
      <c r="AME113" s="7"/>
      <c r="AMF113" s="7"/>
      <c r="AMG113" s="7"/>
      <c r="AMH113" s="7"/>
      <c r="AMI113" s="7"/>
      <c r="AMJ113" s="7"/>
    </row>
    <row r="114" s="7" customFormat="true" ht="15.75" hidden="false" customHeight="true" outlineLevel="0" collapsed="false">
      <c r="B114" s="101"/>
      <c r="C114" s="64" t="s">
        <v>84</v>
      </c>
      <c r="D114" s="171" t="n">
        <v>30</v>
      </c>
      <c r="E114" s="171" t="n">
        <v>1</v>
      </c>
      <c r="F114" s="145"/>
      <c r="G114" s="24"/>
      <c r="H114" s="101"/>
      <c r="I114" s="64" t="s">
        <v>84</v>
      </c>
      <c r="J114" s="171" t="n">
        <v>30</v>
      </c>
      <c r="K114" s="171" t="n">
        <v>1</v>
      </c>
      <c r="L114" s="145"/>
    </row>
    <row r="115" s="7" customFormat="true" ht="15.75" hidden="false" customHeight="true" outlineLevel="0" collapsed="false">
      <c r="A115" s="172"/>
      <c r="B115" s="48" t="s">
        <v>109</v>
      </c>
      <c r="C115" s="61" t="s">
        <v>36</v>
      </c>
      <c r="D115" s="61"/>
      <c r="E115" s="61"/>
      <c r="F115" s="145" t="n">
        <v>1</v>
      </c>
      <c r="G115" s="24"/>
      <c r="H115" s="48" t="s">
        <v>109</v>
      </c>
      <c r="I115" s="61" t="s">
        <v>36</v>
      </c>
      <c r="J115" s="61"/>
      <c r="K115" s="61"/>
      <c r="L115" s="145" t="n">
        <v>1</v>
      </c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  <c r="AA115" s="172"/>
      <c r="AB115" s="172"/>
      <c r="AC115" s="172"/>
      <c r="AD115" s="172"/>
      <c r="AE115" s="172"/>
      <c r="AF115" s="172"/>
      <c r="AG115" s="172"/>
      <c r="AH115" s="172"/>
      <c r="AI115" s="172"/>
      <c r="AJ115" s="172"/>
      <c r="AK115" s="172"/>
      <c r="AL115" s="172"/>
      <c r="AM115" s="172"/>
      <c r="AN115" s="172"/>
      <c r="AO115" s="172"/>
      <c r="AP115" s="172"/>
      <c r="AQ115" s="172"/>
      <c r="AR115" s="172"/>
      <c r="AS115" s="172"/>
      <c r="AT115" s="172"/>
      <c r="AU115" s="172"/>
      <c r="AV115" s="172"/>
      <c r="AW115" s="172"/>
      <c r="AX115" s="172"/>
      <c r="AY115" s="172"/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172"/>
      <c r="BM115" s="172"/>
      <c r="BN115" s="172"/>
      <c r="BO115" s="172"/>
      <c r="BP115" s="172"/>
      <c r="BQ115" s="172"/>
      <c r="BR115" s="172"/>
      <c r="BS115" s="172"/>
      <c r="BT115" s="172"/>
      <c r="BU115" s="172"/>
      <c r="BV115" s="172"/>
      <c r="BW115" s="172"/>
      <c r="BX115" s="172"/>
      <c r="BY115" s="172"/>
      <c r="BZ115" s="172"/>
      <c r="CA115" s="172"/>
      <c r="CB115" s="172"/>
      <c r="CC115" s="172"/>
      <c r="CD115" s="172"/>
      <c r="CE115" s="172"/>
      <c r="CF115" s="172"/>
      <c r="CG115" s="172"/>
      <c r="CH115" s="172"/>
      <c r="CI115" s="172"/>
      <c r="CJ115" s="172"/>
      <c r="CK115" s="172"/>
      <c r="CL115" s="172"/>
      <c r="CM115" s="172"/>
      <c r="CN115" s="172"/>
      <c r="CO115" s="172"/>
      <c r="CP115" s="172"/>
      <c r="CQ115" s="172"/>
      <c r="CR115" s="172"/>
      <c r="CS115" s="172"/>
      <c r="CT115" s="172"/>
      <c r="CU115" s="172"/>
      <c r="CV115" s="172"/>
      <c r="CW115" s="172"/>
      <c r="CX115" s="172"/>
      <c r="CY115" s="172"/>
      <c r="CZ115" s="172"/>
      <c r="DA115" s="172"/>
      <c r="DB115" s="172"/>
      <c r="DC115" s="172"/>
      <c r="DD115" s="172"/>
      <c r="DE115" s="172"/>
      <c r="DF115" s="172"/>
      <c r="DG115" s="172"/>
      <c r="DH115" s="172"/>
      <c r="DI115" s="172"/>
      <c r="DJ115" s="172"/>
      <c r="DK115" s="172"/>
      <c r="DL115" s="172"/>
      <c r="DM115" s="172"/>
      <c r="DN115" s="172"/>
      <c r="DO115" s="172"/>
      <c r="DP115" s="172"/>
      <c r="DQ115" s="172"/>
      <c r="DR115" s="172"/>
      <c r="DS115" s="172"/>
      <c r="DT115" s="172"/>
      <c r="DU115" s="172"/>
      <c r="DV115" s="172"/>
      <c r="DW115" s="172"/>
      <c r="DX115" s="172"/>
      <c r="DY115" s="172"/>
      <c r="DZ115" s="172"/>
      <c r="EA115" s="172"/>
      <c r="EB115" s="172"/>
      <c r="EC115" s="172"/>
      <c r="ED115" s="172"/>
      <c r="EE115" s="172"/>
      <c r="EF115" s="172"/>
      <c r="EG115" s="172"/>
      <c r="EH115" s="172"/>
      <c r="EI115" s="172"/>
      <c r="EJ115" s="172"/>
      <c r="EK115" s="172"/>
      <c r="EL115" s="172"/>
      <c r="EM115" s="172"/>
      <c r="EN115" s="172"/>
      <c r="EO115" s="172"/>
      <c r="EP115" s="172"/>
      <c r="EQ115" s="172"/>
      <c r="ER115" s="172"/>
      <c r="ES115" s="172"/>
      <c r="ET115" s="172"/>
      <c r="EU115" s="172"/>
      <c r="EV115" s="172"/>
      <c r="EW115" s="172"/>
      <c r="EX115" s="172"/>
      <c r="EY115" s="172"/>
      <c r="EZ115" s="172"/>
      <c r="FA115" s="172"/>
      <c r="FB115" s="172"/>
      <c r="FC115" s="172"/>
      <c r="FD115" s="172"/>
      <c r="FE115" s="172"/>
      <c r="FF115" s="172"/>
      <c r="FG115" s="172"/>
      <c r="FH115" s="172"/>
      <c r="FI115" s="172"/>
      <c r="FJ115" s="172"/>
      <c r="FK115" s="172"/>
      <c r="FL115" s="172"/>
      <c r="FM115" s="172"/>
      <c r="FN115" s="172"/>
      <c r="FO115" s="172"/>
      <c r="FP115" s="172"/>
      <c r="FQ115" s="172"/>
      <c r="FR115" s="172"/>
      <c r="FS115" s="172"/>
      <c r="FT115" s="172"/>
      <c r="FU115" s="172"/>
      <c r="FV115" s="172"/>
      <c r="FW115" s="172"/>
      <c r="FX115" s="172"/>
      <c r="FY115" s="172"/>
      <c r="FZ115" s="172"/>
      <c r="GA115" s="172"/>
      <c r="GB115" s="172"/>
      <c r="GC115" s="172"/>
      <c r="GD115" s="172"/>
      <c r="GE115" s="172"/>
      <c r="GF115" s="172"/>
      <c r="GG115" s="172"/>
      <c r="GH115" s="172"/>
      <c r="GI115" s="172"/>
      <c r="GJ115" s="172"/>
      <c r="GK115" s="172"/>
      <c r="GL115" s="172"/>
      <c r="GM115" s="172"/>
      <c r="GN115" s="172"/>
      <c r="GO115" s="172"/>
      <c r="GP115" s="172"/>
      <c r="GQ115" s="172"/>
      <c r="GR115" s="172"/>
      <c r="GS115" s="172"/>
      <c r="GT115" s="172"/>
      <c r="GU115" s="172"/>
      <c r="GV115" s="172"/>
      <c r="GW115" s="172"/>
      <c r="GX115" s="172"/>
      <c r="GY115" s="172"/>
      <c r="GZ115" s="172"/>
      <c r="HA115" s="172"/>
      <c r="HB115" s="172"/>
      <c r="HC115" s="172"/>
      <c r="HD115" s="172"/>
      <c r="HE115" s="172"/>
      <c r="HF115" s="172"/>
      <c r="HG115" s="172"/>
      <c r="HH115" s="172"/>
      <c r="HI115" s="172"/>
      <c r="HJ115" s="172"/>
      <c r="HK115" s="172"/>
      <c r="HL115" s="172"/>
      <c r="HM115" s="172"/>
      <c r="HN115" s="172"/>
      <c r="HO115" s="172"/>
      <c r="HP115" s="172"/>
      <c r="HQ115" s="172"/>
      <c r="HR115" s="172"/>
      <c r="HS115" s="172"/>
      <c r="HT115" s="172"/>
      <c r="HU115" s="172"/>
      <c r="HV115" s="172"/>
      <c r="HW115" s="172"/>
      <c r="HX115" s="172"/>
      <c r="HY115" s="172"/>
      <c r="HZ115" s="172"/>
      <c r="IA115" s="172"/>
      <c r="IB115" s="172"/>
      <c r="IC115" s="172"/>
      <c r="ID115" s="172"/>
      <c r="IE115" s="172"/>
      <c r="IF115" s="172"/>
      <c r="IG115" s="172"/>
      <c r="IH115" s="172"/>
      <c r="II115" s="172"/>
      <c r="IJ115" s="172"/>
      <c r="IK115" s="172"/>
      <c r="IL115" s="172"/>
      <c r="IM115" s="172"/>
      <c r="IN115" s="172"/>
      <c r="IO115" s="172"/>
      <c r="IP115" s="172"/>
      <c r="IQ115" s="172"/>
      <c r="IR115" s="172"/>
      <c r="IS115" s="172"/>
      <c r="IT115" s="172"/>
      <c r="IU115" s="172"/>
      <c r="IV115" s="172"/>
      <c r="IW115" s="172"/>
      <c r="IX115" s="172"/>
      <c r="IY115" s="172"/>
      <c r="IZ115" s="172"/>
      <c r="JA115" s="172"/>
      <c r="JB115" s="172"/>
      <c r="JC115" s="172"/>
      <c r="JD115" s="172"/>
      <c r="JE115" s="172"/>
      <c r="JF115" s="172"/>
      <c r="JG115" s="172"/>
      <c r="JH115" s="172"/>
      <c r="JI115" s="172"/>
      <c r="JJ115" s="172"/>
      <c r="JK115" s="172"/>
      <c r="JL115" s="172"/>
      <c r="JM115" s="172"/>
      <c r="JN115" s="172"/>
      <c r="JO115" s="172"/>
      <c r="JP115" s="172"/>
      <c r="JQ115" s="172"/>
      <c r="JR115" s="172"/>
      <c r="JS115" s="172"/>
      <c r="JT115" s="172"/>
      <c r="JU115" s="172"/>
      <c r="JV115" s="172"/>
      <c r="JW115" s="172"/>
      <c r="JX115" s="172"/>
      <c r="JY115" s="172"/>
      <c r="JZ115" s="172"/>
      <c r="KA115" s="172"/>
      <c r="KB115" s="172"/>
      <c r="KC115" s="172"/>
      <c r="KD115" s="172"/>
      <c r="KE115" s="172"/>
      <c r="KF115" s="172"/>
      <c r="KG115" s="172"/>
      <c r="KH115" s="172"/>
      <c r="KI115" s="172"/>
      <c r="KJ115" s="172"/>
      <c r="KK115" s="172"/>
      <c r="KL115" s="172"/>
      <c r="KM115" s="172"/>
      <c r="KN115" s="172"/>
      <c r="KO115" s="172"/>
      <c r="KP115" s="172"/>
      <c r="KQ115" s="172"/>
      <c r="KR115" s="172"/>
      <c r="KS115" s="172"/>
      <c r="KT115" s="172"/>
      <c r="KU115" s="172"/>
      <c r="KV115" s="172"/>
      <c r="KW115" s="172"/>
      <c r="KX115" s="172"/>
      <c r="KY115" s="172"/>
      <c r="KZ115" s="172"/>
      <c r="LA115" s="172"/>
      <c r="LB115" s="172"/>
      <c r="LC115" s="172"/>
      <c r="LD115" s="172"/>
      <c r="LE115" s="172"/>
      <c r="LF115" s="172"/>
      <c r="LG115" s="172"/>
      <c r="LH115" s="172"/>
      <c r="LI115" s="172"/>
      <c r="LJ115" s="172"/>
      <c r="LK115" s="172"/>
      <c r="LL115" s="172"/>
      <c r="LM115" s="172"/>
      <c r="LN115" s="172"/>
      <c r="LO115" s="172"/>
      <c r="LP115" s="172"/>
      <c r="LQ115" s="172"/>
      <c r="LR115" s="172"/>
      <c r="LS115" s="172"/>
      <c r="LT115" s="172"/>
      <c r="LU115" s="172"/>
      <c r="LV115" s="172"/>
      <c r="LW115" s="172"/>
      <c r="LX115" s="172"/>
      <c r="LY115" s="172"/>
      <c r="LZ115" s="172"/>
      <c r="MA115" s="172"/>
      <c r="MB115" s="172"/>
      <c r="MC115" s="172"/>
      <c r="MD115" s="172"/>
      <c r="ME115" s="172"/>
      <c r="MF115" s="172"/>
      <c r="MG115" s="172"/>
      <c r="MH115" s="172"/>
      <c r="MI115" s="172"/>
      <c r="MJ115" s="172"/>
      <c r="MK115" s="172"/>
      <c r="ML115" s="172"/>
      <c r="MM115" s="172"/>
      <c r="MN115" s="172"/>
      <c r="MO115" s="172"/>
      <c r="MP115" s="172"/>
      <c r="MQ115" s="172"/>
      <c r="MR115" s="172"/>
      <c r="MS115" s="172"/>
      <c r="MT115" s="172"/>
      <c r="MU115" s="172"/>
      <c r="MV115" s="172"/>
      <c r="MW115" s="172"/>
      <c r="MX115" s="172"/>
      <c r="MY115" s="172"/>
      <c r="MZ115" s="172"/>
      <c r="NA115" s="172"/>
      <c r="NB115" s="172"/>
      <c r="NC115" s="172"/>
      <c r="ND115" s="172"/>
      <c r="NE115" s="172"/>
      <c r="NF115" s="172"/>
      <c r="NG115" s="172"/>
      <c r="NH115" s="172"/>
      <c r="NI115" s="172"/>
      <c r="NJ115" s="172"/>
      <c r="NK115" s="172"/>
      <c r="NL115" s="172"/>
      <c r="NM115" s="172"/>
      <c r="NN115" s="172"/>
      <c r="NO115" s="172"/>
      <c r="NP115" s="172"/>
      <c r="NQ115" s="172"/>
      <c r="NR115" s="172"/>
      <c r="NS115" s="172"/>
      <c r="NT115" s="172"/>
      <c r="NU115" s="172"/>
      <c r="NV115" s="172"/>
      <c r="NW115" s="172"/>
      <c r="NX115" s="172"/>
      <c r="NY115" s="172"/>
      <c r="NZ115" s="172"/>
      <c r="OA115" s="172"/>
      <c r="OB115" s="172"/>
      <c r="OC115" s="172"/>
      <c r="OD115" s="172"/>
      <c r="OE115" s="172"/>
      <c r="OF115" s="172"/>
      <c r="OG115" s="172"/>
      <c r="OH115" s="172"/>
      <c r="OI115" s="172"/>
      <c r="OJ115" s="172"/>
      <c r="OK115" s="172"/>
      <c r="OL115" s="172"/>
      <c r="OM115" s="172"/>
      <c r="ON115" s="172"/>
      <c r="OO115" s="172"/>
      <c r="OP115" s="172"/>
      <c r="OQ115" s="172"/>
      <c r="OR115" s="172"/>
      <c r="OS115" s="172"/>
      <c r="OT115" s="172"/>
      <c r="OU115" s="172"/>
      <c r="OV115" s="172"/>
      <c r="OW115" s="172"/>
      <c r="OX115" s="172"/>
      <c r="OY115" s="172"/>
      <c r="OZ115" s="172"/>
      <c r="PA115" s="172"/>
      <c r="PB115" s="172"/>
      <c r="PC115" s="172"/>
      <c r="PD115" s="172"/>
      <c r="PE115" s="172"/>
      <c r="PF115" s="172"/>
      <c r="PG115" s="172"/>
      <c r="PH115" s="172"/>
      <c r="PI115" s="172"/>
      <c r="PJ115" s="172"/>
      <c r="PK115" s="172"/>
      <c r="PL115" s="172"/>
      <c r="PM115" s="172"/>
      <c r="PN115" s="172"/>
      <c r="PO115" s="172"/>
      <c r="PP115" s="172"/>
      <c r="PQ115" s="172"/>
      <c r="PR115" s="172"/>
      <c r="PS115" s="172"/>
      <c r="PT115" s="172"/>
      <c r="PU115" s="172"/>
      <c r="PV115" s="172"/>
      <c r="PW115" s="172"/>
      <c r="PX115" s="172"/>
      <c r="PY115" s="172"/>
      <c r="PZ115" s="172"/>
      <c r="QA115" s="172"/>
      <c r="QB115" s="172"/>
      <c r="QC115" s="172"/>
      <c r="QD115" s="172"/>
      <c r="QE115" s="172"/>
      <c r="QF115" s="172"/>
      <c r="QG115" s="172"/>
      <c r="QH115" s="172"/>
      <c r="QI115" s="172"/>
      <c r="QJ115" s="172"/>
      <c r="QK115" s="172"/>
      <c r="QL115" s="172"/>
      <c r="QM115" s="172"/>
      <c r="QN115" s="172"/>
      <c r="QO115" s="172"/>
      <c r="QP115" s="172"/>
      <c r="QQ115" s="172"/>
      <c r="QR115" s="172"/>
      <c r="QS115" s="172"/>
      <c r="QT115" s="172"/>
      <c r="QU115" s="172"/>
      <c r="QV115" s="172"/>
      <c r="QW115" s="172"/>
      <c r="QX115" s="172"/>
      <c r="QY115" s="172"/>
      <c r="QZ115" s="172"/>
      <c r="RA115" s="172"/>
      <c r="RB115" s="172"/>
      <c r="RC115" s="172"/>
      <c r="RD115" s="172"/>
      <c r="RE115" s="172"/>
      <c r="RF115" s="172"/>
      <c r="RG115" s="172"/>
      <c r="RH115" s="172"/>
      <c r="RI115" s="172"/>
      <c r="RJ115" s="172"/>
      <c r="RK115" s="172"/>
      <c r="RL115" s="172"/>
      <c r="RM115" s="172"/>
      <c r="RN115" s="172"/>
      <c r="RO115" s="172"/>
      <c r="RP115" s="172"/>
      <c r="RQ115" s="172"/>
      <c r="RR115" s="172"/>
      <c r="RS115" s="172"/>
      <c r="RT115" s="172"/>
      <c r="RU115" s="172"/>
      <c r="RV115" s="172"/>
      <c r="RW115" s="172"/>
      <c r="RX115" s="172"/>
      <c r="RY115" s="172"/>
      <c r="RZ115" s="172"/>
      <c r="SA115" s="172"/>
      <c r="SB115" s="172"/>
      <c r="SC115" s="172"/>
      <c r="SD115" s="172"/>
      <c r="SE115" s="172"/>
      <c r="SF115" s="172"/>
      <c r="SG115" s="172"/>
      <c r="SH115" s="172"/>
      <c r="SI115" s="172"/>
      <c r="SJ115" s="172"/>
      <c r="SK115" s="172"/>
      <c r="SL115" s="172"/>
      <c r="SM115" s="172"/>
      <c r="SN115" s="172"/>
      <c r="SO115" s="172"/>
      <c r="SP115" s="172"/>
      <c r="SQ115" s="172"/>
      <c r="SR115" s="172"/>
      <c r="SS115" s="172"/>
      <c r="ST115" s="172"/>
      <c r="SU115" s="172"/>
      <c r="SV115" s="172"/>
      <c r="SW115" s="172"/>
      <c r="SX115" s="172"/>
      <c r="SY115" s="172"/>
      <c r="SZ115" s="172"/>
      <c r="TA115" s="172"/>
      <c r="TB115" s="172"/>
      <c r="TC115" s="172"/>
      <c r="TD115" s="172"/>
      <c r="TE115" s="172"/>
      <c r="TF115" s="172"/>
      <c r="TG115" s="172"/>
      <c r="TH115" s="172"/>
      <c r="TI115" s="172"/>
      <c r="TJ115" s="172"/>
      <c r="TK115" s="172"/>
      <c r="TL115" s="172"/>
      <c r="TM115" s="172"/>
      <c r="TN115" s="172"/>
      <c r="TO115" s="172"/>
      <c r="TP115" s="172"/>
      <c r="TQ115" s="172"/>
      <c r="TR115" s="172"/>
      <c r="TS115" s="172"/>
      <c r="TT115" s="172"/>
      <c r="TU115" s="172"/>
      <c r="TV115" s="172"/>
      <c r="TW115" s="172"/>
      <c r="TX115" s="172"/>
      <c r="TY115" s="172"/>
      <c r="TZ115" s="172"/>
      <c r="UA115" s="172"/>
      <c r="UB115" s="172"/>
      <c r="UC115" s="172"/>
      <c r="UD115" s="172"/>
      <c r="UE115" s="172"/>
      <c r="UF115" s="172"/>
      <c r="UG115" s="172"/>
      <c r="UH115" s="172"/>
      <c r="UI115" s="172"/>
      <c r="UJ115" s="172"/>
      <c r="UK115" s="172"/>
      <c r="UL115" s="172"/>
      <c r="UM115" s="172"/>
      <c r="UN115" s="172"/>
      <c r="UO115" s="172"/>
      <c r="UP115" s="172"/>
      <c r="UQ115" s="172"/>
      <c r="UR115" s="172"/>
      <c r="US115" s="172"/>
      <c r="UT115" s="172"/>
      <c r="UU115" s="172"/>
      <c r="UV115" s="172"/>
      <c r="UW115" s="172"/>
      <c r="UX115" s="172"/>
      <c r="UY115" s="172"/>
      <c r="UZ115" s="172"/>
      <c r="VA115" s="172"/>
      <c r="VB115" s="172"/>
      <c r="VC115" s="172"/>
      <c r="VD115" s="172"/>
      <c r="VE115" s="172"/>
      <c r="VF115" s="172"/>
      <c r="VG115" s="172"/>
      <c r="VH115" s="172"/>
      <c r="VI115" s="172"/>
      <c r="VJ115" s="172"/>
      <c r="VK115" s="172"/>
      <c r="VL115" s="172"/>
      <c r="VM115" s="172"/>
      <c r="VN115" s="172"/>
      <c r="VO115" s="172"/>
      <c r="VP115" s="172"/>
      <c r="VQ115" s="172"/>
      <c r="VR115" s="172"/>
      <c r="VS115" s="172"/>
      <c r="VT115" s="172"/>
      <c r="VU115" s="172"/>
      <c r="VV115" s="172"/>
      <c r="VW115" s="172"/>
      <c r="VX115" s="172"/>
      <c r="VY115" s="172"/>
      <c r="VZ115" s="172"/>
      <c r="WA115" s="172"/>
      <c r="WB115" s="172"/>
      <c r="WC115" s="172"/>
      <c r="WD115" s="172"/>
      <c r="WE115" s="172"/>
      <c r="WF115" s="172"/>
      <c r="WG115" s="172"/>
      <c r="WH115" s="172"/>
      <c r="WI115" s="172"/>
      <c r="WJ115" s="172"/>
      <c r="WK115" s="172"/>
      <c r="WL115" s="172"/>
      <c r="WM115" s="172"/>
      <c r="WN115" s="172"/>
      <c r="WO115" s="172"/>
      <c r="WP115" s="172"/>
      <c r="WQ115" s="172"/>
      <c r="WR115" s="172"/>
      <c r="WS115" s="172"/>
      <c r="WT115" s="172"/>
      <c r="WU115" s="172"/>
      <c r="WV115" s="172"/>
      <c r="WW115" s="172"/>
      <c r="WX115" s="172"/>
      <c r="WY115" s="172"/>
      <c r="WZ115" s="172"/>
      <c r="XA115" s="172"/>
      <c r="XB115" s="172"/>
      <c r="XC115" s="172"/>
      <c r="XD115" s="172"/>
      <c r="XE115" s="172"/>
      <c r="XF115" s="172"/>
      <c r="XG115" s="172"/>
      <c r="XH115" s="172"/>
      <c r="XI115" s="172"/>
      <c r="XJ115" s="172"/>
      <c r="XK115" s="172"/>
      <c r="XL115" s="172"/>
      <c r="XM115" s="172"/>
      <c r="XN115" s="172"/>
      <c r="XO115" s="172"/>
      <c r="XP115" s="172"/>
      <c r="XQ115" s="172"/>
      <c r="XR115" s="172"/>
      <c r="XS115" s="172"/>
      <c r="XT115" s="172"/>
      <c r="XU115" s="172"/>
      <c r="XV115" s="172"/>
      <c r="XW115" s="172"/>
      <c r="XX115" s="172"/>
      <c r="XY115" s="172"/>
      <c r="XZ115" s="172"/>
      <c r="YA115" s="172"/>
      <c r="YB115" s="172"/>
      <c r="YC115" s="172"/>
      <c r="YD115" s="172"/>
      <c r="YE115" s="172"/>
      <c r="YF115" s="172"/>
      <c r="YG115" s="172"/>
      <c r="YH115" s="172"/>
      <c r="YI115" s="172"/>
      <c r="YJ115" s="172"/>
      <c r="YK115" s="172"/>
      <c r="YL115" s="172"/>
      <c r="YM115" s="172"/>
      <c r="YN115" s="172"/>
      <c r="YO115" s="172"/>
      <c r="YP115" s="172"/>
      <c r="YQ115" s="172"/>
      <c r="YR115" s="172"/>
      <c r="YS115" s="172"/>
      <c r="YT115" s="172"/>
      <c r="YU115" s="172"/>
      <c r="YV115" s="172"/>
      <c r="YW115" s="172"/>
      <c r="YX115" s="172"/>
      <c r="YY115" s="172"/>
      <c r="YZ115" s="172"/>
      <c r="ZA115" s="172"/>
      <c r="ZB115" s="172"/>
      <c r="ZC115" s="172"/>
      <c r="ZD115" s="172"/>
      <c r="ZE115" s="172"/>
      <c r="ZF115" s="172"/>
      <c r="ZG115" s="172"/>
      <c r="ZH115" s="172"/>
      <c r="ZI115" s="172"/>
      <c r="ZJ115" s="172"/>
      <c r="ZK115" s="172"/>
      <c r="ZL115" s="172"/>
      <c r="ZM115" s="172"/>
      <c r="ZN115" s="172"/>
      <c r="ZO115" s="172"/>
      <c r="ZP115" s="172"/>
      <c r="ZQ115" s="172"/>
      <c r="ZR115" s="172"/>
      <c r="ZS115" s="172"/>
      <c r="ZT115" s="172"/>
      <c r="ZU115" s="172"/>
      <c r="ZV115" s="172"/>
      <c r="ZW115" s="172"/>
      <c r="ZX115" s="172"/>
      <c r="ZY115" s="172"/>
      <c r="ZZ115" s="172"/>
      <c r="AAA115" s="172"/>
      <c r="AAB115" s="172"/>
      <c r="AAC115" s="172"/>
      <c r="AAD115" s="172"/>
      <c r="AAE115" s="172"/>
      <c r="AAF115" s="172"/>
      <c r="AAG115" s="172"/>
      <c r="AAH115" s="172"/>
      <c r="AAI115" s="172"/>
      <c r="AAJ115" s="172"/>
      <c r="AAK115" s="172"/>
      <c r="AAL115" s="172"/>
      <c r="AAM115" s="172"/>
      <c r="AAN115" s="172"/>
      <c r="AAO115" s="172"/>
      <c r="AAP115" s="172"/>
      <c r="AAQ115" s="172"/>
      <c r="AAR115" s="172"/>
      <c r="AAS115" s="172"/>
      <c r="AAT115" s="172"/>
      <c r="AAU115" s="172"/>
      <c r="AAV115" s="172"/>
      <c r="AAW115" s="172"/>
      <c r="AAX115" s="172"/>
      <c r="AAY115" s="172"/>
      <c r="AAZ115" s="172"/>
      <c r="ABA115" s="172"/>
      <c r="ABB115" s="172"/>
      <c r="ABC115" s="172"/>
      <c r="ABD115" s="172"/>
      <c r="ABE115" s="172"/>
      <c r="ABF115" s="172"/>
      <c r="ABG115" s="172"/>
      <c r="ABH115" s="172"/>
      <c r="ABI115" s="172"/>
      <c r="ABJ115" s="172"/>
      <c r="ABK115" s="172"/>
      <c r="ABL115" s="172"/>
      <c r="ABM115" s="172"/>
      <c r="ABN115" s="172"/>
      <c r="ABO115" s="172"/>
      <c r="ABP115" s="172"/>
      <c r="ABQ115" s="172"/>
      <c r="ABR115" s="172"/>
      <c r="ABS115" s="172"/>
      <c r="ABT115" s="172"/>
      <c r="ABU115" s="172"/>
      <c r="ABV115" s="172"/>
      <c r="ABW115" s="172"/>
      <c r="ABX115" s="172"/>
      <c r="ABY115" s="172"/>
      <c r="ABZ115" s="172"/>
      <c r="ACA115" s="172"/>
      <c r="ACB115" s="172"/>
      <c r="ACC115" s="172"/>
      <c r="ACD115" s="172"/>
      <c r="ACE115" s="172"/>
      <c r="ACF115" s="172"/>
      <c r="ACG115" s="172"/>
      <c r="ACH115" s="172"/>
      <c r="ACI115" s="172"/>
      <c r="ACJ115" s="172"/>
      <c r="ACK115" s="172"/>
      <c r="ACL115" s="172"/>
      <c r="ACM115" s="172"/>
      <c r="ACN115" s="172"/>
      <c r="ACO115" s="172"/>
      <c r="ACP115" s="172"/>
      <c r="ACQ115" s="172"/>
      <c r="ACR115" s="172"/>
      <c r="ACS115" s="172"/>
      <c r="ACT115" s="172"/>
      <c r="ACU115" s="172"/>
      <c r="ACV115" s="172"/>
      <c r="ACW115" s="172"/>
      <c r="ACX115" s="172"/>
      <c r="ACY115" s="172"/>
      <c r="ACZ115" s="172"/>
      <c r="ADA115" s="172"/>
      <c r="ADB115" s="172"/>
      <c r="ADC115" s="172"/>
      <c r="ADD115" s="172"/>
      <c r="ADE115" s="172"/>
      <c r="ADF115" s="172"/>
      <c r="ADG115" s="172"/>
      <c r="ADH115" s="172"/>
      <c r="ADI115" s="172"/>
      <c r="ADJ115" s="172"/>
      <c r="ADK115" s="172"/>
      <c r="ADL115" s="172"/>
      <c r="ADM115" s="172"/>
      <c r="ADN115" s="172"/>
      <c r="ADO115" s="172"/>
      <c r="ADP115" s="172"/>
      <c r="ADQ115" s="172"/>
      <c r="ADR115" s="172"/>
      <c r="ADS115" s="172"/>
      <c r="ADT115" s="172"/>
      <c r="ADU115" s="172"/>
      <c r="ADV115" s="172"/>
      <c r="ADW115" s="172"/>
      <c r="ADX115" s="172"/>
      <c r="ADY115" s="172"/>
      <c r="ADZ115" s="172"/>
      <c r="AEA115" s="172"/>
      <c r="AEB115" s="172"/>
      <c r="AEC115" s="172"/>
      <c r="AED115" s="172"/>
      <c r="AEE115" s="172"/>
      <c r="AEF115" s="172"/>
      <c r="AEG115" s="172"/>
      <c r="AEH115" s="172"/>
      <c r="AEI115" s="172"/>
      <c r="AEJ115" s="172"/>
      <c r="AEK115" s="172"/>
      <c r="AEL115" s="172"/>
      <c r="AEM115" s="172"/>
      <c r="AEN115" s="172"/>
      <c r="AEO115" s="172"/>
      <c r="AEP115" s="172"/>
      <c r="AEQ115" s="172"/>
      <c r="AER115" s="172"/>
      <c r="AES115" s="172"/>
      <c r="AET115" s="172"/>
      <c r="AEU115" s="172"/>
      <c r="AEV115" s="172"/>
      <c r="AEW115" s="172"/>
      <c r="AEX115" s="172"/>
      <c r="AEY115" s="172"/>
      <c r="AEZ115" s="172"/>
      <c r="AFA115" s="172"/>
      <c r="AFB115" s="172"/>
      <c r="AFC115" s="172"/>
      <c r="AFD115" s="172"/>
      <c r="AFE115" s="172"/>
      <c r="AFF115" s="172"/>
      <c r="AFG115" s="172"/>
      <c r="AFH115" s="172"/>
      <c r="AFI115" s="172"/>
      <c r="AFJ115" s="172"/>
      <c r="AFK115" s="172"/>
      <c r="AFL115" s="172"/>
      <c r="AFM115" s="172"/>
      <c r="AFN115" s="172"/>
      <c r="AFO115" s="172"/>
      <c r="AFP115" s="172"/>
      <c r="AFQ115" s="172"/>
      <c r="AFR115" s="172"/>
      <c r="AFS115" s="172"/>
      <c r="AFT115" s="172"/>
      <c r="AFU115" s="172"/>
      <c r="AFV115" s="172"/>
      <c r="AFW115" s="172"/>
      <c r="AFX115" s="172"/>
      <c r="AFY115" s="172"/>
      <c r="AFZ115" s="172"/>
      <c r="AGA115" s="172"/>
      <c r="AGB115" s="172"/>
      <c r="AGC115" s="172"/>
      <c r="AGD115" s="172"/>
      <c r="AGE115" s="172"/>
      <c r="AGF115" s="172"/>
      <c r="AGG115" s="172"/>
      <c r="AGH115" s="172"/>
      <c r="AGI115" s="172"/>
      <c r="AGJ115" s="172"/>
      <c r="AGK115" s="172"/>
      <c r="AGL115" s="172"/>
      <c r="AGM115" s="172"/>
      <c r="AGN115" s="172"/>
      <c r="AGO115" s="172"/>
      <c r="AGP115" s="172"/>
      <c r="AGQ115" s="172"/>
      <c r="AGR115" s="172"/>
      <c r="AGS115" s="172"/>
      <c r="AGT115" s="172"/>
      <c r="AGU115" s="172"/>
      <c r="AGV115" s="172"/>
      <c r="AGW115" s="172"/>
      <c r="AGX115" s="172"/>
      <c r="AGY115" s="172"/>
      <c r="AGZ115" s="172"/>
      <c r="AHA115" s="172"/>
      <c r="AHB115" s="172"/>
      <c r="AHC115" s="172"/>
      <c r="AHD115" s="172"/>
      <c r="AHE115" s="172"/>
      <c r="AHF115" s="172"/>
      <c r="AHG115" s="172"/>
      <c r="AHH115" s="172"/>
      <c r="AHI115" s="172"/>
      <c r="AHJ115" s="172"/>
      <c r="AHK115" s="172"/>
      <c r="AHL115" s="172"/>
      <c r="AHM115" s="172"/>
      <c r="AHN115" s="172"/>
      <c r="AHO115" s="172"/>
      <c r="AHP115" s="172"/>
      <c r="AHQ115" s="172"/>
      <c r="AHR115" s="172"/>
      <c r="AHS115" s="172"/>
      <c r="AHT115" s="172"/>
      <c r="AHU115" s="172"/>
      <c r="AHV115" s="172"/>
      <c r="AHW115" s="172"/>
      <c r="AHX115" s="172"/>
      <c r="AHY115" s="172"/>
      <c r="AHZ115" s="172"/>
      <c r="AIA115" s="172"/>
      <c r="AIB115" s="172"/>
      <c r="AIC115" s="172"/>
      <c r="AID115" s="172"/>
      <c r="AIE115" s="172"/>
      <c r="AIF115" s="172"/>
      <c r="AIG115" s="172"/>
      <c r="AIH115" s="172"/>
      <c r="AII115" s="172"/>
      <c r="AIJ115" s="172"/>
      <c r="AIK115" s="172"/>
      <c r="AIL115" s="172"/>
      <c r="AIM115" s="172"/>
      <c r="AIN115" s="172"/>
      <c r="AIO115" s="172"/>
      <c r="AIP115" s="172"/>
      <c r="AIQ115" s="172"/>
      <c r="AIR115" s="172"/>
      <c r="AIS115" s="172"/>
      <c r="AIT115" s="172"/>
      <c r="AIU115" s="172"/>
      <c r="AIV115" s="172"/>
      <c r="AIW115" s="172"/>
      <c r="AIX115" s="172"/>
      <c r="AIY115" s="172"/>
      <c r="AIZ115" s="172"/>
      <c r="AJA115" s="172"/>
      <c r="AJB115" s="172"/>
      <c r="AJC115" s="172"/>
      <c r="AJD115" s="172"/>
      <c r="AJE115" s="172"/>
      <c r="AJF115" s="172"/>
      <c r="AJG115" s="172"/>
      <c r="AJH115" s="172"/>
      <c r="AJI115" s="172"/>
      <c r="AJJ115" s="172"/>
      <c r="AJK115" s="172"/>
      <c r="AJL115" s="172"/>
      <c r="AJM115" s="172"/>
      <c r="AJN115" s="172"/>
      <c r="AJO115" s="172"/>
      <c r="AJP115" s="172"/>
      <c r="AJQ115" s="172"/>
      <c r="AJR115" s="172"/>
      <c r="AJS115" s="172"/>
      <c r="AJT115" s="172"/>
      <c r="AJU115" s="172"/>
      <c r="AJV115" s="172"/>
      <c r="AJW115" s="172"/>
      <c r="AJX115" s="172"/>
      <c r="AJY115" s="172"/>
      <c r="AJZ115" s="172"/>
      <c r="AKA115" s="172"/>
      <c r="AKB115" s="172"/>
      <c r="AKC115" s="172"/>
      <c r="AKD115" s="172"/>
      <c r="AKE115" s="172"/>
      <c r="AKF115" s="172"/>
      <c r="AKG115" s="172"/>
      <c r="AKH115" s="172"/>
      <c r="AKI115" s="172"/>
      <c r="AKJ115" s="172"/>
      <c r="AKK115" s="172"/>
      <c r="AKL115" s="172"/>
      <c r="AKM115" s="172"/>
      <c r="AKN115" s="172"/>
      <c r="AKO115" s="172"/>
      <c r="AKP115" s="172"/>
      <c r="AKQ115" s="172"/>
      <c r="AKR115" s="172"/>
      <c r="AKS115" s="172"/>
      <c r="AKT115" s="172"/>
      <c r="AKU115" s="172"/>
      <c r="AKV115" s="172"/>
      <c r="AKW115" s="172"/>
      <c r="AKX115" s="172"/>
      <c r="AKY115" s="172"/>
      <c r="AKZ115" s="172"/>
      <c r="ALA115" s="172"/>
      <c r="ALB115" s="172"/>
      <c r="ALC115" s="172"/>
      <c r="ALD115" s="172"/>
      <c r="ALE115" s="172"/>
      <c r="ALF115" s="172"/>
      <c r="ALG115" s="172"/>
      <c r="ALH115" s="172"/>
      <c r="ALI115" s="172"/>
      <c r="ALJ115" s="172"/>
      <c r="ALK115" s="172"/>
      <c r="ALL115" s="172"/>
      <c r="ALM115" s="172"/>
      <c r="ALN115" s="172"/>
      <c r="ALO115" s="172"/>
      <c r="ALP115" s="172"/>
      <c r="ALQ115" s="172"/>
      <c r="ALR115" s="172"/>
      <c r="ALS115" s="172"/>
      <c r="ALT115" s="172"/>
      <c r="ALU115" s="172"/>
      <c r="ALV115" s="172"/>
      <c r="ALW115" s="172"/>
      <c r="ALX115" s="172"/>
      <c r="ALY115" s="172"/>
      <c r="ALZ115" s="172"/>
      <c r="AMA115" s="172"/>
      <c r="AMB115" s="172"/>
      <c r="AMC115" s="172"/>
      <c r="AMD115" s="172"/>
      <c r="AME115" s="172"/>
      <c r="AMF115" s="172"/>
      <c r="AMG115" s="172"/>
      <c r="AMH115" s="172"/>
      <c r="AMI115" s="172"/>
      <c r="AMJ115" s="172"/>
    </row>
    <row r="116" s="7" customFormat="true" ht="15.75" hidden="false" customHeight="true" outlineLevel="0" collapsed="false">
      <c r="A116" s="172"/>
      <c r="B116" s="48"/>
      <c r="C116" s="64" t="s">
        <v>110</v>
      </c>
      <c r="D116" s="60" t="n">
        <v>20</v>
      </c>
      <c r="E116" s="60" t="n">
        <v>1</v>
      </c>
      <c r="F116" s="145"/>
      <c r="G116" s="24"/>
      <c r="H116" s="48"/>
      <c r="I116" s="64" t="s">
        <v>110</v>
      </c>
      <c r="J116" s="60" t="n">
        <v>20</v>
      </c>
      <c r="K116" s="60" t="n">
        <v>1</v>
      </c>
      <c r="L116" s="145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  <c r="AA116" s="172"/>
      <c r="AB116" s="172"/>
      <c r="AC116" s="172"/>
      <c r="AD116" s="172"/>
      <c r="AE116" s="172"/>
      <c r="AF116" s="172"/>
      <c r="AG116" s="172"/>
      <c r="AH116" s="172"/>
      <c r="AI116" s="172"/>
      <c r="AJ116" s="172"/>
      <c r="AK116" s="172"/>
      <c r="AL116" s="172"/>
      <c r="AM116" s="172"/>
      <c r="AN116" s="172"/>
      <c r="AO116" s="172"/>
      <c r="AP116" s="172"/>
      <c r="AQ116" s="172"/>
      <c r="AR116" s="172"/>
      <c r="AS116" s="172"/>
      <c r="AT116" s="172"/>
      <c r="AU116" s="172"/>
      <c r="AV116" s="172"/>
      <c r="AW116" s="172"/>
      <c r="AX116" s="172"/>
      <c r="AY116" s="172"/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172"/>
      <c r="BM116" s="172"/>
      <c r="BN116" s="172"/>
      <c r="BO116" s="172"/>
      <c r="BP116" s="172"/>
      <c r="BQ116" s="172"/>
      <c r="BR116" s="172"/>
      <c r="BS116" s="172"/>
      <c r="BT116" s="172"/>
      <c r="BU116" s="172"/>
      <c r="BV116" s="172"/>
      <c r="BW116" s="172"/>
      <c r="BX116" s="172"/>
      <c r="BY116" s="172"/>
      <c r="BZ116" s="172"/>
      <c r="CA116" s="172"/>
      <c r="CB116" s="172"/>
      <c r="CC116" s="172"/>
      <c r="CD116" s="172"/>
      <c r="CE116" s="172"/>
      <c r="CF116" s="172"/>
      <c r="CG116" s="172"/>
      <c r="CH116" s="172"/>
      <c r="CI116" s="172"/>
      <c r="CJ116" s="172"/>
      <c r="CK116" s="172"/>
      <c r="CL116" s="172"/>
      <c r="CM116" s="172"/>
      <c r="CN116" s="172"/>
      <c r="CO116" s="172"/>
      <c r="CP116" s="172"/>
      <c r="CQ116" s="172"/>
      <c r="CR116" s="172"/>
      <c r="CS116" s="172"/>
      <c r="CT116" s="172"/>
      <c r="CU116" s="172"/>
      <c r="CV116" s="172"/>
      <c r="CW116" s="172"/>
      <c r="CX116" s="172"/>
      <c r="CY116" s="172"/>
      <c r="CZ116" s="172"/>
      <c r="DA116" s="172"/>
      <c r="DB116" s="172"/>
      <c r="DC116" s="172"/>
      <c r="DD116" s="172"/>
      <c r="DE116" s="172"/>
      <c r="DF116" s="172"/>
      <c r="DG116" s="172"/>
      <c r="DH116" s="172"/>
      <c r="DI116" s="172"/>
      <c r="DJ116" s="172"/>
      <c r="DK116" s="172"/>
      <c r="DL116" s="172"/>
      <c r="DM116" s="172"/>
      <c r="DN116" s="172"/>
      <c r="DO116" s="172"/>
      <c r="DP116" s="172"/>
      <c r="DQ116" s="172"/>
      <c r="DR116" s="172"/>
      <c r="DS116" s="172"/>
      <c r="DT116" s="172"/>
      <c r="DU116" s="172"/>
      <c r="DV116" s="172"/>
      <c r="DW116" s="172"/>
      <c r="DX116" s="172"/>
      <c r="DY116" s="172"/>
      <c r="DZ116" s="172"/>
      <c r="EA116" s="172"/>
      <c r="EB116" s="172"/>
      <c r="EC116" s="172"/>
      <c r="ED116" s="172"/>
      <c r="EE116" s="172"/>
      <c r="EF116" s="172"/>
      <c r="EG116" s="172"/>
      <c r="EH116" s="172"/>
      <c r="EI116" s="172"/>
      <c r="EJ116" s="172"/>
      <c r="EK116" s="172"/>
      <c r="EL116" s="172"/>
      <c r="EM116" s="172"/>
      <c r="EN116" s="172"/>
      <c r="EO116" s="172"/>
      <c r="EP116" s="172"/>
      <c r="EQ116" s="172"/>
      <c r="ER116" s="172"/>
      <c r="ES116" s="172"/>
      <c r="ET116" s="172"/>
      <c r="EU116" s="172"/>
      <c r="EV116" s="172"/>
      <c r="EW116" s="172"/>
      <c r="EX116" s="172"/>
      <c r="EY116" s="172"/>
      <c r="EZ116" s="172"/>
      <c r="FA116" s="172"/>
      <c r="FB116" s="172"/>
      <c r="FC116" s="172"/>
      <c r="FD116" s="172"/>
      <c r="FE116" s="172"/>
      <c r="FF116" s="172"/>
      <c r="FG116" s="172"/>
      <c r="FH116" s="172"/>
      <c r="FI116" s="172"/>
      <c r="FJ116" s="172"/>
      <c r="FK116" s="172"/>
      <c r="FL116" s="172"/>
      <c r="FM116" s="172"/>
      <c r="FN116" s="172"/>
      <c r="FO116" s="172"/>
      <c r="FP116" s="172"/>
      <c r="FQ116" s="172"/>
      <c r="FR116" s="172"/>
      <c r="FS116" s="172"/>
      <c r="FT116" s="172"/>
      <c r="FU116" s="172"/>
      <c r="FV116" s="172"/>
      <c r="FW116" s="172"/>
      <c r="FX116" s="172"/>
      <c r="FY116" s="172"/>
      <c r="FZ116" s="172"/>
      <c r="GA116" s="172"/>
      <c r="GB116" s="172"/>
      <c r="GC116" s="172"/>
      <c r="GD116" s="172"/>
      <c r="GE116" s="172"/>
      <c r="GF116" s="172"/>
      <c r="GG116" s="172"/>
      <c r="GH116" s="172"/>
      <c r="GI116" s="172"/>
      <c r="GJ116" s="172"/>
      <c r="GK116" s="172"/>
      <c r="GL116" s="172"/>
      <c r="GM116" s="172"/>
      <c r="GN116" s="172"/>
      <c r="GO116" s="172"/>
      <c r="GP116" s="172"/>
      <c r="GQ116" s="172"/>
      <c r="GR116" s="172"/>
      <c r="GS116" s="172"/>
      <c r="GT116" s="172"/>
      <c r="GU116" s="172"/>
      <c r="GV116" s="172"/>
      <c r="GW116" s="172"/>
      <c r="GX116" s="172"/>
      <c r="GY116" s="172"/>
      <c r="GZ116" s="172"/>
      <c r="HA116" s="172"/>
      <c r="HB116" s="172"/>
      <c r="HC116" s="172"/>
      <c r="HD116" s="172"/>
      <c r="HE116" s="172"/>
      <c r="HF116" s="172"/>
      <c r="HG116" s="172"/>
      <c r="HH116" s="172"/>
      <c r="HI116" s="172"/>
      <c r="HJ116" s="172"/>
      <c r="HK116" s="172"/>
      <c r="HL116" s="172"/>
      <c r="HM116" s="172"/>
      <c r="HN116" s="172"/>
      <c r="HO116" s="172"/>
      <c r="HP116" s="172"/>
      <c r="HQ116" s="172"/>
      <c r="HR116" s="172"/>
      <c r="HS116" s="172"/>
      <c r="HT116" s="172"/>
      <c r="HU116" s="172"/>
      <c r="HV116" s="172"/>
      <c r="HW116" s="172"/>
      <c r="HX116" s="172"/>
      <c r="HY116" s="172"/>
      <c r="HZ116" s="172"/>
      <c r="IA116" s="172"/>
      <c r="IB116" s="172"/>
      <c r="IC116" s="172"/>
      <c r="ID116" s="172"/>
      <c r="IE116" s="172"/>
      <c r="IF116" s="172"/>
      <c r="IG116" s="172"/>
      <c r="IH116" s="172"/>
      <c r="II116" s="172"/>
      <c r="IJ116" s="172"/>
      <c r="IK116" s="172"/>
      <c r="IL116" s="172"/>
      <c r="IM116" s="172"/>
      <c r="IN116" s="172"/>
      <c r="IO116" s="172"/>
      <c r="IP116" s="172"/>
      <c r="IQ116" s="172"/>
      <c r="IR116" s="172"/>
      <c r="IS116" s="172"/>
      <c r="IT116" s="172"/>
      <c r="IU116" s="172"/>
      <c r="IV116" s="172"/>
      <c r="IW116" s="172"/>
      <c r="IX116" s="172"/>
      <c r="IY116" s="172"/>
      <c r="IZ116" s="172"/>
      <c r="JA116" s="172"/>
      <c r="JB116" s="172"/>
      <c r="JC116" s="172"/>
      <c r="JD116" s="172"/>
      <c r="JE116" s="172"/>
      <c r="JF116" s="172"/>
      <c r="JG116" s="172"/>
      <c r="JH116" s="172"/>
      <c r="JI116" s="172"/>
      <c r="JJ116" s="172"/>
      <c r="JK116" s="172"/>
      <c r="JL116" s="172"/>
      <c r="JM116" s="172"/>
      <c r="JN116" s="172"/>
      <c r="JO116" s="172"/>
      <c r="JP116" s="172"/>
      <c r="JQ116" s="172"/>
      <c r="JR116" s="172"/>
      <c r="JS116" s="172"/>
      <c r="JT116" s="172"/>
      <c r="JU116" s="172"/>
      <c r="JV116" s="172"/>
      <c r="JW116" s="172"/>
      <c r="JX116" s="172"/>
      <c r="JY116" s="172"/>
      <c r="JZ116" s="172"/>
      <c r="KA116" s="172"/>
      <c r="KB116" s="172"/>
      <c r="KC116" s="172"/>
      <c r="KD116" s="172"/>
      <c r="KE116" s="172"/>
      <c r="KF116" s="172"/>
      <c r="KG116" s="172"/>
      <c r="KH116" s="172"/>
      <c r="KI116" s="172"/>
      <c r="KJ116" s="172"/>
      <c r="KK116" s="172"/>
      <c r="KL116" s="172"/>
      <c r="KM116" s="172"/>
      <c r="KN116" s="172"/>
      <c r="KO116" s="172"/>
      <c r="KP116" s="172"/>
      <c r="KQ116" s="172"/>
      <c r="KR116" s="172"/>
      <c r="KS116" s="172"/>
      <c r="KT116" s="172"/>
      <c r="KU116" s="172"/>
      <c r="KV116" s="172"/>
      <c r="KW116" s="172"/>
      <c r="KX116" s="172"/>
      <c r="KY116" s="172"/>
      <c r="KZ116" s="172"/>
      <c r="LA116" s="172"/>
      <c r="LB116" s="172"/>
      <c r="LC116" s="172"/>
      <c r="LD116" s="172"/>
      <c r="LE116" s="172"/>
      <c r="LF116" s="172"/>
      <c r="LG116" s="172"/>
      <c r="LH116" s="172"/>
      <c r="LI116" s="172"/>
      <c r="LJ116" s="172"/>
      <c r="LK116" s="172"/>
      <c r="LL116" s="172"/>
      <c r="LM116" s="172"/>
      <c r="LN116" s="172"/>
      <c r="LO116" s="172"/>
      <c r="LP116" s="172"/>
      <c r="LQ116" s="172"/>
      <c r="LR116" s="172"/>
      <c r="LS116" s="172"/>
      <c r="LT116" s="172"/>
      <c r="LU116" s="172"/>
      <c r="LV116" s="172"/>
      <c r="LW116" s="172"/>
      <c r="LX116" s="172"/>
      <c r="LY116" s="172"/>
      <c r="LZ116" s="172"/>
      <c r="MA116" s="172"/>
      <c r="MB116" s="172"/>
      <c r="MC116" s="172"/>
      <c r="MD116" s="172"/>
      <c r="ME116" s="172"/>
      <c r="MF116" s="172"/>
      <c r="MG116" s="172"/>
      <c r="MH116" s="172"/>
      <c r="MI116" s="172"/>
      <c r="MJ116" s="172"/>
      <c r="MK116" s="172"/>
      <c r="ML116" s="172"/>
      <c r="MM116" s="172"/>
      <c r="MN116" s="172"/>
      <c r="MO116" s="172"/>
      <c r="MP116" s="172"/>
      <c r="MQ116" s="172"/>
      <c r="MR116" s="172"/>
      <c r="MS116" s="172"/>
      <c r="MT116" s="172"/>
      <c r="MU116" s="172"/>
      <c r="MV116" s="172"/>
      <c r="MW116" s="172"/>
      <c r="MX116" s="172"/>
      <c r="MY116" s="172"/>
      <c r="MZ116" s="172"/>
      <c r="NA116" s="172"/>
      <c r="NB116" s="172"/>
      <c r="NC116" s="172"/>
      <c r="ND116" s="172"/>
      <c r="NE116" s="172"/>
      <c r="NF116" s="172"/>
      <c r="NG116" s="172"/>
      <c r="NH116" s="172"/>
      <c r="NI116" s="172"/>
      <c r="NJ116" s="172"/>
      <c r="NK116" s="172"/>
      <c r="NL116" s="172"/>
      <c r="NM116" s="172"/>
      <c r="NN116" s="172"/>
      <c r="NO116" s="172"/>
      <c r="NP116" s="172"/>
      <c r="NQ116" s="172"/>
      <c r="NR116" s="172"/>
      <c r="NS116" s="172"/>
      <c r="NT116" s="172"/>
      <c r="NU116" s="172"/>
      <c r="NV116" s="172"/>
      <c r="NW116" s="172"/>
      <c r="NX116" s="172"/>
      <c r="NY116" s="172"/>
      <c r="NZ116" s="172"/>
      <c r="OA116" s="172"/>
      <c r="OB116" s="172"/>
      <c r="OC116" s="172"/>
      <c r="OD116" s="172"/>
      <c r="OE116" s="172"/>
      <c r="OF116" s="172"/>
      <c r="OG116" s="172"/>
      <c r="OH116" s="172"/>
      <c r="OI116" s="172"/>
      <c r="OJ116" s="172"/>
      <c r="OK116" s="172"/>
      <c r="OL116" s="172"/>
      <c r="OM116" s="172"/>
      <c r="ON116" s="172"/>
      <c r="OO116" s="172"/>
      <c r="OP116" s="172"/>
      <c r="OQ116" s="172"/>
      <c r="OR116" s="172"/>
      <c r="OS116" s="172"/>
      <c r="OT116" s="172"/>
      <c r="OU116" s="172"/>
      <c r="OV116" s="172"/>
      <c r="OW116" s="172"/>
      <c r="OX116" s="172"/>
      <c r="OY116" s="172"/>
      <c r="OZ116" s="172"/>
      <c r="PA116" s="172"/>
      <c r="PB116" s="172"/>
      <c r="PC116" s="172"/>
      <c r="PD116" s="172"/>
      <c r="PE116" s="172"/>
      <c r="PF116" s="172"/>
      <c r="PG116" s="172"/>
      <c r="PH116" s="172"/>
      <c r="PI116" s="172"/>
      <c r="PJ116" s="172"/>
      <c r="PK116" s="172"/>
      <c r="PL116" s="172"/>
      <c r="PM116" s="172"/>
      <c r="PN116" s="172"/>
      <c r="PO116" s="172"/>
      <c r="PP116" s="172"/>
      <c r="PQ116" s="172"/>
      <c r="PR116" s="172"/>
      <c r="PS116" s="172"/>
      <c r="PT116" s="172"/>
      <c r="PU116" s="172"/>
      <c r="PV116" s="172"/>
      <c r="PW116" s="172"/>
      <c r="PX116" s="172"/>
      <c r="PY116" s="172"/>
      <c r="PZ116" s="172"/>
      <c r="QA116" s="172"/>
      <c r="QB116" s="172"/>
      <c r="QC116" s="172"/>
      <c r="QD116" s="172"/>
      <c r="QE116" s="172"/>
      <c r="QF116" s="172"/>
      <c r="QG116" s="172"/>
      <c r="QH116" s="172"/>
      <c r="QI116" s="172"/>
      <c r="QJ116" s="172"/>
      <c r="QK116" s="172"/>
      <c r="QL116" s="172"/>
      <c r="QM116" s="172"/>
      <c r="QN116" s="172"/>
      <c r="QO116" s="172"/>
      <c r="QP116" s="172"/>
      <c r="QQ116" s="172"/>
      <c r="QR116" s="172"/>
      <c r="QS116" s="172"/>
      <c r="QT116" s="172"/>
      <c r="QU116" s="172"/>
      <c r="QV116" s="172"/>
      <c r="QW116" s="172"/>
      <c r="QX116" s="172"/>
      <c r="QY116" s="172"/>
      <c r="QZ116" s="172"/>
      <c r="RA116" s="172"/>
      <c r="RB116" s="172"/>
      <c r="RC116" s="172"/>
      <c r="RD116" s="172"/>
      <c r="RE116" s="172"/>
      <c r="RF116" s="172"/>
      <c r="RG116" s="172"/>
      <c r="RH116" s="172"/>
      <c r="RI116" s="172"/>
      <c r="RJ116" s="172"/>
      <c r="RK116" s="172"/>
      <c r="RL116" s="172"/>
      <c r="RM116" s="172"/>
      <c r="RN116" s="172"/>
      <c r="RO116" s="172"/>
      <c r="RP116" s="172"/>
      <c r="RQ116" s="172"/>
      <c r="RR116" s="172"/>
      <c r="RS116" s="172"/>
      <c r="RT116" s="172"/>
      <c r="RU116" s="172"/>
      <c r="RV116" s="172"/>
      <c r="RW116" s="172"/>
      <c r="RX116" s="172"/>
      <c r="RY116" s="172"/>
      <c r="RZ116" s="172"/>
      <c r="SA116" s="172"/>
      <c r="SB116" s="172"/>
      <c r="SC116" s="172"/>
      <c r="SD116" s="172"/>
      <c r="SE116" s="172"/>
      <c r="SF116" s="172"/>
      <c r="SG116" s="172"/>
      <c r="SH116" s="172"/>
      <c r="SI116" s="172"/>
      <c r="SJ116" s="172"/>
      <c r="SK116" s="172"/>
      <c r="SL116" s="172"/>
      <c r="SM116" s="172"/>
      <c r="SN116" s="172"/>
      <c r="SO116" s="172"/>
      <c r="SP116" s="172"/>
      <c r="SQ116" s="172"/>
      <c r="SR116" s="172"/>
      <c r="SS116" s="172"/>
      <c r="ST116" s="172"/>
      <c r="SU116" s="172"/>
      <c r="SV116" s="172"/>
      <c r="SW116" s="172"/>
      <c r="SX116" s="172"/>
      <c r="SY116" s="172"/>
      <c r="SZ116" s="172"/>
      <c r="TA116" s="172"/>
      <c r="TB116" s="172"/>
      <c r="TC116" s="172"/>
      <c r="TD116" s="172"/>
      <c r="TE116" s="172"/>
      <c r="TF116" s="172"/>
      <c r="TG116" s="172"/>
      <c r="TH116" s="172"/>
      <c r="TI116" s="172"/>
      <c r="TJ116" s="172"/>
      <c r="TK116" s="172"/>
      <c r="TL116" s="172"/>
      <c r="TM116" s="172"/>
      <c r="TN116" s="172"/>
      <c r="TO116" s="172"/>
      <c r="TP116" s="172"/>
      <c r="TQ116" s="172"/>
      <c r="TR116" s="172"/>
      <c r="TS116" s="172"/>
      <c r="TT116" s="172"/>
      <c r="TU116" s="172"/>
      <c r="TV116" s="172"/>
      <c r="TW116" s="172"/>
      <c r="TX116" s="172"/>
      <c r="TY116" s="172"/>
      <c r="TZ116" s="172"/>
      <c r="UA116" s="172"/>
      <c r="UB116" s="172"/>
      <c r="UC116" s="172"/>
      <c r="UD116" s="172"/>
      <c r="UE116" s="172"/>
      <c r="UF116" s="172"/>
      <c r="UG116" s="172"/>
      <c r="UH116" s="172"/>
      <c r="UI116" s="172"/>
      <c r="UJ116" s="172"/>
      <c r="UK116" s="172"/>
      <c r="UL116" s="172"/>
      <c r="UM116" s="172"/>
      <c r="UN116" s="172"/>
      <c r="UO116" s="172"/>
      <c r="UP116" s="172"/>
      <c r="UQ116" s="172"/>
      <c r="UR116" s="172"/>
      <c r="US116" s="172"/>
      <c r="UT116" s="172"/>
      <c r="UU116" s="172"/>
      <c r="UV116" s="172"/>
      <c r="UW116" s="172"/>
      <c r="UX116" s="172"/>
      <c r="UY116" s="172"/>
      <c r="UZ116" s="172"/>
      <c r="VA116" s="172"/>
      <c r="VB116" s="172"/>
      <c r="VC116" s="172"/>
      <c r="VD116" s="172"/>
      <c r="VE116" s="172"/>
      <c r="VF116" s="172"/>
      <c r="VG116" s="172"/>
      <c r="VH116" s="172"/>
      <c r="VI116" s="172"/>
      <c r="VJ116" s="172"/>
      <c r="VK116" s="172"/>
      <c r="VL116" s="172"/>
      <c r="VM116" s="172"/>
      <c r="VN116" s="172"/>
      <c r="VO116" s="172"/>
      <c r="VP116" s="172"/>
      <c r="VQ116" s="172"/>
      <c r="VR116" s="172"/>
      <c r="VS116" s="172"/>
      <c r="VT116" s="172"/>
      <c r="VU116" s="172"/>
      <c r="VV116" s="172"/>
      <c r="VW116" s="172"/>
      <c r="VX116" s="172"/>
      <c r="VY116" s="172"/>
      <c r="VZ116" s="172"/>
      <c r="WA116" s="172"/>
      <c r="WB116" s="172"/>
      <c r="WC116" s="172"/>
      <c r="WD116" s="172"/>
      <c r="WE116" s="172"/>
      <c r="WF116" s="172"/>
      <c r="WG116" s="172"/>
      <c r="WH116" s="172"/>
      <c r="WI116" s="172"/>
      <c r="WJ116" s="172"/>
      <c r="WK116" s="172"/>
      <c r="WL116" s="172"/>
      <c r="WM116" s="172"/>
      <c r="WN116" s="172"/>
      <c r="WO116" s="172"/>
      <c r="WP116" s="172"/>
      <c r="WQ116" s="172"/>
      <c r="WR116" s="172"/>
      <c r="WS116" s="172"/>
      <c r="WT116" s="172"/>
      <c r="WU116" s="172"/>
      <c r="WV116" s="172"/>
      <c r="WW116" s="172"/>
      <c r="WX116" s="172"/>
      <c r="WY116" s="172"/>
      <c r="WZ116" s="172"/>
      <c r="XA116" s="172"/>
      <c r="XB116" s="172"/>
      <c r="XC116" s="172"/>
      <c r="XD116" s="172"/>
      <c r="XE116" s="172"/>
      <c r="XF116" s="172"/>
      <c r="XG116" s="172"/>
      <c r="XH116" s="172"/>
      <c r="XI116" s="172"/>
      <c r="XJ116" s="172"/>
      <c r="XK116" s="172"/>
      <c r="XL116" s="172"/>
      <c r="XM116" s="172"/>
      <c r="XN116" s="172"/>
      <c r="XO116" s="172"/>
      <c r="XP116" s="172"/>
      <c r="XQ116" s="172"/>
      <c r="XR116" s="172"/>
      <c r="XS116" s="172"/>
      <c r="XT116" s="172"/>
      <c r="XU116" s="172"/>
      <c r="XV116" s="172"/>
      <c r="XW116" s="172"/>
      <c r="XX116" s="172"/>
      <c r="XY116" s="172"/>
      <c r="XZ116" s="172"/>
      <c r="YA116" s="172"/>
      <c r="YB116" s="172"/>
      <c r="YC116" s="172"/>
      <c r="YD116" s="172"/>
      <c r="YE116" s="172"/>
      <c r="YF116" s="172"/>
      <c r="YG116" s="172"/>
      <c r="YH116" s="172"/>
      <c r="YI116" s="172"/>
      <c r="YJ116" s="172"/>
      <c r="YK116" s="172"/>
      <c r="YL116" s="172"/>
      <c r="YM116" s="172"/>
      <c r="YN116" s="172"/>
      <c r="YO116" s="172"/>
      <c r="YP116" s="172"/>
      <c r="YQ116" s="172"/>
      <c r="YR116" s="172"/>
      <c r="YS116" s="172"/>
      <c r="YT116" s="172"/>
      <c r="YU116" s="172"/>
      <c r="YV116" s="172"/>
      <c r="YW116" s="172"/>
      <c r="YX116" s="172"/>
      <c r="YY116" s="172"/>
      <c r="YZ116" s="172"/>
      <c r="ZA116" s="172"/>
      <c r="ZB116" s="172"/>
      <c r="ZC116" s="172"/>
      <c r="ZD116" s="172"/>
      <c r="ZE116" s="172"/>
      <c r="ZF116" s="172"/>
      <c r="ZG116" s="172"/>
      <c r="ZH116" s="172"/>
      <c r="ZI116" s="172"/>
      <c r="ZJ116" s="172"/>
      <c r="ZK116" s="172"/>
      <c r="ZL116" s="172"/>
      <c r="ZM116" s="172"/>
      <c r="ZN116" s="172"/>
      <c r="ZO116" s="172"/>
      <c r="ZP116" s="172"/>
      <c r="ZQ116" s="172"/>
      <c r="ZR116" s="172"/>
      <c r="ZS116" s="172"/>
      <c r="ZT116" s="172"/>
      <c r="ZU116" s="172"/>
      <c r="ZV116" s="172"/>
      <c r="ZW116" s="172"/>
      <c r="ZX116" s="172"/>
      <c r="ZY116" s="172"/>
      <c r="ZZ116" s="172"/>
      <c r="AAA116" s="172"/>
      <c r="AAB116" s="172"/>
      <c r="AAC116" s="172"/>
      <c r="AAD116" s="172"/>
      <c r="AAE116" s="172"/>
      <c r="AAF116" s="172"/>
      <c r="AAG116" s="172"/>
      <c r="AAH116" s="172"/>
      <c r="AAI116" s="172"/>
      <c r="AAJ116" s="172"/>
      <c r="AAK116" s="172"/>
      <c r="AAL116" s="172"/>
      <c r="AAM116" s="172"/>
      <c r="AAN116" s="172"/>
      <c r="AAO116" s="172"/>
      <c r="AAP116" s="172"/>
      <c r="AAQ116" s="172"/>
      <c r="AAR116" s="172"/>
      <c r="AAS116" s="172"/>
      <c r="AAT116" s="172"/>
      <c r="AAU116" s="172"/>
      <c r="AAV116" s="172"/>
      <c r="AAW116" s="172"/>
      <c r="AAX116" s="172"/>
      <c r="AAY116" s="172"/>
      <c r="AAZ116" s="172"/>
      <c r="ABA116" s="172"/>
      <c r="ABB116" s="172"/>
      <c r="ABC116" s="172"/>
      <c r="ABD116" s="172"/>
      <c r="ABE116" s="172"/>
      <c r="ABF116" s="172"/>
      <c r="ABG116" s="172"/>
      <c r="ABH116" s="172"/>
      <c r="ABI116" s="172"/>
      <c r="ABJ116" s="172"/>
      <c r="ABK116" s="172"/>
      <c r="ABL116" s="172"/>
      <c r="ABM116" s="172"/>
      <c r="ABN116" s="172"/>
      <c r="ABO116" s="172"/>
      <c r="ABP116" s="172"/>
      <c r="ABQ116" s="172"/>
      <c r="ABR116" s="172"/>
      <c r="ABS116" s="172"/>
      <c r="ABT116" s="172"/>
      <c r="ABU116" s="172"/>
      <c r="ABV116" s="172"/>
      <c r="ABW116" s="172"/>
      <c r="ABX116" s="172"/>
      <c r="ABY116" s="172"/>
      <c r="ABZ116" s="172"/>
      <c r="ACA116" s="172"/>
      <c r="ACB116" s="172"/>
      <c r="ACC116" s="172"/>
      <c r="ACD116" s="172"/>
      <c r="ACE116" s="172"/>
      <c r="ACF116" s="172"/>
      <c r="ACG116" s="172"/>
      <c r="ACH116" s="172"/>
      <c r="ACI116" s="172"/>
      <c r="ACJ116" s="172"/>
      <c r="ACK116" s="172"/>
      <c r="ACL116" s="172"/>
      <c r="ACM116" s="172"/>
      <c r="ACN116" s="172"/>
      <c r="ACO116" s="172"/>
      <c r="ACP116" s="172"/>
      <c r="ACQ116" s="172"/>
      <c r="ACR116" s="172"/>
      <c r="ACS116" s="172"/>
      <c r="ACT116" s="172"/>
      <c r="ACU116" s="172"/>
      <c r="ACV116" s="172"/>
      <c r="ACW116" s="172"/>
      <c r="ACX116" s="172"/>
      <c r="ACY116" s="172"/>
      <c r="ACZ116" s="172"/>
      <c r="ADA116" s="172"/>
      <c r="ADB116" s="172"/>
      <c r="ADC116" s="172"/>
      <c r="ADD116" s="172"/>
      <c r="ADE116" s="172"/>
      <c r="ADF116" s="172"/>
      <c r="ADG116" s="172"/>
      <c r="ADH116" s="172"/>
      <c r="ADI116" s="172"/>
      <c r="ADJ116" s="172"/>
      <c r="ADK116" s="172"/>
      <c r="ADL116" s="172"/>
      <c r="ADM116" s="172"/>
      <c r="ADN116" s="172"/>
      <c r="ADO116" s="172"/>
      <c r="ADP116" s="172"/>
      <c r="ADQ116" s="172"/>
      <c r="ADR116" s="172"/>
      <c r="ADS116" s="172"/>
      <c r="ADT116" s="172"/>
      <c r="ADU116" s="172"/>
      <c r="ADV116" s="172"/>
      <c r="ADW116" s="172"/>
      <c r="ADX116" s="172"/>
      <c r="ADY116" s="172"/>
      <c r="ADZ116" s="172"/>
      <c r="AEA116" s="172"/>
      <c r="AEB116" s="172"/>
      <c r="AEC116" s="172"/>
      <c r="AED116" s="172"/>
      <c r="AEE116" s="172"/>
      <c r="AEF116" s="172"/>
      <c r="AEG116" s="172"/>
      <c r="AEH116" s="172"/>
      <c r="AEI116" s="172"/>
      <c r="AEJ116" s="172"/>
      <c r="AEK116" s="172"/>
      <c r="AEL116" s="172"/>
      <c r="AEM116" s="172"/>
      <c r="AEN116" s="172"/>
      <c r="AEO116" s="172"/>
      <c r="AEP116" s="172"/>
      <c r="AEQ116" s="172"/>
      <c r="AER116" s="172"/>
      <c r="AES116" s="172"/>
      <c r="AET116" s="172"/>
      <c r="AEU116" s="172"/>
      <c r="AEV116" s="172"/>
      <c r="AEW116" s="172"/>
      <c r="AEX116" s="172"/>
      <c r="AEY116" s="172"/>
      <c r="AEZ116" s="172"/>
      <c r="AFA116" s="172"/>
      <c r="AFB116" s="172"/>
      <c r="AFC116" s="172"/>
      <c r="AFD116" s="172"/>
      <c r="AFE116" s="172"/>
      <c r="AFF116" s="172"/>
      <c r="AFG116" s="172"/>
      <c r="AFH116" s="172"/>
      <c r="AFI116" s="172"/>
      <c r="AFJ116" s="172"/>
      <c r="AFK116" s="172"/>
      <c r="AFL116" s="172"/>
      <c r="AFM116" s="172"/>
      <c r="AFN116" s="172"/>
      <c r="AFO116" s="172"/>
      <c r="AFP116" s="172"/>
      <c r="AFQ116" s="172"/>
      <c r="AFR116" s="172"/>
      <c r="AFS116" s="172"/>
      <c r="AFT116" s="172"/>
      <c r="AFU116" s="172"/>
      <c r="AFV116" s="172"/>
      <c r="AFW116" s="172"/>
      <c r="AFX116" s="172"/>
      <c r="AFY116" s="172"/>
      <c r="AFZ116" s="172"/>
      <c r="AGA116" s="172"/>
      <c r="AGB116" s="172"/>
      <c r="AGC116" s="172"/>
      <c r="AGD116" s="172"/>
      <c r="AGE116" s="172"/>
      <c r="AGF116" s="172"/>
      <c r="AGG116" s="172"/>
      <c r="AGH116" s="172"/>
      <c r="AGI116" s="172"/>
      <c r="AGJ116" s="172"/>
      <c r="AGK116" s="172"/>
      <c r="AGL116" s="172"/>
      <c r="AGM116" s="172"/>
      <c r="AGN116" s="172"/>
      <c r="AGO116" s="172"/>
      <c r="AGP116" s="172"/>
      <c r="AGQ116" s="172"/>
      <c r="AGR116" s="172"/>
      <c r="AGS116" s="172"/>
      <c r="AGT116" s="172"/>
      <c r="AGU116" s="172"/>
      <c r="AGV116" s="172"/>
      <c r="AGW116" s="172"/>
      <c r="AGX116" s="172"/>
      <c r="AGY116" s="172"/>
      <c r="AGZ116" s="172"/>
      <c r="AHA116" s="172"/>
      <c r="AHB116" s="172"/>
      <c r="AHC116" s="172"/>
      <c r="AHD116" s="172"/>
      <c r="AHE116" s="172"/>
      <c r="AHF116" s="172"/>
      <c r="AHG116" s="172"/>
      <c r="AHH116" s="172"/>
      <c r="AHI116" s="172"/>
      <c r="AHJ116" s="172"/>
      <c r="AHK116" s="172"/>
      <c r="AHL116" s="172"/>
      <c r="AHM116" s="172"/>
      <c r="AHN116" s="172"/>
      <c r="AHO116" s="172"/>
      <c r="AHP116" s="172"/>
      <c r="AHQ116" s="172"/>
      <c r="AHR116" s="172"/>
      <c r="AHS116" s="172"/>
      <c r="AHT116" s="172"/>
      <c r="AHU116" s="172"/>
      <c r="AHV116" s="172"/>
      <c r="AHW116" s="172"/>
      <c r="AHX116" s="172"/>
      <c r="AHY116" s="172"/>
      <c r="AHZ116" s="172"/>
      <c r="AIA116" s="172"/>
      <c r="AIB116" s="172"/>
      <c r="AIC116" s="172"/>
      <c r="AID116" s="172"/>
      <c r="AIE116" s="172"/>
      <c r="AIF116" s="172"/>
      <c r="AIG116" s="172"/>
      <c r="AIH116" s="172"/>
      <c r="AII116" s="172"/>
      <c r="AIJ116" s="172"/>
      <c r="AIK116" s="172"/>
      <c r="AIL116" s="172"/>
      <c r="AIM116" s="172"/>
      <c r="AIN116" s="172"/>
      <c r="AIO116" s="172"/>
      <c r="AIP116" s="172"/>
      <c r="AIQ116" s="172"/>
      <c r="AIR116" s="172"/>
      <c r="AIS116" s="172"/>
      <c r="AIT116" s="172"/>
      <c r="AIU116" s="172"/>
      <c r="AIV116" s="172"/>
      <c r="AIW116" s="172"/>
      <c r="AIX116" s="172"/>
      <c r="AIY116" s="172"/>
      <c r="AIZ116" s="172"/>
      <c r="AJA116" s="172"/>
      <c r="AJB116" s="172"/>
      <c r="AJC116" s="172"/>
      <c r="AJD116" s="172"/>
      <c r="AJE116" s="172"/>
      <c r="AJF116" s="172"/>
      <c r="AJG116" s="172"/>
      <c r="AJH116" s="172"/>
      <c r="AJI116" s="172"/>
      <c r="AJJ116" s="172"/>
      <c r="AJK116" s="172"/>
      <c r="AJL116" s="172"/>
      <c r="AJM116" s="172"/>
      <c r="AJN116" s="172"/>
      <c r="AJO116" s="172"/>
      <c r="AJP116" s="172"/>
      <c r="AJQ116" s="172"/>
      <c r="AJR116" s="172"/>
      <c r="AJS116" s="172"/>
      <c r="AJT116" s="172"/>
      <c r="AJU116" s="172"/>
      <c r="AJV116" s="172"/>
      <c r="AJW116" s="172"/>
      <c r="AJX116" s="172"/>
      <c r="AJY116" s="172"/>
      <c r="AJZ116" s="172"/>
      <c r="AKA116" s="172"/>
      <c r="AKB116" s="172"/>
      <c r="AKC116" s="172"/>
      <c r="AKD116" s="172"/>
      <c r="AKE116" s="172"/>
      <c r="AKF116" s="172"/>
      <c r="AKG116" s="172"/>
      <c r="AKH116" s="172"/>
      <c r="AKI116" s="172"/>
      <c r="AKJ116" s="172"/>
      <c r="AKK116" s="172"/>
      <c r="AKL116" s="172"/>
      <c r="AKM116" s="172"/>
      <c r="AKN116" s="172"/>
      <c r="AKO116" s="172"/>
      <c r="AKP116" s="172"/>
      <c r="AKQ116" s="172"/>
      <c r="AKR116" s="172"/>
      <c r="AKS116" s="172"/>
      <c r="AKT116" s="172"/>
      <c r="AKU116" s="172"/>
      <c r="AKV116" s="172"/>
      <c r="AKW116" s="172"/>
      <c r="AKX116" s="172"/>
      <c r="AKY116" s="172"/>
      <c r="AKZ116" s="172"/>
      <c r="ALA116" s="172"/>
      <c r="ALB116" s="172"/>
      <c r="ALC116" s="172"/>
      <c r="ALD116" s="172"/>
      <c r="ALE116" s="172"/>
      <c r="ALF116" s="172"/>
      <c r="ALG116" s="172"/>
      <c r="ALH116" s="172"/>
      <c r="ALI116" s="172"/>
      <c r="ALJ116" s="172"/>
      <c r="ALK116" s="172"/>
      <c r="ALL116" s="172"/>
      <c r="ALM116" s="172"/>
      <c r="ALN116" s="172"/>
      <c r="ALO116" s="172"/>
      <c r="ALP116" s="172"/>
      <c r="ALQ116" s="172"/>
      <c r="ALR116" s="172"/>
      <c r="ALS116" s="172"/>
      <c r="ALT116" s="172"/>
      <c r="ALU116" s="172"/>
      <c r="ALV116" s="172"/>
      <c r="ALW116" s="172"/>
      <c r="ALX116" s="172"/>
      <c r="ALY116" s="172"/>
      <c r="ALZ116" s="172"/>
      <c r="AMA116" s="172"/>
      <c r="AMB116" s="172"/>
      <c r="AMC116" s="172"/>
      <c r="AMD116" s="172"/>
      <c r="AME116" s="172"/>
      <c r="AMF116" s="172"/>
      <c r="AMG116" s="172"/>
      <c r="AMH116" s="172"/>
      <c r="AMI116" s="172"/>
      <c r="AMJ116" s="172"/>
    </row>
    <row r="117" s="7" customFormat="true" ht="15.75" hidden="false" customHeight="true" outlineLevel="0" collapsed="false">
      <c r="A117" s="172"/>
      <c r="B117" s="150"/>
      <c r="C117" s="173" t="s">
        <v>38</v>
      </c>
      <c r="D117" s="174" t="n">
        <f aca="false">SUM(D98:D116)</f>
        <v>327</v>
      </c>
      <c r="E117" s="174"/>
      <c r="F117" s="154" t="n">
        <f aca="false">F97+F100+F106+F110+F113+F115+F103</f>
        <v>16</v>
      </c>
      <c r="G117" s="10"/>
      <c r="H117" s="150"/>
      <c r="I117" s="173" t="s">
        <v>38</v>
      </c>
      <c r="J117" s="174" t="n">
        <f aca="false">SUM(J99:J116)</f>
        <v>327</v>
      </c>
      <c r="K117" s="174"/>
      <c r="L117" s="154" t="n">
        <f aca="false">L98+L102+L106+L110+L113+L115</f>
        <v>16</v>
      </c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  <c r="AA117" s="172"/>
      <c r="AB117" s="172"/>
      <c r="AC117" s="172"/>
      <c r="AD117" s="172"/>
      <c r="AE117" s="172"/>
      <c r="AF117" s="172"/>
      <c r="AG117" s="172"/>
      <c r="AH117" s="172"/>
      <c r="AI117" s="172"/>
      <c r="AJ117" s="172"/>
      <c r="AK117" s="172"/>
      <c r="AL117" s="172"/>
      <c r="AM117" s="172"/>
      <c r="AN117" s="172"/>
      <c r="AO117" s="172"/>
      <c r="AP117" s="172"/>
      <c r="AQ117" s="172"/>
      <c r="AR117" s="172"/>
      <c r="AS117" s="172"/>
      <c r="AT117" s="172"/>
      <c r="AU117" s="172"/>
      <c r="AV117" s="172"/>
      <c r="AW117" s="172"/>
      <c r="AX117" s="172"/>
      <c r="AY117" s="172"/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172"/>
      <c r="BM117" s="172"/>
      <c r="BN117" s="172"/>
      <c r="BO117" s="172"/>
      <c r="BP117" s="172"/>
      <c r="BQ117" s="172"/>
      <c r="BR117" s="172"/>
      <c r="BS117" s="172"/>
      <c r="BT117" s="172"/>
      <c r="BU117" s="172"/>
      <c r="BV117" s="172"/>
      <c r="BW117" s="172"/>
      <c r="BX117" s="172"/>
      <c r="BY117" s="172"/>
      <c r="BZ117" s="172"/>
      <c r="CA117" s="172"/>
      <c r="CB117" s="172"/>
      <c r="CC117" s="172"/>
      <c r="CD117" s="172"/>
      <c r="CE117" s="172"/>
      <c r="CF117" s="172"/>
      <c r="CG117" s="172"/>
      <c r="CH117" s="172"/>
      <c r="CI117" s="172"/>
      <c r="CJ117" s="172"/>
      <c r="CK117" s="172"/>
      <c r="CL117" s="172"/>
      <c r="CM117" s="172"/>
      <c r="CN117" s="172"/>
      <c r="CO117" s="172"/>
      <c r="CP117" s="172"/>
      <c r="CQ117" s="172"/>
      <c r="CR117" s="172"/>
      <c r="CS117" s="172"/>
      <c r="CT117" s="172"/>
      <c r="CU117" s="172"/>
      <c r="CV117" s="172"/>
      <c r="CW117" s="172"/>
      <c r="CX117" s="172"/>
      <c r="CY117" s="172"/>
      <c r="CZ117" s="172"/>
      <c r="DA117" s="172"/>
      <c r="DB117" s="172"/>
      <c r="DC117" s="172"/>
      <c r="DD117" s="172"/>
      <c r="DE117" s="172"/>
      <c r="DF117" s="172"/>
      <c r="DG117" s="172"/>
      <c r="DH117" s="172"/>
      <c r="DI117" s="172"/>
      <c r="DJ117" s="172"/>
      <c r="DK117" s="172"/>
      <c r="DL117" s="172"/>
      <c r="DM117" s="172"/>
      <c r="DN117" s="172"/>
      <c r="DO117" s="172"/>
      <c r="DP117" s="172"/>
      <c r="DQ117" s="172"/>
      <c r="DR117" s="172"/>
      <c r="DS117" s="172"/>
      <c r="DT117" s="172"/>
      <c r="DU117" s="172"/>
      <c r="DV117" s="172"/>
      <c r="DW117" s="172"/>
      <c r="DX117" s="172"/>
      <c r="DY117" s="172"/>
      <c r="DZ117" s="172"/>
      <c r="EA117" s="172"/>
      <c r="EB117" s="172"/>
      <c r="EC117" s="172"/>
      <c r="ED117" s="172"/>
      <c r="EE117" s="172"/>
      <c r="EF117" s="172"/>
      <c r="EG117" s="172"/>
      <c r="EH117" s="172"/>
      <c r="EI117" s="172"/>
      <c r="EJ117" s="172"/>
      <c r="EK117" s="172"/>
      <c r="EL117" s="172"/>
      <c r="EM117" s="172"/>
      <c r="EN117" s="172"/>
      <c r="EO117" s="172"/>
      <c r="EP117" s="172"/>
      <c r="EQ117" s="172"/>
      <c r="ER117" s="172"/>
      <c r="ES117" s="172"/>
      <c r="ET117" s="172"/>
      <c r="EU117" s="172"/>
      <c r="EV117" s="172"/>
      <c r="EW117" s="172"/>
      <c r="EX117" s="172"/>
      <c r="EY117" s="172"/>
      <c r="EZ117" s="172"/>
      <c r="FA117" s="172"/>
      <c r="FB117" s="172"/>
      <c r="FC117" s="172"/>
      <c r="FD117" s="172"/>
      <c r="FE117" s="172"/>
      <c r="FF117" s="172"/>
      <c r="FG117" s="172"/>
      <c r="FH117" s="172"/>
      <c r="FI117" s="172"/>
      <c r="FJ117" s="172"/>
      <c r="FK117" s="172"/>
      <c r="FL117" s="172"/>
      <c r="FM117" s="172"/>
      <c r="FN117" s="172"/>
      <c r="FO117" s="172"/>
      <c r="FP117" s="172"/>
      <c r="FQ117" s="172"/>
      <c r="FR117" s="172"/>
      <c r="FS117" s="172"/>
      <c r="FT117" s="172"/>
      <c r="FU117" s="172"/>
      <c r="FV117" s="172"/>
      <c r="FW117" s="172"/>
      <c r="FX117" s="172"/>
      <c r="FY117" s="172"/>
      <c r="FZ117" s="172"/>
      <c r="GA117" s="172"/>
      <c r="GB117" s="172"/>
      <c r="GC117" s="172"/>
      <c r="GD117" s="172"/>
      <c r="GE117" s="172"/>
      <c r="GF117" s="172"/>
      <c r="GG117" s="172"/>
      <c r="GH117" s="172"/>
      <c r="GI117" s="172"/>
      <c r="GJ117" s="172"/>
      <c r="GK117" s="172"/>
      <c r="GL117" s="172"/>
      <c r="GM117" s="172"/>
      <c r="GN117" s="172"/>
      <c r="GO117" s="172"/>
      <c r="GP117" s="172"/>
      <c r="GQ117" s="172"/>
      <c r="GR117" s="172"/>
      <c r="GS117" s="172"/>
      <c r="GT117" s="172"/>
      <c r="GU117" s="172"/>
      <c r="GV117" s="172"/>
      <c r="GW117" s="172"/>
      <c r="GX117" s="172"/>
      <c r="GY117" s="172"/>
      <c r="GZ117" s="172"/>
      <c r="HA117" s="172"/>
      <c r="HB117" s="172"/>
      <c r="HC117" s="172"/>
      <c r="HD117" s="172"/>
      <c r="HE117" s="172"/>
      <c r="HF117" s="172"/>
      <c r="HG117" s="172"/>
      <c r="HH117" s="172"/>
      <c r="HI117" s="172"/>
      <c r="HJ117" s="172"/>
      <c r="HK117" s="172"/>
      <c r="HL117" s="172"/>
      <c r="HM117" s="172"/>
      <c r="HN117" s="172"/>
      <c r="HO117" s="172"/>
      <c r="HP117" s="172"/>
      <c r="HQ117" s="172"/>
      <c r="HR117" s="172"/>
      <c r="HS117" s="172"/>
      <c r="HT117" s="172"/>
      <c r="HU117" s="172"/>
      <c r="HV117" s="172"/>
      <c r="HW117" s="172"/>
      <c r="HX117" s="172"/>
      <c r="HY117" s="172"/>
      <c r="HZ117" s="172"/>
      <c r="IA117" s="172"/>
      <c r="IB117" s="172"/>
      <c r="IC117" s="172"/>
      <c r="ID117" s="172"/>
      <c r="IE117" s="172"/>
      <c r="IF117" s="172"/>
      <c r="IG117" s="172"/>
      <c r="IH117" s="172"/>
      <c r="II117" s="172"/>
      <c r="IJ117" s="172"/>
      <c r="IK117" s="172"/>
      <c r="IL117" s="172"/>
      <c r="IM117" s="172"/>
      <c r="IN117" s="172"/>
      <c r="IO117" s="172"/>
      <c r="IP117" s="172"/>
      <c r="IQ117" s="172"/>
      <c r="IR117" s="172"/>
      <c r="IS117" s="172"/>
      <c r="IT117" s="172"/>
      <c r="IU117" s="172"/>
      <c r="IV117" s="172"/>
      <c r="IW117" s="172"/>
      <c r="IX117" s="172"/>
      <c r="IY117" s="172"/>
      <c r="IZ117" s="172"/>
      <c r="JA117" s="172"/>
      <c r="JB117" s="172"/>
      <c r="JC117" s="172"/>
      <c r="JD117" s="172"/>
      <c r="JE117" s="172"/>
      <c r="JF117" s="172"/>
      <c r="JG117" s="172"/>
      <c r="JH117" s="172"/>
      <c r="JI117" s="172"/>
      <c r="JJ117" s="172"/>
      <c r="JK117" s="172"/>
      <c r="JL117" s="172"/>
      <c r="JM117" s="172"/>
      <c r="JN117" s="172"/>
      <c r="JO117" s="172"/>
      <c r="JP117" s="172"/>
      <c r="JQ117" s="172"/>
      <c r="JR117" s="172"/>
      <c r="JS117" s="172"/>
      <c r="JT117" s="172"/>
      <c r="JU117" s="172"/>
      <c r="JV117" s="172"/>
      <c r="JW117" s="172"/>
      <c r="JX117" s="172"/>
      <c r="JY117" s="172"/>
      <c r="JZ117" s="172"/>
      <c r="KA117" s="172"/>
      <c r="KB117" s="172"/>
      <c r="KC117" s="172"/>
      <c r="KD117" s="172"/>
      <c r="KE117" s="172"/>
      <c r="KF117" s="172"/>
      <c r="KG117" s="172"/>
      <c r="KH117" s="172"/>
      <c r="KI117" s="172"/>
      <c r="KJ117" s="172"/>
      <c r="KK117" s="172"/>
      <c r="KL117" s="172"/>
      <c r="KM117" s="172"/>
      <c r="KN117" s="172"/>
      <c r="KO117" s="172"/>
      <c r="KP117" s="172"/>
      <c r="KQ117" s="172"/>
      <c r="KR117" s="172"/>
      <c r="KS117" s="172"/>
      <c r="KT117" s="172"/>
      <c r="KU117" s="172"/>
      <c r="KV117" s="172"/>
      <c r="KW117" s="172"/>
      <c r="KX117" s="172"/>
      <c r="KY117" s="172"/>
      <c r="KZ117" s="172"/>
      <c r="LA117" s="172"/>
      <c r="LB117" s="172"/>
      <c r="LC117" s="172"/>
      <c r="LD117" s="172"/>
      <c r="LE117" s="172"/>
      <c r="LF117" s="172"/>
      <c r="LG117" s="172"/>
      <c r="LH117" s="172"/>
      <c r="LI117" s="172"/>
      <c r="LJ117" s="172"/>
      <c r="LK117" s="172"/>
      <c r="LL117" s="172"/>
      <c r="LM117" s="172"/>
      <c r="LN117" s="172"/>
      <c r="LO117" s="172"/>
      <c r="LP117" s="172"/>
      <c r="LQ117" s="172"/>
      <c r="LR117" s="172"/>
      <c r="LS117" s="172"/>
      <c r="LT117" s="172"/>
      <c r="LU117" s="172"/>
      <c r="LV117" s="172"/>
      <c r="LW117" s="172"/>
      <c r="LX117" s="172"/>
      <c r="LY117" s="172"/>
      <c r="LZ117" s="172"/>
      <c r="MA117" s="172"/>
      <c r="MB117" s="172"/>
      <c r="MC117" s="172"/>
      <c r="MD117" s="172"/>
      <c r="ME117" s="172"/>
      <c r="MF117" s="172"/>
      <c r="MG117" s="172"/>
      <c r="MH117" s="172"/>
      <c r="MI117" s="172"/>
      <c r="MJ117" s="172"/>
      <c r="MK117" s="172"/>
      <c r="ML117" s="172"/>
      <c r="MM117" s="172"/>
      <c r="MN117" s="172"/>
      <c r="MO117" s="172"/>
      <c r="MP117" s="172"/>
      <c r="MQ117" s="172"/>
      <c r="MR117" s="172"/>
      <c r="MS117" s="172"/>
      <c r="MT117" s="172"/>
      <c r="MU117" s="172"/>
      <c r="MV117" s="172"/>
      <c r="MW117" s="172"/>
      <c r="MX117" s="172"/>
      <c r="MY117" s="172"/>
      <c r="MZ117" s="172"/>
      <c r="NA117" s="172"/>
      <c r="NB117" s="172"/>
      <c r="NC117" s="172"/>
      <c r="ND117" s="172"/>
      <c r="NE117" s="172"/>
      <c r="NF117" s="172"/>
      <c r="NG117" s="172"/>
      <c r="NH117" s="172"/>
      <c r="NI117" s="172"/>
      <c r="NJ117" s="172"/>
      <c r="NK117" s="172"/>
      <c r="NL117" s="172"/>
      <c r="NM117" s="172"/>
      <c r="NN117" s="172"/>
      <c r="NO117" s="172"/>
      <c r="NP117" s="172"/>
      <c r="NQ117" s="172"/>
      <c r="NR117" s="172"/>
      <c r="NS117" s="172"/>
      <c r="NT117" s="172"/>
      <c r="NU117" s="172"/>
      <c r="NV117" s="172"/>
      <c r="NW117" s="172"/>
      <c r="NX117" s="172"/>
      <c r="NY117" s="172"/>
      <c r="NZ117" s="172"/>
      <c r="OA117" s="172"/>
      <c r="OB117" s="172"/>
      <c r="OC117" s="172"/>
      <c r="OD117" s="172"/>
      <c r="OE117" s="172"/>
      <c r="OF117" s="172"/>
      <c r="OG117" s="172"/>
      <c r="OH117" s="172"/>
      <c r="OI117" s="172"/>
      <c r="OJ117" s="172"/>
      <c r="OK117" s="172"/>
      <c r="OL117" s="172"/>
      <c r="OM117" s="172"/>
      <c r="ON117" s="172"/>
      <c r="OO117" s="172"/>
      <c r="OP117" s="172"/>
      <c r="OQ117" s="172"/>
      <c r="OR117" s="172"/>
      <c r="OS117" s="172"/>
      <c r="OT117" s="172"/>
      <c r="OU117" s="172"/>
      <c r="OV117" s="172"/>
      <c r="OW117" s="172"/>
      <c r="OX117" s="172"/>
      <c r="OY117" s="172"/>
      <c r="OZ117" s="172"/>
      <c r="PA117" s="172"/>
      <c r="PB117" s="172"/>
      <c r="PC117" s="172"/>
      <c r="PD117" s="172"/>
      <c r="PE117" s="172"/>
      <c r="PF117" s="172"/>
      <c r="PG117" s="172"/>
      <c r="PH117" s="172"/>
      <c r="PI117" s="172"/>
      <c r="PJ117" s="172"/>
      <c r="PK117" s="172"/>
      <c r="PL117" s="172"/>
      <c r="PM117" s="172"/>
      <c r="PN117" s="172"/>
      <c r="PO117" s="172"/>
      <c r="PP117" s="172"/>
      <c r="PQ117" s="172"/>
      <c r="PR117" s="172"/>
      <c r="PS117" s="172"/>
      <c r="PT117" s="172"/>
      <c r="PU117" s="172"/>
      <c r="PV117" s="172"/>
      <c r="PW117" s="172"/>
      <c r="PX117" s="172"/>
      <c r="PY117" s="172"/>
      <c r="PZ117" s="172"/>
      <c r="QA117" s="172"/>
      <c r="QB117" s="172"/>
      <c r="QC117" s="172"/>
      <c r="QD117" s="172"/>
      <c r="QE117" s="172"/>
      <c r="QF117" s="172"/>
      <c r="QG117" s="172"/>
      <c r="QH117" s="172"/>
      <c r="QI117" s="172"/>
      <c r="QJ117" s="172"/>
      <c r="QK117" s="172"/>
      <c r="QL117" s="172"/>
      <c r="QM117" s="172"/>
      <c r="QN117" s="172"/>
      <c r="QO117" s="172"/>
      <c r="QP117" s="172"/>
      <c r="QQ117" s="172"/>
      <c r="QR117" s="172"/>
      <c r="QS117" s="172"/>
      <c r="QT117" s="172"/>
      <c r="QU117" s="172"/>
      <c r="QV117" s="172"/>
      <c r="QW117" s="172"/>
      <c r="QX117" s="172"/>
      <c r="QY117" s="172"/>
      <c r="QZ117" s="172"/>
      <c r="RA117" s="172"/>
      <c r="RB117" s="172"/>
      <c r="RC117" s="172"/>
      <c r="RD117" s="172"/>
      <c r="RE117" s="172"/>
      <c r="RF117" s="172"/>
      <c r="RG117" s="172"/>
      <c r="RH117" s="172"/>
      <c r="RI117" s="172"/>
      <c r="RJ117" s="172"/>
      <c r="RK117" s="172"/>
      <c r="RL117" s="172"/>
      <c r="RM117" s="172"/>
      <c r="RN117" s="172"/>
      <c r="RO117" s="172"/>
      <c r="RP117" s="172"/>
      <c r="RQ117" s="172"/>
      <c r="RR117" s="172"/>
      <c r="RS117" s="172"/>
      <c r="RT117" s="172"/>
      <c r="RU117" s="172"/>
      <c r="RV117" s="172"/>
      <c r="RW117" s="172"/>
      <c r="RX117" s="172"/>
      <c r="RY117" s="172"/>
      <c r="RZ117" s="172"/>
      <c r="SA117" s="172"/>
      <c r="SB117" s="172"/>
      <c r="SC117" s="172"/>
      <c r="SD117" s="172"/>
      <c r="SE117" s="172"/>
      <c r="SF117" s="172"/>
      <c r="SG117" s="172"/>
      <c r="SH117" s="172"/>
      <c r="SI117" s="172"/>
      <c r="SJ117" s="172"/>
      <c r="SK117" s="172"/>
      <c r="SL117" s="172"/>
      <c r="SM117" s="172"/>
      <c r="SN117" s="172"/>
      <c r="SO117" s="172"/>
      <c r="SP117" s="172"/>
      <c r="SQ117" s="172"/>
      <c r="SR117" s="172"/>
      <c r="SS117" s="172"/>
      <c r="ST117" s="172"/>
      <c r="SU117" s="172"/>
      <c r="SV117" s="172"/>
      <c r="SW117" s="172"/>
      <c r="SX117" s="172"/>
      <c r="SY117" s="172"/>
      <c r="SZ117" s="172"/>
      <c r="TA117" s="172"/>
      <c r="TB117" s="172"/>
      <c r="TC117" s="172"/>
      <c r="TD117" s="172"/>
      <c r="TE117" s="172"/>
      <c r="TF117" s="172"/>
      <c r="TG117" s="172"/>
      <c r="TH117" s="172"/>
      <c r="TI117" s="172"/>
      <c r="TJ117" s="172"/>
      <c r="TK117" s="172"/>
      <c r="TL117" s="172"/>
      <c r="TM117" s="172"/>
      <c r="TN117" s="172"/>
      <c r="TO117" s="172"/>
      <c r="TP117" s="172"/>
      <c r="TQ117" s="172"/>
      <c r="TR117" s="172"/>
      <c r="TS117" s="172"/>
      <c r="TT117" s="172"/>
      <c r="TU117" s="172"/>
      <c r="TV117" s="172"/>
      <c r="TW117" s="172"/>
      <c r="TX117" s="172"/>
      <c r="TY117" s="172"/>
      <c r="TZ117" s="172"/>
      <c r="UA117" s="172"/>
      <c r="UB117" s="172"/>
      <c r="UC117" s="172"/>
      <c r="UD117" s="172"/>
      <c r="UE117" s="172"/>
      <c r="UF117" s="172"/>
      <c r="UG117" s="172"/>
      <c r="UH117" s="172"/>
      <c r="UI117" s="172"/>
      <c r="UJ117" s="172"/>
      <c r="UK117" s="172"/>
      <c r="UL117" s="172"/>
      <c r="UM117" s="172"/>
      <c r="UN117" s="172"/>
      <c r="UO117" s="172"/>
      <c r="UP117" s="172"/>
      <c r="UQ117" s="172"/>
      <c r="UR117" s="172"/>
      <c r="US117" s="172"/>
      <c r="UT117" s="172"/>
      <c r="UU117" s="172"/>
      <c r="UV117" s="172"/>
      <c r="UW117" s="172"/>
      <c r="UX117" s="172"/>
      <c r="UY117" s="172"/>
      <c r="UZ117" s="172"/>
      <c r="VA117" s="172"/>
      <c r="VB117" s="172"/>
      <c r="VC117" s="172"/>
      <c r="VD117" s="172"/>
      <c r="VE117" s="172"/>
      <c r="VF117" s="172"/>
      <c r="VG117" s="172"/>
      <c r="VH117" s="172"/>
      <c r="VI117" s="172"/>
      <c r="VJ117" s="172"/>
      <c r="VK117" s="172"/>
      <c r="VL117" s="172"/>
      <c r="VM117" s="172"/>
      <c r="VN117" s="172"/>
      <c r="VO117" s="172"/>
      <c r="VP117" s="172"/>
      <c r="VQ117" s="172"/>
      <c r="VR117" s="172"/>
      <c r="VS117" s="172"/>
      <c r="VT117" s="172"/>
      <c r="VU117" s="172"/>
      <c r="VV117" s="172"/>
      <c r="VW117" s="172"/>
      <c r="VX117" s="172"/>
      <c r="VY117" s="172"/>
      <c r="VZ117" s="172"/>
      <c r="WA117" s="172"/>
      <c r="WB117" s="172"/>
      <c r="WC117" s="172"/>
      <c r="WD117" s="172"/>
      <c r="WE117" s="172"/>
      <c r="WF117" s="172"/>
      <c r="WG117" s="172"/>
      <c r="WH117" s="172"/>
      <c r="WI117" s="172"/>
      <c r="WJ117" s="172"/>
      <c r="WK117" s="172"/>
      <c r="WL117" s="172"/>
      <c r="WM117" s="172"/>
      <c r="WN117" s="172"/>
      <c r="WO117" s="172"/>
      <c r="WP117" s="172"/>
      <c r="WQ117" s="172"/>
      <c r="WR117" s="172"/>
      <c r="WS117" s="172"/>
      <c r="WT117" s="172"/>
      <c r="WU117" s="172"/>
      <c r="WV117" s="172"/>
      <c r="WW117" s="172"/>
      <c r="WX117" s="172"/>
      <c r="WY117" s="172"/>
      <c r="WZ117" s="172"/>
      <c r="XA117" s="172"/>
      <c r="XB117" s="172"/>
      <c r="XC117" s="172"/>
      <c r="XD117" s="172"/>
      <c r="XE117" s="172"/>
      <c r="XF117" s="172"/>
      <c r="XG117" s="172"/>
      <c r="XH117" s="172"/>
      <c r="XI117" s="172"/>
      <c r="XJ117" s="172"/>
      <c r="XK117" s="172"/>
      <c r="XL117" s="172"/>
      <c r="XM117" s="172"/>
      <c r="XN117" s="172"/>
      <c r="XO117" s="172"/>
      <c r="XP117" s="172"/>
      <c r="XQ117" s="172"/>
      <c r="XR117" s="172"/>
      <c r="XS117" s="172"/>
      <c r="XT117" s="172"/>
      <c r="XU117" s="172"/>
      <c r="XV117" s="172"/>
      <c r="XW117" s="172"/>
      <c r="XX117" s="172"/>
      <c r="XY117" s="172"/>
      <c r="XZ117" s="172"/>
      <c r="YA117" s="172"/>
      <c r="YB117" s="172"/>
      <c r="YC117" s="172"/>
      <c r="YD117" s="172"/>
      <c r="YE117" s="172"/>
      <c r="YF117" s="172"/>
      <c r="YG117" s="172"/>
      <c r="YH117" s="172"/>
      <c r="YI117" s="172"/>
      <c r="YJ117" s="172"/>
      <c r="YK117" s="172"/>
      <c r="YL117" s="172"/>
      <c r="YM117" s="172"/>
      <c r="YN117" s="172"/>
      <c r="YO117" s="172"/>
      <c r="YP117" s="172"/>
      <c r="YQ117" s="172"/>
      <c r="YR117" s="172"/>
      <c r="YS117" s="172"/>
      <c r="YT117" s="172"/>
      <c r="YU117" s="172"/>
      <c r="YV117" s="172"/>
      <c r="YW117" s="172"/>
      <c r="YX117" s="172"/>
      <c r="YY117" s="172"/>
      <c r="YZ117" s="172"/>
      <c r="ZA117" s="172"/>
      <c r="ZB117" s="172"/>
      <c r="ZC117" s="172"/>
      <c r="ZD117" s="172"/>
      <c r="ZE117" s="172"/>
      <c r="ZF117" s="172"/>
      <c r="ZG117" s="172"/>
      <c r="ZH117" s="172"/>
      <c r="ZI117" s="172"/>
      <c r="ZJ117" s="172"/>
      <c r="ZK117" s="172"/>
      <c r="ZL117" s="172"/>
      <c r="ZM117" s="172"/>
      <c r="ZN117" s="172"/>
      <c r="ZO117" s="172"/>
      <c r="ZP117" s="172"/>
      <c r="ZQ117" s="172"/>
      <c r="ZR117" s="172"/>
      <c r="ZS117" s="172"/>
      <c r="ZT117" s="172"/>
      <c r="ZU117" s="172"/>
      <c r="ZV117" s="172"/>
      <c r="ZW117" s="172"/>
      <c r="ZX117" s="172"/>
      <c r="ZY117" s="172"/>
      <c r="ZZ117" s="172"/>
      <c r="AAA117" s="172"/>
      <c r="AAB117" s="172"/>
      <c r="AAC117" s="172"/>
      <c r="AAD117" s="172"/>
      <c r="AAE117" s="172"/>
      <c r="AAF117" s="172"/>
      <c r="AAG117" s="172"/>
      <c r="AAH117" s="172"/>
      <c r="AAI117" s="172"/>
      <c r="AAJ117" s="172"/>
      <c r="AAK117" s="172"/>
      <c r="AAL117" s="172"/>
      <c r="AAM117" s="172"/>
      <c r="AAN117" s="172"/>
      <c r="AAO117" s="172"/>
      <c r="AAP117" s="172"/>
      <c r="AAQ117" s="172"/>
      <c r="AAR117" s="172"/>
      <c r="AAS117" s="172"/>
      <c r="AAT117" s="172"/>
      <c r="AAU117" s="172"/>
      <c r="AAV117" s="172"/>
      <c r="AAW117" s="172"/>
      <c r="AAX117" s="172"/>
      <c r="AAY117" s="172"/>
      <c r="AAZ117" s="172"/>
      <c r="ABA117" s="172"/>
      <c r="ABB117" s="172"/>
      <c r="ABC117" s="172"/>
      <c r="ABD117" s="172"/>
      <c r="ABE117" s="172"/>
      <c r="ABF117" s="172"/>
      <c r="ABG117" s="172"/>
      <c r="ABH117" s="172"/>
      <c r="ABI117" s="172"/>
      <c r="ABJ117" s="172"/>
      <c r="ABK117" s="172"/>
      <c r="ABL117" s="172"/>
      <c r="ABM117" s="172"/>
      <c r="ABN117" s="172"/>
      <c r="ABO117" s="172"/>
      <c r="ABP117" s="172"/>
      <c r="ABQ117" s="172"/>
      <c r="ABR117" s="172"/>
      <c r="ABS117" s="172"/>
      <c r="ABT117" s="172"/>
      <c r="ABU117" s="172"/>
      <c r="ABV117" s="172"/>
      <c r="ABW117" s="172"/>
      <c r="ABX117" s="172"/>
      <c r="ABY117" s="172"/>
      <c r="ABZ117" s="172"/>
      <c r="ACA117" s="172"/>
      <c r="ACB117" s="172"/>
      <c r="ACC117" s="172"/>
      <c r="ACD117" s="172"/>
      <c r="ACE117" s="172"/>
      <c r="ACF117" s="172"/>
      <c r="ACG117" s="172"/>
      <c r="ACH117" s="172"/>
      <c r="ACI117" s="172"/>
      <c r="ACJ117" s="172"/>
      <c r="ACK117" s="172"/>
      <c r="ACL117" s="172"/>
      <c r="ACM117" s="172"/>
      <c r="ACN117" s="172"/>
      <c r="ACO117" s="172"/>
      <c r="ACP117" s="172"/>
      <c r="ACQ117" s="172"/>
      <c r="ACR117" s="172"/>
      <c r="ACS117" s="172"/>
      <c r="ACT117" s="172"/>
      <c r="ACU117" s="172"/>
      <c r="ACV117" s="172"/>
      <c r="ACW117" s="172"/>
      <c r="ACX117" s="172"/>
      <c r="ACY117" s="172"/>
      <c r="ACZ117" s="172"/>
      <c r="ADA117" s="172"/>
      <c r="ADB117" s="172"/>
      <c r="ADC117" s="172"/>
      <c r="ADD117" s="172"/>
      <c r="ADE117" s="172"/>
      <c r="ADF117" s="172"/>
      <c r="ADG117" s="172"/>
      <c r="ADH117" s="172"/>
      <c r="ADI117" s="172"/>
      <c r="ADJ117" s="172"/>
      <c r="ADK117" s="172"/>
      <c r="ADL117" s="172"/>
      <c r="ADM117" s="172"/>
      <c r="ADN117" s="172"/>
      <c r="ADO117" s="172"/>
      <c r="ADP117" s="172"/>
      <c r="ADQ117" s="172"/>
      <c r="ADR117" s="172"/>
      <c r="ADS117" s="172"/>
      <c r="ADT117" s="172"/>
      <c r="ADU117" s="172"/>
      <c r="ADV117" s="172"/>
      <c r="ADW117" s="172"/>
      <c r="ADX117" s="172"/>
      <c r="ADY117" s="172"/>
      <c r="ADZ117" s="172"/>
      <c r="AEA117" s="172"/>
      <c r="AEB117" s="172"/>
      <c r="AEC117" s="172"/>
      <c r="AED117" s="172"/>
      <c r="AEE117" s="172"/>
      <c r="AEF117" s="172"/>
      <c r="AEG117" s="172"/>
      <c r="AEH117" s="172"/>
      <c r="AEI117" s="172"/>
      <c r="AEJ117" s="172"/>
      <c r="AEK117" s="172"/>
      <c r="AEL117" s="172"/>
      <c r="AEM117" s="172"/>
      <c r="AEN117" s="172"/>
      <c r="AEO117" s="172"/>
      <c r="AEP117" s="172"/>
      <c r="AEQ117" s="172"/>
      <c r="AER117" s="172"/>
      <c r="AES117" s="172"/>
      <c r="AET117" s="172"/>
      <c r="AEU117" s="172"/>
      <c r="AEV117" s="172"/>
      <c r="AEW117" s="172"/>
      <c r="AEX117" s="172"/>
      <c r="AEY117" s="172"/>
      <c r="AEZ117" s="172"/>
      <c r="AFA117" s="172"/>
      <c r="AFB117" s="172"/>
      <c r="AFC117" s="172"/>
      <c r="AFD117" s="172"/>
      <c r="AFE117" s="172"/>
      <c r="AFF117" s="172"/>
      <c r="AFG117" s="172"/>
      <c r="AFH117" s="172"/>
      <c r="AFI117" s="172"/>
      <c r="AFJ117" s="172"/>
      <c r="AFK117" s="172"/>
      <c r="AFL117" s="172"/>
      <c r="AFM117" s="172"/>
      <c r="AFN117" s="172"/>
      <c r="AFO117" s="172"/>
      <c r="AFP117" s="172"/>
      <c r="AFQ117" s="172"/>
      <c r="AFR117" s="172"/>
      <c r="AFS117" s="172"/>
      <c r="AFT117" s="172"/>
      <c r="AFU117" s="172"/>
      <c r="AFV117" s="172"/>
      <c r="AFW117" s="172"/>
      <c r="AFX117" s="172"/>
      <c r="AFY117" s="172"/>
      <c r="AFZ117" s="172"/>
      <c r="AGA117" s="172"/>
      <c r="AGB117" s="172"/>
      <c r="AGC117" s="172"/>
      <c r="AGD117" s="172"/>
      <c r="AGE117" s="172"/>
      <c r="AGF117" s="172"/>
      <c r="AGG117" s="172"/>
      <c r="AGH117" s="172"/>
      <c r="AGI117" s="172"/>
      <c r="AGJ117" s="172"/>
      <c r="AGK117" s="172"/>
      <c r="AGL117" s="172"/>
      <c r="AGM117" s="172"/>
      <c r="AGN117" s="172"/>
      <c r="AGO117" s="172"/>
      <c r="AGP117" s="172"/>
      <c r="AGQ117" s="172"/>
      <c r="AGR117" s="172"/>
      <c r="AGS117" s="172"/>
      <c r="AGT117" s="172"/>
      <c r="AGU117" s="172"/>
      <c r="AGV117" s="172"/>
      <c r="AGW117" s="172"/>
      <c r="AGX117" s="172"/>
      <c r="AGY117" s="172"/>
      <c r="AGZ117" s="172"/>
      <c r="AHA117" s="172"/>
      <c r="AHB117" s="172"/>
      <c r="AHC117" s="172"/>
      <c r="AHD117" s="172"/>
      <c r="AHE117" s="172"/>
      <c r="AHF117" s="172"/>
      <c r="AHG117" s="172"/>
      <c r="AHH117" s="172"/>
      <c r="AHI117" s="172"/>
      <c r="AHJ117" s="172"/>
      <c r="AHK117" s="172"/>
      <c r="AHL117" s="172"/>
      <c r="AHM117" s="172"/>
      <c r="AHN117" s="172"/>
      <c r="AHO117" s="172"/>
      <c r="AHP117" s="172"/>
      <c r="AHQ117" s="172"/>
      <c r="AHR117" s="172"/>
      <c r="AHS117" s="172"/>
      <c r="AHT117" s="172"/>
      <c r="AHU117" s="172"/>
      <c r="AHV117" s="172"/>
      <c r="AHW117" s="172"/>
      <c r="AHX117" s="172"/>
      <c r="AHY117" s="172"/>
      <c r="AHZ117" s="172"/>
      <c r="AIA117" s="172"/>
      <c r="AIB117" s="172"/>
      <c r="AIC117" s="172"/>
      <c r="AID117" s="172"/>
      <c r="AIE117" s="172"/>
      <c r="AIF117" s="172"/>
      <c r="AIG117" s="172"/>
      <c r="AIH117" s="172"/>
      <c r="AII117" s="172"/>
      <c r="AIJ117" s="172"/>
      <c r="AIK117" s="172"/>
      <c r="AIL117" s="172"/>
      <c r="AIM117" s="172"/>
      <c r="AIN117" s="172"/>
      <c r="AIO117" s="172"/>
      <c r="AIP117" s="172"/>
      <c r="AIQ117" s="172"/>
      <c r="AIR117" s="172"/>
      <c r="AIS117" s="172"/>
      <c r="AIT117" s="172"/>
      <c r="AIU117" s="172"/>
      <c r="AIV117" s="172"/>
      <c r="AIW117" s="172"/>
      <c r="AIX117" s="172"/>
      <c r="AIY117" s="172"/>
      <c r="AIZ117" s="172"/>
      <c r="AJA117" s="172"/>
      <c r="AJB117" s="172"/>
      <c r="AJC117" s="172"/>
      <c r="AJD117" s="172"/>
      <c r="AJE117" s="172"/>
      <c r="AJF117" s="172"/>
      <c r="AJG117" s="172"/>
      <c r="AJH117" s="172"/>
      <c r="AJI117" s="172"/>
      <c r="AJJ117" s="172"/>
      <c r="AJK117" s="172"/>
      <c r="AJL117" s="172"/>
      <c r="AJM117" s="172"/>
      <c r="AJN117" s="172"/>
      <c r="AJO117" s="172"/>
      <c r="AJP117" s="172"/>
      <c r="AJQ117" s="172"/>
      <c r="AJR117" s="172"/>
      <c r="AJS117" s="172"/>
      <c r="AJT117" s="172"/>
      <c r="AJU117" s="172"/>
      <c r="AJV117" s="172"/>
      <c r="AJW117" s="172"/>
      <c r="AJX117" s="172"/>
      <c r="AJY117" s="172"/>
      <c r="AJZ117" s="172"/>
      <c r="AKA117" s="172"/>
      <c r="AKB117" s="172"/>
      <c r="AKC117" s="172"/>
      <c r="AKD117" s="172"/>
      <c r="AKE117" s="172"/>
      <c r="AKF117" s="172"/>
      <c r="AKG117" s="172"/>
      <c r="AKH117" s="172"/>
      <c r="AKI117" s="172"/>
      <c r="AKJ117" s="172"/>
      <c r="AKK117" s="172"/>
      <c r="AKL117" s="172"/>
      <c r="AKM117" s="172"/>
      <c r="AKN117" s="172"/>
      <c r="AKO117" s="172"/>
      <c r="AKP117" s="172"/>
      <c r="AKQ117" s="172"/>
      <c r="AKR117" s="172"/>
      <c r="AKS117" s="172"/>
      <c r="AKT117" s="172"/>
      <c r="AKU117" s="172"/>
      <c r="AKV117" s="172"/>
      <c r="AKW117" s="172"/>
      <c r="AKX117" s="172"/>
      <c r="AKY117" s="172"/>
      <c r="AKZ117" s="172"/>
      <c r="ALA117" s="172"/>
      <c r="ALB117" s="172"/>
      <c r="ALC117" s="172"/>
      <c r="ALD117" s="172"/>
      <c r="ALE117" s="172"/>
      <c r="ALF117" s="172"/>
      <c r="ALG117" s="172"/>
      <c r="ALH117" s="172"/>
      <c r="ALI117" s="172"/>
      <c r="ALJ117" s="172"/>
      <c r="ALK117" s="172"/>
      <c r="ALL117" s="172"/>
      <c r="ALM117" s="172"/>
      <c r="ALN117" s="172"/>
      <c r="ALO117" s="172"/>
      <c r="ALP117" s="172"/>
      <c r="ALQ117" s="172"/>
      <c r="ALR117" s="172"/>
      <c r="ALS117" s="172"/>
      <c r="ALT117" s="172"/>
      <c r="ALU117" s="172"/>
      <c r="ALV117" s="172"/>
      <c r="ALW117" s="172"/>
      <c r="ALX117" s="172"/>
      <c r="ALY117" s="172"/>
      <c r="ALZ117" s="172"/>
      <c r="AMA117" s="172"/>
      <c r="AMB117" s="172"/>
      <c r="AMC117" s="172"/>
      <c r="AMD117" s="172"/>
      <c r="AME117" s="172"/>
      <c r="AMF117" s="172"/>
      <c r="AMG117" s="172"/>
      <c r="AMH117" s="172"/>
      <c r="AMI117" s="172"/>
      <c r="AMJ117" s="172"/>
    </row>
    <row r="118" s="7" customFormat="true" ht="15.75" hidden="false" customHeight="true" outlineLevel="0" collapsed="false">
      <c r="A118" s="172"/>
      <c r="B118" s="72" t="s">
        <v>111</v>
      </c>
      <c r="C118" s="73" t="s">
        <v>88</v>
      </c>
      <c r="D118" s="74" t="n">
        <v>560</v>
      </c>
      <c r="E118" s="75"/>
      <c r="F118" s="157" t="n">
        <v>14</v>
      </c>
      <c r="G118" s="10"/>
      <c r="H118" s="72" t="s">
        <v>111</v>
      </c>
      <c r="I118" s="73" t="s">
        <v>88</v>
      </c>
      <c r="J118" s="74" t="n">
        <v>560</v>
      </c>
      <c r="K118" s="75"/>
      <c r="L118" s="157" t="n">
        <v>14</v>
      </c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  <c r="AA118" s="172"/>
      <c r="AB118" s="172"/>
      <c r="AC118" s="172"/>
      <c r="AD118" s="172"/>
      <c r="AE118" s="172"/>
      <c r="AF118" s="172"/>
      <c r="AG118" s="172"/>
      <c r="AH118" s="172"/>
      <c r="AI118" s="172"/>
      <c r="AJ118" s="172"/>
      <c r="AK118" s="172"/>
      <c r="AL118" s="172"/>
      <c r="AM118" s="172"/>
      <c r="AN118" s="172"/>
      <c r="AO118" s="172"/>
      <c r="AP118" s="172"/>
      <c r="AQ118" s="172"/>
      <c r="AR118" s="172"/>
      <c r="AS118" s="172"/>
      <c r="AT118" s="172"/>
      <c r="AU118" s="172"/>
      <c r="AV118" s="172"/>
      <c r="AW118" s="172"/>
      <c r="AX118" s="172"/>
      <c r="AY118" s="172"/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172"/>
      <c r="BM118" s="172"/>
      <c r="BN118" s="172"/>
      <c r="BO118" s="172"/>
      <c r="BP118" s="172"/>
      <c r="BQ118" s="172"/>
      <c r="BR118" s="172"/>
      <c r="BS118" s="172"/>
      <c r="BT118" s="172"/>
      <c r="BU118" s="172"/>
      <c r="BV118" s="172"/>
      <c r="BW118" s="172"/>
      <c r="BX118" s="172"/>
      <c r="BY118" s="172"/>
      <c r="BZ118" s="172"/>
      <c r="CA118" s="172"/>
      <c r="CB118" s="172"/>
      <c r="CC118" s="172"/>
      <c r="CD118" s="172"/>
      <c r="CE118" s="172"/>
      <c r="CF118" s="172"/>
      <c r="CG118" s="172"/>
      <c r="CH118" s="172"/>
      <c r="CI118" s="172"/>
      <c r="CJ118" s="172"/>
      <c r="CK118" s="172"/>
      <c r="CL118" s="172"/>
      <c r="CM118" s="172"/>
      <c r="CN118" s="172"/>
      <c r="CO118" s="172"/>
      <c r="CP118" s="172"/>
      <c r="CQ118" s="172"/>
      <c r="CR118" s="172"/>
      <c r="CS118" s="172"/>
      <c r="CT118" s="172"/>
      <c r="CU118" s="172"/>
      <c r="CV118" s="172"/>
      <c r="CW118" s="172"/>
      <c r="CX118" s="172"/>
      <c r="CY118" s="172"/>
      <c r="CZ118" s="172"/>
      <c r="DA118" s="172"/>
      <c r="DB118" s="172"/>
      <c r="DC118" s="172"/>
      <c r="DD118" s="172"/>
      <c r="DE118" s="172"/>
      <c r="DF118" s="172"/>
      <c r="DG118" s="172"/>
      <c r="DH118" s="172"/>
      <c r="DI118" s="172"/>
      <c r="DJ118" s="172"/>
      <c r="DK118" s="172"/>
      <c r="DL118" s="172"/>
      <c r="DM118" s="172"/>
      <c r="DN118" s="172"/>
      <c r="DO118" s="172"/>
      <c r="DP118" s="172"/>
      <c r="DQ118" s="172"/>
      <c r="DR118" s="172"/>
      <c r="DS118" s="172"/>
      <c r="DT118" s="172"/>
      <c r="DU118" s="172"/>
      <c r="DV118" s="172"/>
      <c r="DW118" s="172"/>
      <c r="DX118" s="172"/>
      <c r="DY118" s="172"/>
      <c r="DZ118" s="172"/>
      <c r="EA118" s="172"/>
      <c r="EB118" s="172"/>
      <c r="EC118" s="172"/>
      <c r="ED118" s="172"/>
      <c r="EE118" s="172"/>
      <c r="EF118" s="172"/>
      <c r="EG118" s="172"/>
      <c r="EH118" s="172"/>
      <c r="EI118" s="172"/>
      <c r="EJ118" s="172"/>
      <c r="EK118" s="172"/>
      <c r="EL118" s="172"/>
      <c r="EM118" s="172"/>
      <c r="EN118" s="172"/>
      <c r="EO118" s="172"/>
      <c r="EP118" s="172"/>
      <c r="EQ118" s="172"/>
      <c r="ER118" s="172"/>
      <c r="ES118" s="172"/>
      <c r="ET118" s="172"/>
      <c r="EU118" s="172"/>
      <c r="EV118" s="172"/>
      <c r="EW118" s="172"/>
      <c r="EX118" s="172"/>
      <c r="EY118" s="172"/>
      <c r="EZ118" s="172"/>
      <c r="FA118" s="172"/>
      <c r="FB118" s="172"/>
      <c r="FC118" s="172"/>
      <c r="FD118" s="172"/>
      <c r="FE118" s="172"/>
      <c r="FF118" s="172"/>
      <c r="FG118" s="172"/>
      <c r="FH118" s="172"/>
      <c r="FI118" s="172"/>
      <c r="FJ118" s="172"/>
      <c r="FK118" s="172"/>
      <c r="FL118" s="172"/>
      <c r="FM118" s="172"/>
      <c r="FN118" s="172"/>
      <c r="FO118" s="172"/>
      <c r="FP118" s="172"/>
      <c r="FQ118" s="172"/>
      <c r="FR118" s="172"/>
      <c r="FS118" s="172"/>
      <c r="FT118" s="172"/>
      <c r="FU118" s="172"/>
      <c r="FV118" s="172"/>
      <c r="FW118" s="172"/>
      <c r="FX118" s="172"/>
      <c r="FY118" s="172"/>
      <c r="FZ118" s="172"/>
      <c r="GA118" s="172"/>
      <c r="GB118" s="172"/>
      <c r="GC118" s="172"/>
      <c r="GD118" s="172"/>
      <c r="GE118" s="172"/>
      <c r="GF118" s="172"/>
      <c r="GG118" s="172"/>
      <c r="GH118" s="172"/>
      <c r="GI118" s="172"/>
      <c r="GJ118" s="172"/>
      <c r="GK118" s="172"/>
      <c r="GL118" s="172"/>
      <c r="GM118" s="172"/>
      <c r="GN118" s="172"/>
      <c r="GO118" s="172"/>
      <c r="GP118" s="172"/>
      <c r="GQ118" s="172"/>
      <c r="GR118" s="172"/>
      <c r="GS118" s="172"/>
      <c r="GT118" s="172"/>
      <c r="GU118" s="172"/>
      <c r="GV118" s="172"/>
      <c r="GW118" s="172"/>
      <c r="GX118" s="172"/>
      <c r="GY118" s="172"/>
      <c r="GZ118" s="172"/>
      <c r="HA118" s="172"/>
      <c r="HB118" s="172"/>
      <c r="HC118" s="172"/>
      <c r="HD118" s="172"/>
      <c r="HE118" s="172"/>
      <c r="HF118" s="172"/>
      <c r="HG118" s="172"/>
      <c r="HH118" s="172"/>
      <c r="HI118" s="172"/>
      <c r="HJ118" s="172"/>
      <c r="HK118" s="172"/>
      <c r="HL118" s="172"/>
      <c r="HM118" s="172"/>
      <c r="HN118" s="172"/>
      <c r="HO118" s="172"/>
      <c r="HP118" s="172"/>
      <c r="HQ118" s="172"/>
      <c r="HR118" s="172"/>
      <c r="HS118" s="172"/>
      <c r="HT118" s="172"/>
      <c r="HU118" s="172"/>
      <c r="HV118" s="172"/>
      <c r="HW118" s="172"/>
      <c r="HX118" s="172"/>
      <c r="HY118" s="172"/>
      <c r="HZ118" s="172"/>
      <c r="IA118" s="172"/>
      <c r="IB118" s="172"/>
      <c r="IC118" s="172"/>
      <c r="ID118" s="172"/>
      <c r="IE118" s="172"/>
      <c r="IF118" s="172"/>
      <c r="IG118" s="172"/>
      <c r="IH118" s="172"/>
      <c r="II118" s="172"/>
      <c r="IJ118" s="172"/>
      <c r="IK118" s="172"/>
      <c r="IL118" s="172"/>
      <c r="IM118" s="172"/>
      <c r="IN118" s="172"/>
      <c r="IO118" s="172"/>
      <c r="IP118" s="172"/>
      <c r="IQ118" s="172"/>
      <c r="IR118" s="172"/>
      <c r="IS118" s="172"/>
      <c r="IT118" s="172"/>
      <c r="IU118" s="172"/>
      <c r="IV118" s="172"/>
      <c r="IW118" s="172"/>
      <c r="IX118" s="172"/>
      <c r="IY118" s="172"/>
      <c r="IZ118" s="172"/>
      <c r="JA118" s="172"/>
      <c r="JB118" s="172"/>
      <c r="JC118" s="172"/>
      <c r="JD118" s="172"/>
      <c r="JE118" s="172"/>
      <c r="JF118" s="172"/>
      <c r="JG118" s="172"/>
      <c r="JH118" s="172"/>
      <c r="JI118" s="172"/>
      <c r="JJ118" s="172"/>
      <c r="JK118" s="172"/>
      <c r="JL118" s="172"/>
      <c r="JM118" s="172"/>
      <c r="JN118" s="172"/>
      <c r="JO118" s="172"/>
      <c r="JP118" s="172"/>
      <c r="JQ118" s="172"/>
      <c r="JR118" s="172"/>
      <c r="JS118" s="172"/>
      <c r="JT118" s="172"/>
      <c r="JU118" s="172"/>
      <c r="JV118" s="172"/>
      <c r="JW118" s="172"/>
      <c r="JX118" s="172"/>
      <c r="JY118" s="172"/>
      <c r="JZ118" s="172"/>
      <c r="KA118" s="172"/>
      <c r="KB118" s="172"/>
      <c r="KC118" s="172"/>
      <c r="KD118" s="172"/>
      <c r="KE118" s="172"/>
      <c r="KF118" s="172"/>
      <c r="KG118" s="172"/>
      <c r="KH118" s="172"/>
      <c r="KI118" s="172"/>
      <c r="KJ118" s="172"/>
      <c r="KK118" s="172"/>
      <c r="KL118" s="172"/>
      <c r="KM118" s="172"/>
      <c r="KN118" s="172"/>
      <c r="KO118" s="172"/>
      <c r="KP118" s="172"/>
      <c r="KQ118" s="172"/>
      <c r="KR118" s="172"/>
      <c r="KS118" s="172"/>
      <c r="KT118" s="172"/>
      <c r="KU118" s="172"/>
      <c r="KV118" s="172"/>
      <c r="KW118" s="172"/>
      <c r="KX118" s="172"/>
      <c r="KY118" s="172"/>
      <c r="KZ118" s="172"/>
      <c r="LA118" s="172"/>
      <c r="LB118" s="172"/>
      <c r="LC118" s="172"/>
      <c r="LD118" s="172"/>
      <c r="LE118" s="172"/>
      <c r="LF118" s="172"/>
      <c r="LG118" s="172"/>
      <c r="LH118" s="172"/>
      <c r="LI118" s="172"/>
      <c r="LJ118" s="172"/>
      <c r="LK118" s="172"/>
      <c r="LL118" s="172"/>
      <c r="LM118" s="172"/>
      <c r="LN118" s="172"/>
      <c r="LO118" s="172"/>
      <c r="LP118" s="172"/>
      <c r="LQ118" s="172"/>
      <c r="LR118" s="172"/>
      <c r="LS118" s="172"/>
      <c r="LT118" s="172"/>
      <c r="LU118" s="172"/>
      <c r="LV118" s="172"/>
      <c r="LW118" s="172"/>
      <c r="LX118" s="172"/>
      <c r="LY118" s="172"/>
      <c r="LZ118" s="172"/>
      <c r="MA118" s="172"/>
      <c r="MB118" s="172"/>
      <c r="MC118" s="172"/>
      <c r="MD118" s="172"/>
      <c r="ME118" s="172"/>
      <c r="MF118" s="172"/>
      <c r="MG118" s="172"/>
      <c r="MH118" s="172"/>
      <c r="MI118" s="172"/>
      <c r="MJ118" s="172"/>
      <c r="MK118" s="172"/>
      <c r="ML118" s="172"/>
      <c r="MM118" s="172"/>
      <c r="MN118" s="172"/>
      <c r="MO118" s="172"/>
      <c r="MP118" s="172"/>
      <c r="MQ118" s="172"/>
      <c r="MR118" s="172"/>
      <c r="MS118" s="172"/>
      <c r="MT118" s="172"/>
      <c r="MU118" s="172"/>
      <c r="MV118" s="172"/>
      <c r="MW118" s="172"/>
      <c r="MX118" s="172"/>
      <c r="MY118" s="172"/>
      <c r="MZ118" s="172"/>
      <c r="NA118" s="172"/>
      <c r="NB118" s="172"/>
      <c r="NC118" s="172"/>
      <c r="ND118" s="172"/>
      <c r="NE118" s="172"/>
      <c r="NF118" s="172"/>
      <c r="NG118" s="172"/>
      <c r="NH118" s="172"/>
      <c r="NI118" s="172"/>
      <c r="NJ118" s="172"/>
      <c r="NK118" s="172"/>
      <c r="NL118" s="172"/>
      <c r="NM118" s="172"/>
      <c r="NN118" s="172"/>
      <c r="NO118" s="172"/>
      <c r="NP118" s="172"/>
      <c r="NQ118" s="172"/>
      <c r="NR118" s="172"/>
      <c r="NS118" s="172"/>
      <c r="NT118" s="172"/>
      <c r="NU118" s="172"/>
      <c r="NV118" s="172"/>
      <c r="NW118" s="172"/>
      <c r="NX118" s="172"/>
      <c r="NY118" s="172"/>
      <c r="NZ118" s="172"/>
      <c r="OA118" s="172"/>
      <c r="OB118" s="172"/>
      <c r="OC118" s="172"/>
      <c r="OD118" s="172"/>
      <c r="OE118" s="172"/>
      <c r="OF118" s="172"/>
      <c r="OG118" s="172"/>
      <c r="OH118" s="172"/>
      <c r="OI118" s="172"/>
      <c r="OJ118" s="172"/>
      <c r="OK118" s="172"/>
      <c r="OL118" s="172"/>
      <c r="OM118" s="172"/>
      <c r="ON118" s="172"/>
      <c r="OO118" s="172"/>
      <c r="OP118" s="172"/>
      <c r="OQ118" s="172"/>
      <c r="OR118" s="172"/>
      <c r="OS118" s="172"/>
      <c r="OT118" s="172"/>
      <c r="OU118" s="172"/>
      <c r="OV118" s="172"/>
      <c r="OW118" s="172"/>
      <c r="OX118" s="172"/>
      <c r="OY118" s="172"/>
      <c r="OZ118" s="172"/>
      <c r="PA118" s="172"/>
      <c r="PB118" s="172"/>
      <c r="PC118" s="172"/>
      <c r="PD118" s="172"/>
      <c r="PE118" s="172"/>
      <c r="PF118" s="172"/>
      <c r="PG118" s="172"/>
      <c r="PH118" s="172"/>
      <c r="PI118" s="172"/>
      <c r="PJ118" s="172"/>
      <c r="PK118" s="172"/>
      <c r="PL118" s="172"/>
      <c r="PM118" s="172"/>
      <c r="PN118" s="172"/>
      <c r="PO118" s="172"/>
      <c r="PP118" s="172"/>
      <c r="PQ118" s="172"/>
      <c r="PR118" s="172"/>
      <c r="PS118" s="172"/>
      <c r="PT118" s="172"/>
      <c r="PU118" s="172"/>
      <c r="PV118" s="172"/>
      <c r="PW118" s="172"/>
      <c r="PX118" s="172"/>
      <c r="PY118" s="172"/>
      <c r="PZ118" s="172"/>
      <c r="QA118" s="172"/>
      <c r="QB118" s="172"/>
      <c r="QC118" s="172"/>
      <c r="QD118" s="172"/>
      <c r="QE118" s="172"/>
      <c r="QF118" s="172"/>
      <c r="QG118" s="172"/>
      <c r="QH118" s="172"/>
      <c r="QI118" s="172"/>
      <c r="QJ118" s="172"/>
      <c r="QK118" s="172"/>
      <c r="QL118" s="172"/>
      <c r="QM118" s="172"/>
      <c r="QN118" s="172"/>
      <c r="QO118" s="172"/>
      <c r="QP118" s="172"/>
      <c r="QQ118" s="172"/>
      <c r="QR118" s="172"/>
      <c r="QS118" s="172"/>
      <c r="QT118" s="172"/>
      <c r="QU118" s="172"/>
      <c r="QV118" s="172"/>
      <c r="QW118" s="172"/>
      <c r="QX118" s="172"/>
      <c r="QY118" s="172"/>
      <c r="QZ118" s="172"/>
      <c r="RA118" s="172"/>
      <c r="RB118" s="172"/>
      <c r="RC118" s="172"/>
      <c r="RD118" s="172"/>
      <c r="RE118" s="172"/>
      <c r="RF118" s="172"/>
      <c r="RG118" s="172"/>
      <c r="RH118" s="172"/>
      <c r="RI118" s="172"/>
      <c r="RJ118" s="172"/>
      <c r="RK118" s="172"/>
      <c r="RL118" s="172"/>
      <c r="RM118" s="172"/>
      <c r="RN118" s="172"/>
      <c r="RO118" s="172"/>
      <c r="RP118" s="172"/>
      <c r="RQ118" s="172"/>
      <c r="RR118" s="172"/>
      <c r="RS118" s="172"/>
      <c r="RT118" s="172"/>
      <c r="RU118" s="172"/>
      <c r="RV118" s="172"/>
      <c r="RW118" s="172"/>
      <c r="RX118" s="172"/>
      <c r="RY118" s="172"/>
      <c r="RZ118" s="172"/>
      <c r="SA118" s="172"/>
      <c r="SB118" s="172"/>
      <c r="SC118" s="172"/>
      <c r="SD118" s="172"/>
      <c r="SE118" s="172"/>
      <c r="SF118" s="172"/>
      <c r="SG118" s="172"/>
      <c r="SH118" s="172"/>
      <c r="SI118" s="172"/>
      <c r="SJ118" s="172"/>
      <c r="SK118" s="172"/>
      <c r="SL118" s="172"/>
      <c r="SM118" s="172"/>
      <c r="SN118" s="172"/>
      <c r="SO118" s="172"/>
      <c r="SP118" s="172"/>
      <c r="SQ118" s="172"/>
      <c r="SR118" s="172"/>
      <c r="SS118" s="172"/>
      <c r="ST118" s="172"/>
      <c r="SU118" s="172"/>
      <c r="SV118" s="172"/>
      <c r="SW118" s="172"/>
      <c r="SX118" s="172"/>
      <c r="SY118" s="172"/>
      <c r="SZ118" s="172"/>
      <c r="TA118" s="172"/>
      <c r="TB118" s="172"/>
      <c r="TC118" s="172"/>
      <c r="TD118" s="172"/>
      <c r="TE118" s="172"/>
      <c r="TF118" s="172"/>
      <c r="TG118" s="172"/>
      <c r="TH118" s="172"/>
      <c r="TI118" s="172"/>
      <c r="TJ118" s="172"/>
      <c r="TK118" s="172"/>
      <c r="TL118" s="172"/>
      <c r="TM118" s="172"/>
      <c r="TN118" s="172"/>
      <c r="TO118" s="172"/>
      <c r="TP118" s="172"/>
      <c r="TQ118" s="172"/>
      <c r="TR118" s="172"/>
      <c r="TS118" s="172"/>
      <c r="TT118" s="172"/>
      <c r="TU118" s="172"/>
      <c r="TV118" s="172"/>
      <c r="TW118" s="172"/>
      <c r="TX118" s="172"/>
      <c r="TY118" s="172"/>
      <c r="TZ118" s="172"/>
      <c r="UA118" s="172"/>
      <c r="UB118" s="172"/>
      <c r="UC118" s="172"/>
      <c r="UD118" s="172"/>
      <c r="UE118" s="172"/>
      <c r="UF118" s="172"/>
      <c r="UG118" s="172"/>
      <c r="UH118" s="172"/>
      <c r="UI118" s="172"/>
      <c r="UJ118" s="172"/>
      <c r="UK118" s="172"/>
      <c r="UL118" s="172"/>
      <c r="UM118" s="172"/>
      <c r="UN118" s="172"/>
      <c r="UO118" s="172"/>
      <c r="UP118" s="172"/>
      <c r="UQ118" s="172"/>
      <c r="UR118" s="172"/>
      <c r="US118" s="172"/>
      <c r="UT118" s="172"/>
      <c r="UU118" s="172"/>
      <c r="UV118" s="172"/>
      <c r="UW118" s="172"/>
      <c r="UX118" s="172"/>
      <c r="UY118" s="172"/>
      <c r="UZ118" s="172"/>
      <c r="VA118" s="172"/>
      <c r="VB118" s="172"/>
      <c r="VC118" s="172"/>
      <c r="VD118" s="172"/>
      <c r="VE118" s="172"/>
      <c r="VF118" s="172"/>
      <c r="VG118" s="172"/>
      <c r="VH118" s="172"/>
      <c r="VI118" s="172"/>
      <c r="VJ118" s="172"/>
      <c r="VK118" s="172"/>
      <c r="VL118" s="172"/>
      <c r="VM118" s="172"/>
      <c r="VN118" s="172"/>
      <c r="VO118" s="172"/>
      <c r="VP118" s="172"/>
      <c r="VQ118" s="172"/>
      <c r="VR118" s="172"/>
      <c r="VS118" s="172"/>
      <c r="VT118" s="172"/>
      <c r="VU118" s="172"/>
      <c r="VV118" s="172"/>
      <c r="VW118" s="172"/>
      <c r="VX118" s="172"/>
      <c r="VY118" s="172"/>
      <c r="VZ118" s="172"/>
      <c r="WA118" s="172"/>
      <c r="WB118" s="172"/>
      <c r="WC118" s="172"/>
      <c r="WD118" s="172"/>
      <c r="WE118" s="172"/>
      <c r="WF118" s="172"/>
      <c r="WG118" s="172"/>
      <c r="WH118" s="172"/>
      <c r="WI118" s="172"/>
      <c r="WJ118" s="172"/>
      <c r="WK118" s="172"/>
      <c r="WL118" s="172"/>
      <c r="WM118" s="172"/>
      <c r="WN118" s="172"/>
      <c r="WO118" s="172"/>
      <c r="WP118" s="172"/>
      <c r="WQ118" s="172"/>
      <c r="WR118" s="172"/>
      <c r="WS118" s="172"/>
      <c r="WT118" s="172"/>
      <c r="WU118" s="172"/>
      <c r="WV118" s="172"/>
      <c r="WW118" s="172"/>
      <c r="WX118" s="172"/>
      <c r="WY118" s="172"/>
      <c r="WZ118" s="172"/>
      <c r="XA118" s="172"/>
      <c r="XB118" s="172"/>
      <c r="XC118" s="172"/>
      <c r="XD118" s="172"/>
      <c r="XE118" s="172"/>
      <c r="XF118" s="172"/>
      <c r="XG118" s="172"/>
      <c r="XH118" s="172"/>
      <c r="XI118" s="172"/>
      <c r="XJ118" s="172"/>
      <c r="XK118" s="172"/>
      <c r="XL118" s="172"/>
      <c r="XM118" s="172"/>
      <c r="XN118" s="172"/>
      <c r="XO118" s="172"/>
      <c r="XP118" s="172"/>
      <c r="XQ118" s="172"/>
      <c r="XR118" s="172"/>
      <c r="XS118" s="172"/>
      <c r="XT118" s="172"/>
      <c r="XU118" s="172"/>
      <c r="XV118" s="172"/>
      <c r="XW118" s="172"/>
      <c r="XX118" s="172"/>
      <c r="XY118" s="172"/>
      <c r="XZ118" s="172"/>
      <c r="YA118" s="172"/>
      <c r="YB118" s="172"/>
      <c r="YC118" s="172"/>
      <c r="YD118" s="172"/>
      <c r="YE118" s="172"/>
      <c r="YF118" s="172"/>
      <c r="YG118" s="172"/>
      <c r="YH118" s="172"/>
      <c r="YI118" s="172"/>
      <c r="YJ118" s="172"/>
      <c r="YK118" s="172"/>
      <c r="YL118" s="172"/>
      <c r="YM118" s="172"/>
      <c r="YN118" s="172"/>
      <c r="YO118" s="172"/>
      <c r="YP118" s="172"/>
      <c r="YQ118" s="172"/>
      <c r="YR118" s="172"/>
      <c r="YS118" s="172"/>
      <c r="YT118" s="172"/>
      <c r="YU118" s="172"/>
      <c r="YV118" s="172"/>
      <c r="YW118" s="172"/>
      <c r="YX118" s="172"/>
      <c r="YY118" s="172"/>
      <c r="YZ118" s="172"/>
      <c r="ZA118" s="172"/>
      <c r="ZB118" s="172"/>
      <c r="ZC118" s="172"/>
      <c r="ZD118" s="172"/>
      <c r="ZE118" s="172"/>
      <c r="ZF118" s="172"/>
      <c r="ZG118" s="172"/>
      <c r="ZH118" s="172"/>
      <c r="ZI118" s="172"/>
      <c r="ZJ118" s="172"/>
      <c r="ZK118" s="172"/>
      <c r="ZL118" s="172"/>
      <c r="ZM118" s="172"/>
      <c r="ZN118" s="172"/>
      <c r="ZO118" s="172"/>
      <c r="ZP118" s="172"/>
      <c r="ZQ118" s="172"/>
      <c r="ZR118" s="172"/>
      <c r="ZS118" s="172"/>
      <c r="ZT118" s="172"/>
      <c r="ZU118" s="172"/>
      <c r="ZV118" s="172"/>
      <c r="ZW118" s="172"/>
      <c r="ZX118" s="172"/>
      <c r="ZY118" s="172"/>
      <c r="ZZ118" s="172"/>
      <c r="AAA118" s="172"/>
      <c r="AAB118" s="172"/>
      <c r="AAC118" s="172"/>
      <c r="AAD118" s="172"/>
      <c r="AAE118" s="172"/>
      <c r="AAF118" s="172"/>
      <c r="AAG118" s="172"/>
      <c r="AAH118" s="172"/>
      <c r="AAI118" s="172"/>
      <c r="AAJ118" s="172"/>
      <c r="AAK118" s="172"/>
      <c r="AAL118" s="172"/>
      <c r="AAM118" s="172"/>
      <c r="AAN118" s="172"/>
      <c r="AAO118" s="172"/>
      <c r="AAP118" s="172"/>
      <c r="AAQ118" s="172"/>
      <c r="AAR118" s="172"/>
      <c r="AAS118" s="172"/>
      <c r="AAT118" s="172"/>
      <c r="AAU118" s="172"/>
      <c r="AAV118" s="172"/>
      <c r="AAW118" s="172"/>
      <c r="AAX118" s="172"/>
      <c r="AAY118" s="172"/>
      <c r="AAZ118" s="172"/>
      <c r="ABA118" s="172"/>
      <c r="ABB118" s="172"/>
      <c r="ABC118" s="172"/>
      <c r="ABD118" s="172"/>
      <c r="ABE118" s="172"/>
      <c r="ABF118" s="172"/>
      <c r="ABG118" s="172"/>
      <c r="ABH118" s="172"/>
      <c r="ABI118" s="172"/>
      <c r="ABJ118" s="172"/>
      <c r="ABK118" s="172"/>
      <c r="ABL118" s="172"/>
      <c r="ABM118" s="172"/>
      <c r="ABN118" s="172"/>
      <c r="ABO118" s="172"/>
      <c r="ABP118" s="172"/>
      <c r="ABQ118" s="172"/>
      <c r="ABR118" s="172"/>
      <c r="ABS118" s="172"/>
      <c r="ABT118" s="172"/>
      <c r="ABU118" s="172"/>
      <c r="ABV118" s="172"/>
      <c r="ABW118" s="172"/>
      <c r="ABX118" s="172"/>
      <c r="ABY118" s="172"/>
      <c r="ABZ118" s="172"/>
      <c r="ACA118" s="172"/>
      <c r="ACB118" s="172"/>
      <c r="ACC118" s="172"/>
      <c r="ACD118" s="172"/>
      <c r="ACE118" s="172"/>
      <c r="ACF118" s="172"/>
      <c r="ACG118" s="172"/>
      <c r="ACH118" s="172"/>
      <c r="ACI118" s="172"/>
      <c r="ACJ118" s="172"/>
      <c r="ACK118" s="172"/>
      <c r="ACL118" s="172"/>
      <c r="ACM118" s="172"/>
      <c r="ACN118" s="172"/>
      <c r="ACO118" s="172"/>
      <c r="ACP118" s="172"/>
      <c r="ACQ118" s="172"/>
      <c r="ACR118" s="172"/>
      <c r="ACS118" s="172"/>
      <c r="ACT118" s="172"/>
      <c r="ACU118" s="172"/>
      <c r="ACV118" s="172"/>
      <c r="ACW118" s="172"/>
      <c r="ACX118" s="172"/>
      <c r="ACY118" s="172"/>
      <c r="ACZ118" s="172"/>
      <c r="ADA118" s="172"/>
      <c r="ADB118" s="172"/>
      <c r="ADC118" s="172"/>
      <c r="ADD118" s="172"/>
      <c r="ADE118" s="172"/>
      <c r="ADF118" s="172"/>
      <c r="ADG118" s="172"/>
      <c r="ADH118" s="172"/>
      <c r="ADI118" s="172"/>
      <c r="ADJ118" s="172"/>
      <c r="ADK118" s="172"/>
      <c r="ADL118" s="172"/>
      <c r="ADM118" s="172"/>
      <c r="ADN118" s="172"/>
      <c r="ADO118" s="172"/>
      <c r="ADP118" s="172"/>
      <c r="ADQ118" s="172"/>
      <c r="ADR118" s="172"/>
      <c r="ADS118" s="172"/>
      <c r="ADT118" s="172"/>
      <c r="ADU118" s="172"/>
      <c r="ADV118" s="172"/>
      <c r="ADW118" s="172"/>
      <c r="ADX118" s="172"/>
      <c r="ADY118" s="172"/>
      <c r="ADZ118" s="172"/>
      <c r="AEA118" s="172"/>
      <c r="AEB118" s="172"/>
      <c r="AEC118" s="172"/>
      <c r="AED118" s="172"/>
      <c r="AEE118" s="172"/>
      <c r="AEF118" s="172"/>
      <c r="AEG118" s="172"/>
      <c r="AEH118" s="172"/>
      <c r="AEI118" s="172"/>
      <c r="AEJ118" s="172"/>
      <c r="AEK118" s="172"/>
      <c r="AEL118" s="172"/>
      <c r="AEM118" s="172"/>
      <c r="AEN118" s="172"/>
      <c r="AEO118" s="172"/>
      <c r="AEP118" s="172"/>
      <c r="AEQ118" s="172"/>
      <c r="AER118" s="172"/>
      <c r="AES118" s="172"/>
      <c r="AET118" s="172"/>
      <c r="AEU118" s="172"/>
      <c r="AEV118" s="172"/>
      <c r="AEW118" s="172"/>
      <c r="AEX118" s="172"/>
      <c r="AEY118" s="172"/>
      <c r="AEZ118" s="172"/>
      <c r="AFA118" s="172"/>
      <c r="AFB118" s="172"/>
      <c r="AFC118" s="172"/>
      <c r="AFD118" s="172"/>
      <c r="AFE118" s="172"/>
      <c r="AFF118" s="172"/>
      <c r="AFG118" s="172"/>
      <c r="AFH118" s="172"/>
      <c r="AFI118" s="172"/>
      <c r="AFJ118" s="172"/>
      <c r="AFK118" s="172"/>
      <c r="AFL118" s="172"/>
      <c r="AFM118" s="172"/>
      <c r="AFN118" s="172"/>
      <c r="AFO118" s="172"/>
      <c r="AFP118" s="172"/>
      <c r="AFQ118" s="172"/>
      <c r="AFR118" s="172"/>
      <c r="AFS118" s="172"/>
      <c r="AFT118" s="172"/>
      <c r="AFU118" s="172"/>
      <c r="AFV118" s="172"/>
      <c r="AFW118" s="172"/>
      <c r="AFX118" s="172"/>
      <c r="AFY118" s="172"/>
      <c r="AFZ118" s="172"/>
      <c r="AGA118" s="172"/>
      <c r="AGB118" s="172"/>
      <c r="AGC118" s="172"/>
      <c r="AGD118" s="172"/>
      <c r="AGE118" s="172"/>
      <c r="AGF118" s="172"/>
      <c r="AGG118" s="172"/>
      <c r="AGH118" s="172"/>
      <c r="AGI118" s="172"/>
      <c r="AGJ118" s="172"/>
      <c r="AGK118" s="172"/>
      <c r="AGL118" s="172"/>
      <c r="AGM118" s="172"/>
      <c r="AGN118" s="172"/>
      <c r="AGO118" s="172"/>
      <c r="AGP118" s="172"/>
      <c r="AGQ118" s="172"/>
      <c r="AGR118" s="172"/>
      <c r="AGS118" s="172"/>
      <c r="AGT118" s="172"/>
      <c r="AGU118" s="172"/>
      <c r="AGV118" s="172"/>
      <c r="AGW118" s="172"/>
      <c r="AGX118" s="172"/>
      <c r="AGY118" s="172"/>
      <c r="AGZ118" s="172"/>
      <c r="AHA118" s="172"/>
      <c r="AHB118" s="172"/>
      <c r="AHC118" s="172"/>
      <c r="AHD118" s="172"/>
      <c r="AHE118" s="172"/>
      <c r="AHF118" s="172"/>
      <c r="AHG118" s="172"/>
      <c r="AHH118" s="172"/>
      <c r="AHI118" s="172"/>
      <c r="AHJ118" s="172"/>
      <c r="AHK118" s="172"/>
      <c r="AHL118" s="172"/>
      <c r="AHM118" s="172"/>
      <c r="AHN118" s="172"/>
      <c r="AHO118" s="172"/>
      <c r="AHP118" s="172"/>
      <c r="AHQ118" s="172"/>
      <c r="AHR118" s="172"/>
      <c r="AHS118" s="172"/>
      <c r="AHT118" s="172"/>
      <c r="AHU118" s="172"/>
      <c r="AHV118" s="172"/>
      <c r="AHW118" s="172"/>
      <c r="AHX118" s="172"/>
      <c r="AHY118" s="172"/>
      <c r="AHZ118" s="172"/>
      <c r="AIA118" s="172"/>
      <c r="AIB118" s="172"/>
      <c r="AIC118" s="172"/>
      <c r="AID118" s="172"/>
      <c r="AIE118" s="172"/>
      <c r="AIF118" s="172"/>
      <c r="AIG118" s="172"/>
      <c r="AIH118" s="172"/>
      <c r="AII118" s="172"/>
      <c r="AIJ118" s="172"/>
      <c r="AIK118" s="172"/>
      <c r="AIL118" s="172"/>
      <c r="AIM118" s="172"/>
      <c r="AIN118" s="172"/>
      <c r="AIO118" s="172"/>
      <c r="AIP118" s="172"/>
      <c r="AIQ118" s="172"/>
      <c r="AIR118" s="172"/>
      <c r="AIS118" s="172"/>
      <c r="AIT118" s="172"/>
      <c r="AIU118" s="172"/>
      <c r="AIV118" s="172"/>
      <c r="AIW118" s="172"/>
      <c r="AIX118" s="172"/>
      <c r="AIY118" s="172"/>
      <c r="AIZ118" s="172"/>
      <c r="AJA118" s="172"/>
      <c r="AJB118" s="172"/>
      <c r="AJC118" s="172"/>
      <c r="AJD118" s="172"/>
      <c r="AJE118" s="172"/>
      <c r="AJF118" s="172"/>
      <c r="AJG118" s="172"/>
      <c r="AJH118" s="172"/>
      <c r="AJI118" s="172"/>
      <c r="AJJ118" s="172"/>
      <c r="AJK118" s="172"/>
      <c r="AJL118" s="172"/>
      <c r="AJM118" s="172"/>
      <c r="AJN118" s="172"/>
      <c r="AJO118" s="172"/>
      <c r="AJP118" s="172"/>
      <c r="AJQ118" s="172"/>
      <c r="AJR118" s="172"/>
      <c r="AJS118" s="172"/>
      <c r="AJT118" s="172"/>
      <c r="AJU118" s="172"/>
      <c r="AJV118" s="172"/>
      <c r="AJW118" s="172"/>
      <c r="AJX118" s="172"/>
      <c r="AJY118" s="172"/>
      <c r="AJZ118" s="172"/>
      <c r="AKA118" s="172"/>
      <c r="AKB118" s="172"/>
      <c r="AKC118" s="172"/>
      <c r="AKD118" s="172"/>
      <c r="AKE118" s="172"/>
      <c r="AKF118" s="172"/>
      <c r="AKG118" s="172"/>
      <c r="AKH118" s="172"/>
      <c r="AKI118" s="172"/>
      <c r="AKJ118" s="172"/>
      <c r="AKK118" s="172"/>
      <c r="AKL118" s="172"/>
      <c r="AKM118" s="172"/>
      <c r="AKN118" s="172"/>
      <c r="AKO118" s="172"/>
      <c r="AKP118" s="172"/>
      <c r="AKQ118" s="172"/>
      <c r="AKR118" s="172"/>
      <c r="AKS118" s="172"/>
      <c r="AKT118" s="172"/>
      <c r="AKU118" s="172"/>
      <c r="AKV118" s="172"/>
      <c r="AKW118" s="172"/>
      <c r="AKX118" s="172"/>
      <c r="AKY118" s="172"/>
      <c r="AKZ118" s="172"/>
      <c r="ALA118" s="172"/>
      <c r="ALB118" s="172"/>
      <c r="ALC118" s="172"/>
      <c r="ALD118" s="172"/>
      <c r="ALE118" s="172"/>
      <c r="ALF118" s="172"/>
      <c r="ALG118" s="172"/>
      <c r="ALH118" s="172"/>
      <c r="ALI118" s="172"/>
      <c r="ALJ118" s="172"/>
      <c r="ALK118" s="172"/>
      <c r="ALL118" s="172"/>
      <c r="ALM118" s="172"/>
      <c r="ALN118" s="172"/>
      <c r="ALO118" s="172"/>
      <c r="ALP118" s="172"/>
      <c r="ALQ118" s="172"/>
      <c r="ALR118" s="172"/>
      <c r="ALS118" s="172"/>
      <c r="ALT118" s="172"/>
      <c r="ALU118" s="172"/>
      <c r="ALV118" s="172"/>
      <c r="ALW118" s="172"/>
      <c r="ALX118" s="172"/>
      <c r="ALY118" s="172"/>
      <c r="ALZ118" s="172"/>
      <c r="AMA118" s="172"/>
      <c r="AMB118" s="172"/>
      <c r="AMC118" s="172"/>
      <c r="AMD118" s="172"/>
      <c r="AME118" s="172"/>
      <c r="AMF118" s="172"/>
      <c r="AMG118" s="172"/>
      <c r="AMH118" s="172"/>
      <c r="AMI118" s="172"/>
      <c r="AMJ118" s="172"/>
    </row>
    <row r="119" s="7" customFormat="true" ht="15.75" hidden="false" customHeight="true" outlineLevel="0" collapsed="false">
      <c r="A119" s="172"/>
      <c r="B119" s="77"/>
      <c r="C119" s="175"/>
      <c r="D119" s="176"/>
      <c r="E119" s="176"/>
      <c r="F119" s="176"/>
      <c r="G119" s="10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  <c r="AA119" s="172"/>
      <c r="AB119" s="172"/>
      <c r="AC119" s="172"/>
      <c r="AD119" s="172"/>
      <c r="AE119" s="172"/>
      <c r="AF119" s="172"/>
      <c r="AG119" s="172"/>
      <c r="AH119" s="172"/>
      <c r="AI119" s="172"/>
      <c r="AJ119" s="172"/>
      <c r="AK119" s="172"/>
      <c r="AL119" s="172"/>
      <c r="AM119" s="172"/>
      <c r="AN119" s="172"/>
      <c r="AO119" s="172"/>
      <c r="AP119" s="172"/>
      <c r="AQ119" s="172"/>
      <c r="AR119" s="172"/>
      <c r="AS119" s="172"/>
      <c r="AT119" s="172"/>
      <c r="AU119" s="172"/>
      <c r="AV119" s="172"/>
      <c r="AW119" s="172"/>
      <c r="AX119" s="172"/>
      <c r="AY119" s="172"/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172"/>
      <c r="BM119" s="172"/>
      <c r="BN119" s="172"/>
      <c r="BO119" s="172"/>
      <c r="BP119" s="172"/>
      <c r="BQ119" s="172"/>
      <c r="BR119" s="172"/>
      <c r="BS119" s="172"/>
      <c r="BT119" s="172"/>
      <c r="BU119" s="172"/>
      <c r="BV119" s="172"/>
      <c r="BW119" s="172"/>
      <c r="BX119" s="172"/>
      <c r="BY119" s="172"/>
      <c r="BZ119" s="172"/>
      <c r="CA119" s="172"/>
      <c r="CB119" s="172"/>
      <c r="CC119" s="172"/>
      <c r="CD119" s="172"/>
      <c r="CE119" s="172"/>
      <c r="CF119" s="172"/>
      <c r="CG119" s="172"/>
      <c r="CH119" s="172"/>
      <c r="CI119" s="172"/>
      <c r="CJ119" s="172"/>
      <c r="CK119" s="172"/>
      <c r="CL119" s="172"/>
      <c r="CM119" s="172"/>
      <c r="CN119" s="172"/>
      <c r="CO119" s="172"/>
      <c r="CP119" s="172"/>
      <c r="CQ119" s="172"/>
      <c r="CR119" s="172"/>
      <c r="CS119" s="172"/>
      <c r="CT119" s="172"/>
      <c r="CU119" s="172"/>
      <c r="CV119" s="172"/>
      <c r="CW119" s="172"/>
      <c r="CX119" s="172"/>
      <c r="CY119" s="172"/>
      <c r="CZ119" s="172"/>
      <c r="DA119" s="172"/>
      <c r="DB119" s="172"/>
      <c r="DC119" s="172"/>
      <c r="DD119" s="172"/>
      <c r="DE119" s="172"/>
      <c r="DF119" s="172"/>
      <c r="DG119" s="172"/>
      <c r="DH119" s="172"/>
      <c r="DI119" s="172"/>
      <c r="DJ119" s="172"/>
      <c r="DK119" s="172"/>
      <c r="DL119" s="172"/>
      <c r="DM119" s="172"/>
      <c r="DN119" s="172"/>
      <c r="DO119" s="172"/>
      <c r="DP119" s="172"/>
      <c r="DQ119" s="172"/>
      <c r="DR119" s="172"/>
      <c r="DS119" s="172"/>
      <c r="DT119" s="172"/>
      <c r="DU119" s="172"/>
      <c r="DV119" s="172"/>
      <c r="DW119" s="172"/>
      <c r="DX119" s="172"/>
      <c r="DY119" s="172"/>
      <c r="DZ119" s="172"/>
      <c r="EA119" s="172"/>
      <c r="EB119" s="172"/>
      <c r="EC119" s="172"/>
      <c r="ED119" s="172"/>
      <c r="EE119" s="172"/>
      <c r="EF119" s="172"/>
      <c r="EG119" s="172"/>
      <c r="EH119" s="172"/>
      <c r="EI119" s="172"/>
      <c r="EJ119" s="172"/>
      <c r="EK119" s="172"/>
      <c r="EL119" s="172"/>
      <c r="EM119" s="172"/>
      <c r="EN119" s="172"/>
      <c r="EO119" s="172"/>
      <c r="EP119" s="172"/>
      <c r="EQ119" s="172"/>
      <c r="ER119" s="172"/>
      <c r="ES119" s="172"/>
      <c r="ET119" s="172"/>
      <c r="EU119" s="172"/>
      <c r="EV119" s="172"/>
      <c r="EW119" s="172"/>
      <c r="EX119" s="172"/>
      <c r="EY119" s="172"/>
      <c r="EZ119" s="172"/>
      <c r="FA119" s="172"/>
      <c r="FB119" s="172"/>
      <c r="FC119" s="172"/>
      <c r="FD119" s="172"/>
      <c r="FE119" s="172"/>
      <c r="FF119" s="172"/>
      <c r="FG119" s="172"/>
      <c r="FH119" s="172"/>
      <c r="FI119" s="172"/>
      <c r="FJ119" s="172"/>
      <c r="FK119" s="172"/>
      <c r="FL119" s="172"/>
      <c r="FM119" s="172"/>
      <c r="FN119" s="172"/>
      <c r="FO119" s="172"/>
      <c r="FP119" s="172"/>
      <c r="FQ119" s="172"/>
      <c r="FR119" s="172"/>
      <c r="FS119" s="172"/>
      <c r="FT119" s="172"/>
      <c r="FU119" s="172"/>
      <c r="FV119" s="172"/>
      <c r="FW119" s="172"/>
      <c r="FX119" s="172"/>
      <c r="FY119" s="172"/>
      <c r="FZ119" s="172"/>
      <c r="GA119" s="172"/>
      <c r="GB119" s="172"/>
      <c r="GC119" s="172"/>
      <c r="GD119" s="172"/>
      <c r="GE119" s="172"/>
      <c r="GF119" s="172"/>
      <c r="GG119" s="172"/>
      <c r="GH119" s="172"/>
      <c r="GI119" s="172"/>
      <c r="GJ119" s="172"/>
      <c r="GK119" s="172"/>
      <c r="GL119" s="172"/>
      <c r="GM119" s="172"/>
      <c r="GN119" s="172"/>
      <c r="GO119" s="172"/>
      <c r="GP119" s="172"/>
      <c r="GQ119" s="172"/>
      <c r="GR119" s="172"/>
      <c r="GS119" s="172"/>
      <c r="GT119" s="172"/>
      <c r="GU119" s="172"/>
      <c r="GV119" s="172"/>
      <c r="GW119" s="172"/>
      <c r="GX119" s="172"/>
      <c r="GY119" s="172"/>
      <c r="GZ119" s="172"/>
      <c r="HA119" s="172"/>
      <c r="HB119" s="172"/>
      <c r="HC119" s="172"/>
      <c r="HD119" s="172"/>
      <c r="HE119" s="172"/>
      <c r="HF119" s="172"/>
      <c r="HG119" s="172"/>
      <c r="HH119" s="172"/>
      <c r="HI119" s="172"/>
      <c r="HJ119" s="172"/>
      <c r="HK119" s="172"/>
      <c r="HL119" s="172"/>
      <c r="HM119" s="172"/>
      <c r="HN119" s="172"/>
      <c r="HO119" s="172"/>
      <c r="HP119" s="172"/>
      <c r="HQ119" s="172"/>
      <c r="HR119" s="172"/>
      <c r="HS119" s="172"/>
      <c r="HT119" s="172"/>
      <c r="HU119" s="172"/>
      <c r="HV119" s="172"/>
      <c r="HW119" s="172"/>
      <c r="HX119" s="172"/>
      <c r="HY119" s="172"/>
      <c r="HZ119" s="172"/>
      <c r="IA119" s="172"/>
      <c r="IB119" s="172"/>
      <c r="IC119" s="172"/>
      <c r="ID119" s="172"/>
      <c r="IE119" s="172"/>
      <c r="IF119" s="172"/>
      <c r="IG119" s="172"/>
      <c r="IH119" s="172"/>
      <c r="II119" s="172"/>
      <c r="IJ119" s="172"/>
      <c r="IK119" s="172"/>
      <c r="IL119" s="172"/>
      <c r="IM119" s="172"/>
      <c r="IN119" s="172"/>
      <c r="IO119" s="172"/>
      <c r="IP119" s="172"/>
      <c r="IQ119" s="172"/>
      <c r="IR119" s="172"/>
      <c r="IS119" s="172"/>
      <c r="IT119" s="172"/>
      <c r="IU119" s="172"/>
      <c r="IV119" s="172"/>
      <c r="IW119" s="172"/>
      <c r="IX119" s="172"/>
      <c r="IY119" s="172"/>
      <c r="IZ119" s="172"/>
      <c r="JA119" s="172"/>
      <c r="JB119" s="172"/>
      <c r="JC119" s="172"/>
      <c r="JD119" s="172"/>
      <c r="JE119" s="172"/>
      <c r="JF119" s="172"/>
      <c r="JG119" s="172"/>
      <c r="JH119" s="172"/>
      <c r="JI119" s="172"/>
      <c r="JJ119" s="172"/>
      <c r="JK119" s="172"/>
      <c r="JL119" s="172"/>
      <c r="JM119" s="172"/>
      <c r="JN119" s="172"/>
      <c r="JO119" s="172"/>
      <c r="JP119" s="172"/>
      <c r="JQ119" s="172"/>
      <c r="JR119" s="172"/>
      <c r="JS119" s="172"/>
      <c r="JT119" s="172"/>
      <c r="JU119" s="172"/>
      <c r="JV119" s="172"/>
      <c r="JW119" s="172"/>
      <c r="JX119" s="172"/>
      <c r="JY119" s="172"/>
      <c r="JZ119" s="172"/>
      <c r="KA119" s="172"/>
      <c r="KB119" s="172"/>
      <c r="KC119" s="172"/>
      <c r="KD119" s="172"/>
      <c r="KE119" s="172"/>
      <c r="KF119" s="172"/>
      <c r="KG119" s="172"/>
      <c r="KH119" s="172"/>
      <c r="KI119" s="172"/>
      <c r="KJ119" s="172"/>
      <c r="KK119" s="172"/>
      <c r="KL119" s="172"/>
      <c r="KM119" s="172"/>
      <c r="KN119" s="172"/>
      <c r="KO119" s="172"/>
      <c r="KP119" s="172"/>
      <c r="KQ119" s="172"/>
      <c r="KR119" s="172"/>
      <c r="KS119" s="172"/>
      <c r="KT119" s="172"/>
      <c r="KU119" s="172"/>
      <c r="KV119" s="172"/>
      <c r="KW119" s="172"/>
      <c r="KX119" s="172"/>
      <c r="KY119" s="172"/>
      <c r="KZ119" s="172"/>
      <c r="LA119" s="172"/>
      <c r="LB119" s="172"/>
      <c r="LC119" s="172"/>
      <c r="LD119" s="172"/>
      <c r="LE119" s="172"/>
      <c r="LF119" s="172"/>
      <c r="LG119" s="172"/>
      <c r="LH119" s="172"/>
      <c r="LI119" s="172"/>
      <c r="LJ119" s="172"/>
      <c r="LK119" s="172"/>
      <c r="LL119" s="172"/>
      <c r="LM119" s="172"/>
      <c r="LN119" s="172"/>
      <c r="LO119" s="172"/>
      <c r="LP119" s="172"/>
      <c r="LQ119" s="172"/>
      <c r="LR119" s="172"/>
      <c r="LS119" s="172"/>
      <c r="LT119" s="172"/>
      <c r="LU119" s="172"/>
      <c r="LV119" s="172"/>
      <c r="LW119" s="172"/>
      <c r="LX119" s="172"/>
      <c r="LY119" s="172"/>
      <c r="LZ119" s="172"/>
      <c r="MA119" s="172"/>
      <c r="MB119" s="172"/>
      <c r="MC119" s="172"/>
      <c r="MD119" s="172"/>
      <c r="ME119" s="172"/>
      <c r="MF119" s="172"/>
      <c r="MG119" s="172"/>
      <c r="MH119" s="172"/>
      <c r="MI119" s="172"/>
      <c r="MJ119" s="172"/>
      <c r="MK119" s="172"/>
      <c r="ML119" s="172"/>
      <c r="MM119" s="172"/>
      <c r="MN119" s="172"/>
      <c r="MO119" s="172"/>
      <c r="MP119" s="172"/>
      <c r="MQ119" s="172"/>
      <c r="MR119" s="172"/>
      <c r="MS119" s="172"/>
      <c r="MT119" s="172"/>
      <c r="MU119" s="172"/>
      <c r="MV119" s="172"/>
      <c r="MW119" s="172"/>
      <c r="MX119" s="172"/>
      <c r="MY119" s="172"/>
      <c r="MZ119" s="172"/>
      <c r="NA119" s="172"/>
      <c r="NB119" s="172"/>
      <c r="NC119" s="172"/>
      <c r="ND119" s="172"/>
      <c r="NE119" s="172"/>
      <c r="NF119" s="172"/>
      <c r="NG119" s="172"/>
      <c r="NH119" s="172"/>
      <c r="NI119" s="172"/>
      <c r="NJ119" s="172"/>
      <c r="NK119" s="172"/>
      <c r="NL119" s="172"/>
      <c r="NM119" s="172"/>
      <c r="NN119" s="172"/>
      <c r="NO119" s="172"/>
      <c r="NP119" s="172"/>
      <c r="NQ119" s="172"/>
      <c r="NR119" s="172"/>
      <c r="NS119" s="172"/>
      <c r="NT119" s="172"/>
      <c r="NU119" s="172"/>
      <c r="NV119" s="172"/>
      <c r="NW119" s="172"/>
      <c r="NX119" s="172"/>
      <c r="NY119" s="172"/>
      <c r="NZ119" s="172"/>
      <c r="OA119" s="172"/>
      <c r="OB119" s="172"/>
      <c r="OC119" s="172"/>
      <c r="OD119" s="172"/>
      <c r="OE119" s="172"/>
      <c r="OF119" s="172"/>
      <c r="OG119" s="172"/>
      <c r="OH119" s="172"/>
      <c r="OI119" s="172"/>
      <c r="OJ119" s="172"/>
      <c r="OK119" s="172"/>
      <c r="OL119" s="172"/>
      <c r="OM119" s="172"/>
      <c r="ON119" s="172"/>
      <c r="OO119" s="172"/>
      <c r="OP119" s="172"/>
      <c r="OQ119" s="172"/>
      <c r="OR119" s="172"/>
      <c r="OS119" s="172"/>
      <c r="OT119" s="172"/>
      <c r="OU119" s="172"/>
      <c r="OV119" s="172"/>
      <c r="OW119" s="172"/>
      <c r="OX119" s="172"/>
      <c r="OY119" s="172"/>
      <c r="OZ119" s="172"/>
      <c r="PA119" s="172"/>
      <c r="PB119" s="172"/>
      <c r="PC119" s="172"/>
      <c r="PD119" s="172"/>
      <c r="PE119" s="172"/>
      <c r="PF119" s="172"/>
      <c r="PG119" s="172"/>
      <c r="PH119" s="172"/>
      <c r="PI119" s="172"/>
      <c r="PJ119" s="172"/>
      <c r="PK119" s="172"/>
      <c r="PL119" s="172"/>
      <c r="PM119" s="172"/>
      <c r="PN119" s="172"/>
      <c r="PO119" s="172"/>
      <c r="PP119" s="172"/>
      <c r="PQ119" s="172"/>
      <c r="PR119" s="172"/>
      <c r="PS119" s="172"/>
      <c r="PT119" s="172"/>
      <c r="PU119" s="172"/>
      <c r="PV119" s="172"/>
      <c r="PW119" s="172"/>
      <c r="PX119" s="172"/>
      <c r="PY119" s="172"/>
      <c r="PZ119" s="172"/>
      <c r="QA119" s="172"/>
      <c r="QB119" s="172"/>
      <c r="QC119" s="172"/>
      <c r="QD119" s="172"/>
      <c r="QE119" s="172"/>
      <c r="QF119" s="172"/>
      <c r="QG119" s="172"/>
      <c r="QH119" s="172"/>
      <c r="QI119" s="172"/>
      <c r="QJ119" s="172"/>
      <c r="QK119" s="172"/>
      <c r="QL119" s="172"/>
      <c r="QM119" s="172"/>
      <c r="QN119" s="172"/>
      <c r="QO119" s="172"/>
      <c r="QP119" s="172"/>
      <c r="QQ119" s="172"/>
      <c r="QR119" s="172"/>
      <c r="QS119" s="172"/>
      <c r="QT119" s="172"/>
      <c r="QU119" s="172"/>
      <c r="QV119" s="172"/>
      <c r="QW119" s="172"/>
      <c r="QX119" s="172"/>
      <c r="QY119" s="172"/>
      <c r="QZ119" s="172"/>
      <c r="RA119" s="172"/>
      <c r="RB119" s="172"/>
      <c r="RC119" s="172"/>
      <c r="RD119" s="172"/>
      <c r="RE119" s="172"/>
      <c r="RF119" s="172"/>
      <c r="RG119" s="172"/>
      <c r="RH119" s="172"/>
      <c r="RI119" s="172"/>
      <c r="RJ119" s="172"/>
      <c r="RK119" s="172"/>
      <c r="RL119" s="172"/>
      <c r="RM119" s="172"/>
      <c r="RN119" s="172"/>
      <c r="RO119" s="172"/>
      <c r="RP119" s="172"/>
      <c r="RQ119" s="172"/>
      <c r="RR119" s="172"/>
      <c r="RS119" s="172"/>
      <c r="RT119" s="172"/>
      <c r="RU119" s="172"/>
      <c r="RV119" s="172"/>
      <c r="RW119" s="172"/>
      <c r="RX119" s="172"/>
      <c r="RY119" s="172"/>
      <c r="RZ119" s="172"/>
      <c r="SA119" s="172"/>
      <c r="SB119" s="172"/>
      <c r="SC119" s="172"/>
      <c r="SD119" s="172"/>
      <c r="SE119" s="172"/>
      <c r="SF119" s="172"/>
      <c r="SG119" s="172"/>
      <c r="SH119" s="172"/>
      <c r="SI119" s="172"/>
      <c r="SJ119" s="172"/>
      <c r="SK119" s="172"/>
      <c r="SL119" s="172"/>
      <c r="SM119" s="172"/>
      <c r="SN119" s="172"/>
      <c r="SO119" s="172"/>
      <c r="SP119" s="172"/>
      <c r="SQ119" s="172"/>
      <c r="SR119" s="172"/>
      <c r="SS119" s="172"/>
      <c r="ST119" s="172"/>
      <c r="SU119" s="172"/>
      <c r="SV119" s="172"/>
      <c r="SW119" s="172"/>
      <c r="SX119" s="172"/>
      <c r="SY119" s="172"/>
      <c r="SZ119" s="172"/>
      <c r="TA119" s="172"/>
      <c r="TB119" s="172"/>
      <c r="TC119" s="172"/>
      <c r="TD119" s="172"/>
      <c r="TE119" s="172"/>
      <c r="TF119" s="172"/>
      <c r="TG119" s="172"/>
      <c r="TH119" s="172"/>
      <c r="TI119" s="172"/>
      <c r="TJ119" s="172"/>
      <c r="TK119" s="172"/>
      <c r="TL119" s="172"/>
      <c r="TM119" s="172"/>
      <c r="TN119" s="172"/>
      <c r="TO119" s="172"/>
      <c r="TP119" s="172"/>
      <c r="TQ119" s="172"/>
      <c r="TR119" s="172"/>
      <c r="TS119" s="172"/>
      <c r="TT119" s="172"/>
      <c r="TU119" s="172"/>
      <c r="TV119" s="172"/>
      <c r="TW119" s="172"/>
      <c r="TX119" s="172"/>
      <c r="TY119" s="172"/>
      <c r="TZ119" s="172"/>
      <c r="UA119" s="172"/>
      <c r="UB119" s="172"/>
      <c r="UC119" s="172"/>
      <c r="UD119" s="172"/>
      <c r="UE119" s="172"/>
      <c r="UF119" s="172"/>
      <c r="UG119" s="172"/>
      <c r="UH119" s="172"/>
      <c r="UI119" s="172"/>
      <c r="UJ119" s="172"/>
      <c r="UK119" s="172"/>
      <c r="UL119" s="172"/>
      <c r="UM119" s="172"/>
      <c r="UN119" s="172"/>
      <c r="UO119" s="172"/>
      <c r="UP119" s="172"/>
      <c r="UQ119" s="172"/>
      <c r="UR119" s="172"/>
      <c r="US119" s="172"/>
      <c r="UT119" s="172"/>
      <c r="UU119" s="172"/>
      <c r="UV119" s="172"/>
      <c r="UW119" s="172"/>
      <c r="UX119" s="172"/>
      <c r="UY119" s="172"/>
      <c r="UZ119" s="172"/>
      <c r="VA119" s="172"/>
      <c r="VB119" s="172"/>
      <c r="VC119" s="172"/>
      <c r="VD119" s="172"/>
      <c r="VE119" s="172"/>
      <c r="VF119" s="172"/>
      <c r="VG119" s="172"/>
      <c r="VH119" s="172"/>
      <c r="VI119" s="172"/>
      <c r="VJ119" s="172"/>
      <c r="VK119" s="172"/>
      <c r="VL119" s="172"/>
      <c r="VM119" s="172"/>
      <c r="VN119" s="172"/>
      <c r="VO119" s="172"/>
      <c r="VP119" s="172"/>
      <c r="VQ119" s="172"/>
      <c r="VR119" s="172"/>
      <c r="VS119" s="172"/>
      <c r="VT119" s="172"/>
      <c r="VU119" s="172"/>
      <c r="VV119" s="172"/>
      <c r="VW119" s="172"/>
      <c r="VX119" s="172"/>
      <c r="VY119" s="172"/>
      <c r="VZ119" s="172"/>
      <c r="WA119" s="172"/>
      <c r="WB119" s="172"/>
      <c r="WC119" s="172"/>
      <c r="WD119" s="172"/>
      <c r="WE119" s="172"/>
      <c r="WF119" s="172"/>
      <c r="WG119" s="172"/>
      <c r="WH119" s="172"/>
      <c r="WI119" s="172"/>
      <c r="WJ119" s="172"/>
      <c r="WK119" s="172"/>
      <c r="WL119" s="172"/>
      <c r="WM119" s="172"/>
      <c r="WN119" s="172"/>
      <c r="WO119" s="172"/>
      <c r="WP119" s="172"/>
      <c r="WQ119" s="172"/>
      <c r="WR119" s="172"/>
      <c r="WS119" s="172"/>
      <c r="WT119" s="172"/>
      <c r="WU119" s="172"/>
      <c r="WV119" s="172"/>
      <c r="WW119" s="172"/>
      <c r="WX119" s="172"/>
      <c r="WY119" s="172"/>
      <c r="WZ119" s="172"/>
      <c r="XA119" s="172"/>
      <c r="XB119" s="172"/>
      <c r="XC119" s="172"/>
      <c r="XD119" s="172"/>
      <c r="XE119" s="172"/>
      <c r="XF119" s="172"/>
      <c r="XG119" s="172"/>
      <c r="XH119" s="172"/>
      <c r="XI119" s="172"/>
      <c r="XJ119" s="172"/>
      <c r="XK119" s="172"/>
      <c r="XL119" s="172"/>
      <c r="XM119" s="172"/>
      <c r="XN119" s="172"/>
      <c r="XO119" s="172"/>
      <c r="XP119" s="172"/>
      <c r="XQ119" s="172"/>
      <c r="XR119" s="172"/>
      <c r="XS119" s="172"/>
      <c r="XT119" s="172"/>
      <c r="XU119" s="172"/>
      <c r="XV119" s="172"/>
      <c r="XW119" s="172"/>
      <c r="XX119" s="172"/>
      <c r="XY119" s="172"/>
      <c r="XZ119" s="172"/>
      <c r="YA119" s="172"/>
      <c r="YB119" s="172"/>
      <c r="YC119" s="172"/>
      <c r="YD119" s="172"/>
      <c r="YE119" s="172"/>
      <c r="YF119" s="172"/>
      <c r="YG119" s="172"/>
      <c r="YH119" s="172"/>
      <c r="YI119" s="172"/>
      <c r="YJ119" s="172"/>
      <c r="YK119" s="172"/>
      <c r="YL119" s="172"/>
      <c r="YM119" s="172"/>
      <c r="YN119" s="172"/>
      <c r="YO119" s="172"/>
      <c r="YP119" s="172"/>
      <c r="YQ119" s="172"/>
      <c r="YR119" s="172"/>
      <c r="YS119" s="172"/>
      <c r="YT119" s="172"/>
      <c r="YU119" s="172"/>
      <c r="YV119" s="172"/>
      <c r="YW119" s="172"/>
      <c r="YX119" s="172"/>
      <c r="YY119" s="172"/>
      <c r="YZ119" s="172"/>
      <c r="ZA119" s="172"/>
      <c r="ZB119" s="172"/>
      <c r="ZC119" s="172"/>
      <c r="ZD119" s="172"/>
      <c r="ZE119" s="172"/>
      <c r="ZF119" s="172"/>
      <c r="ZG119" s="172"/>
      <c r="ZH119" s="172"/>
      <c r="ZI119" s="172"/>
      <c r="ZJ119" s="172"/>
      <c r="ZK119" s="172"/>
      <c r="ZL119" s="172"/>
      <c r="ZM119" s="172"/>
      <c r="ZN119" s="172"/>
      <c r="ZO119" s="172"/>
      <c r="ZP119" s="172"/>
      <c r="ZQ119" s="172"/>
      <c r="ZR119" s="172"/>
      <c r="ZS119" s="172"/>
      <c r="ZT119" s="172"/>
      <c r="ZU119" s="172"/>
      <c r="ZV119" s="172"/>
      <c r="ZW119" s="172"/>
      <c r="ZX119" s="172"/>
      <c r="ZY119" s="172"/>
      <c r="ZZ119" s="172"/>
      <c r="AAA119" s="172"/>
      <c r="AAB119" s="172"/>
      <c r="AAC119" s="172"/>
      <c r="AAD119" s="172"/>
      <c r="AAE119" s="172"/>
      <c r="AAF119" s="172"/>
      <c r="AAG119" s="172"/>
      <c r="AAH119" s="172"/>
      <c r="AAI119" s="172"/>
      <c r="AAJ119" s="172"/>
      <c r="AAK119" s="172"/>
      <c r="AAL119" s="172"/>
      <c r="AAM119" s="172"/>
      <c r="AAN119" s="172"/>
      <c r="AAO119" s="172"/>
      <c r="AAP119" s="172"/>
      <c r="AAQ119" s="172"/>
      <c r="AAR119" s="172"/>
      <c r="AAS119" s="172"/>
      <c r="AAT119" s="172"/>
      <c r="AAU119" s="172"/>
      <c r="AAV119" s="172"/>
      <c r="AAW119" s="172"/>
      <c r="AAX119" s="172"/>
      <c r="AAY119" s="172"/>
      <c r="AAZ119" s="172"/>
      <c r="ABA119" s="172"/>
      <c r="ABB119" s="172"/>
      <c r="ABC119" s="172"/>
      <c r="ABD119" s="172"/>
      <c r="ABE119" s="172"/>
      <c r="ABF119" s="172"/>
      <c r="ABG119" s="172"/>
      <c r="ABH119" s="172"/>
      <c r="ABI119" s="172"/>
      <c r="ABJ119" s="172"/>
      <c r="ABK119" s="172"/>
      <c r="ABL119" s="172"/>
      <c r="ABM119" s="172"/>
      <c r="ABN119" s="172"/>
      <c r="ABO119" s="172"/>
      <c r="ABP119" s="172"/>
      <c r="ABQ119" s="172"/>
      <c r="ABR119" s="172"/>
      <c r="ABS119" s="172"/>
      <c r="ABT119" s="172"/>
      <c r="ABU119" s="172"/>
      <c r="ABV119" s="172"/>
      <c r="ABW119" s="172"/>
      <c r="ABX119" s="172"/>
      <c r="ABY119" s="172"/>
      <c r="ABZ119" s="172"/>
      <c r="ACA119" s="172"/>
      <c r="ACB119" s="172"/>
      <c r="ACC119" s="172"/>
      <c r="ACD119" s="172"/>
      <c r="ACE119" s="172"/>
      <c r="ACF119" s="172"/>
      <c r="ACG119" s="172"/>
      <c r="ACH119" s="172"/>
      <c r="ACI119" s="172"/>
      <c r="ACJ119" s="172"/>
      <c r="ACK119" s="172"/>
      <c r="ACL119" s="172"/>
      <c r="ACM119" s="172"/>
      <c r="ACN119" s="172"/>
      <c r="ACO119" s="172"/>
      <c r="ACP119" s="172"/>
      <c r="ACQ119" s="172"/>
      <c r="ACR119" s="172"/>
      <c r="ACS119" s="172"/>
      <c r="ACT119" s="172"/>
      <c r="ACU119" s="172"/>
      <c r="ACV119" s="172"/>
      <c r="ACW119" s="172"/>
      <c r="ACX119" s="172"/>
      <c r="ACY119" s="172"/>
      <c r="ACZ119" s="172"/>
      <c r="ADA119" s="172"/>
      <c r="ADB119" s="172"/>
      <c r="ADC119" s="172"/>
      <c r="ADD119" s="172"/>
      <c r="ADE119" s="172"/>
      <c r="ADF119" s="172"/>
      <c r="ADG119" s="172"/>
      <c r="ADH119" s="172"/>
      <c r="ADI119" s="172"/>
      <c r="ADJ119" s="172"/>
      <c r="ADK119" s="172"/>
      <c r="ADL119" s="172"/>
      <c r="ADM119" s="172"/>
      <c r="ADN119" s="172"/>
      <c r="ADO119" s="172"/>
      <c r="ADP119" s="172"/>
      <c r="ADQ119" s="172"/>
      <c r="ADR119" s="172"/>
      <c r="ADS119" s="172"/>
      <c r="ADT119" s="172"/>
      <c r="ADU119" s="172"/>
      <c r="ADV119" s="172"/>
      <c r="ADW119" s="172"/>
      <c r="ADX119" s="172"/>
      <c r="ADY119" s="172"/>
      <c r="ADZ119" s="172"/>
      <c r="AEA119" s="172"/>
      <c r="AEB119" s="172"/>
      <c r="AEC119" s="172"/>
      <c r="AED119" s="172"/>
      <c r="AEE119" s="172"/>
      <c r="AEF119" s="172"/>
      <c r="AEG119" s="172"/>
      <c r="AEH119" s="172"/>
      <c r="AEI119" s="172"/>
      <c r="AEJ119" s="172"/>
      <c r="AEK119" s="172"/>
      <c r="AEL119" s="172"/>
      <c r="AEM119" s="172"/>
      <c r="AEN119" s="172"/>
      <c r="AEO119" s="172"/>
      <c r="AEP119" s="172"/>
      <c r="AEQ119" s="172"/>
      <c r="AER119" s="172"/>
      <c r="AES119" s="172"/>
      <c r="AET119" s="172"/>
      <c r="AEU119" s="172"/>
      <c r="AEV119" s="172"/>
      <c r="AEW119" s="172"/>
      <c r="AEX119" s="172"/>
      <c r="AEY119" s="172"/>
      <c r="AEZ119" s="172"/>
      <c r="AFA119" s="172"/>
      <c r="AFB119" s="172"/>
      <c r="AFC119" s="172"/>
      <c r="AFD119" s="172"/>
      <c r="AFE119" s="172"/>
      <c r="AFF119" s="172"/>
      <c r="AFG119" s="172"/>
      <c r="AFH119" s="172"/>
      <c r="AFI119" s="172"/>
      <c r="AFJ119" s="172"/>
      <c r="AFK119" s="172"/>
      <c r="AFL119" s="172"/>
      <c r="AFM119" s="172"/>
      <c r="AFN119" s="172"/>
      <c r="AFO119" s="172"/>
      <c r="AFP119" s="172"/>
      <c r="AFQ119" s="172"/>
      <c r="AFR119" s="172"/>
      <c r="AFS119" s="172"/>
      <c r="AFT119" s="172"/>
      <c r="AFU119" s="172"/>
      <c r="AFV119" s="172"/>
      <c r="AFW119" s="172"/>
      <c r="AFX119" s="172"/>
      <c r="AFY119" s="172"/>
      <c r="AFZ119" s="172"/>
      <c r="AGA119" s="172"/>
      <c r="AGB119" s="172"/>
      <c r="AGC119" s="172"/>
      <c r="AGD119" s="172"/>
      <c r="AGE119" s="172"/>
      <c r="AGF119" s="172"/>
      <c r="AGG119" s="172"/>
      <c r="AGH119" s="172"/>
      <c r="AGI119" s="172"/>
      <c r="AGJ119" s="172"/>
      <c r="AGK119" s="172"/>
      <c r="AGL119" s="172"/>
      <c r="AGM119" s="172"/>
      <c r="AGN119" s="172"/>
      <c r="AGO119" s="172"/>
      <c r="AGP119" s="172"/>
      <c r="AGQ119" s="172"/>
      <c r="AGR119" s="172"/>
      <c r="AGS119" s="172"/>
      <c r="AGT119" s="172"/>
      <c r="AGU119" s="172"/>
      <c r="AGV119" s="172"/>
      <c r="AGW119" s="172"/>
      <c r="AGX119" s="172"/>
      <c r="AGY119" s="172"/>
      <c r="AGZ119" s="172"/>
      <c r="AHA119" s="172"/>
      <c r="AHB119" s="172"/>
      <c r="AHC119" s="172"/>
      <c r="AHD119" s="172"/>
      <c r="AHE119" s="172"/>
      <c r="AHF119" s="172"/>
      <c r="AHG119" s="172"/>
      <c r="AHH119" s="172"/>
      <c r="AHI119" s="172"/>
      <c r="AHJ119" s="172"/>
      <c r="AHK119" s="172"/>
      <c r="AHL119" s="172"/>
      <c r="AHM119" s="172"/>
      <c r="AHN119" s="172"/>
      <c r="AHO119" s="172"/>
      <c r="AHP119" s="172"/>
      <c r="AHQ119" s="172"/>
      <c r="AHR119" s="172"/>
      <c r="AHS119" s="172"/>
      <c r="AHT119" s="172"/>
      <c r="AHU119" s="172"/>
      <c r="AHV119" s="172"/>
      <c r="AHW119" s="172"/>
      <c r="AHX119" s="172"/>
      <c r="AHY119" s="172"/>
      <c r="AHZ119" s="172"/>
      <c r="AIA119" s="172"/>
      <c r="AIB119" s="172"/>
      <c r="AIC119" s="172"/>
      <c r="AID119" s="172"/>
      <c r="AIE119" s="172"/>
      <c r="AIF119" s="172"/>
      <c r="AIG119" s="172"/>
      <c r="AIH119" s="172"/>
      <c r="AII119" s="172"/>
      <c r="AIJ119" s="172"/>
      <c r="AIK119" s="172"/>
      <c r="AIL119" s="172"/>
      <c r="AIM119" s="172"/>
      <c r="AIN119" s="172"/>
      <c r="AIO119" s="172"/>
      <c r="AIP119" s="172"/>
      <c r="AIQ119" s="172"/>
      <c r="AIR119" s="172"/>
      <c r="AIS119" s="172"/>
      <c r="AIT119" s="172"/>
      <c r="AIU119" s="172"/>
      <c r="AIV119" s="172"/>
      <c r="AIW119" s="172"/>
      <c r="AIX119" s="172"/>
      <c r="AIY119" s="172"/>
      <c r="AIZ119" s="172"/>
      <c r="AJA119" s="172"/>
      <c r="AJB119" s="172"/>
      <c r="AJC119" s="172"/>
      <c r="AJD119" s="172"/>
      <c r="AJE119" s="172"/>
      <c r="AJF119" s="172"/>
      <c r="AJG119" s="172"/>
      <c r="AJH119" s="172"/>
      <c r="AJI119" s="172"/>
      <c r="AJJ119" s="172"/>
      <c r="AJK119" s="172"/>
      <c r="AJL119" s="172"/>
      <c r="AJM119" s="172"/>
      <c r="AJN119" s="172"/>
      <c r="AJO119" s="172"/>
      <c r="AJP119" s="172"/>
      <c r="AJQ119" s="172"/>
      <c r="AJR119" s="172"/>
      <c r="AJS119" s="172"/>
      <c r="AJT119" s="172"/>
      <c r="AJU119" s="172"/>
      <c r="AJV119" s="172"/>
      <c r="AJW119" s="172"/>
      <c r="AJX119" s="172"/>
      <c r="AJY119" s="172"/>
      <c r="AJZ119" s="172"/>
      <c r="AKA119" s="172"/>
      <c r="AKB119" s="172"/>
      <c r="AKC119" s="172"/>
      <c r="AKD119" s="172"/>
      <c r="AKE119" s="172"/>
      <c r="AKF119" s="172"/>
      <c r="AKG119" s="172"/>
      <c r="AKH119" s="172"/>
      <c r="AKI119" s="172"/>
      <c r="AKJ119" s="172"/>
      <c r="AKK119" s="172"/>
      <c r="AKL119" s="172"/>
      <c r="AKM119" s="172"/>
      <c r="AKN119" s="172"/>
      <c r="AKO119" s="172"/>
      <c r="AKP119" s="172"/>
      <c r="AKQ119" s="172"/>
      <c r="AKR119" s="172"/>
      <c r="AKS119" s="172"/>
      <c r="AKT119" s="172"/>
      <c r="AKU119" s="172"/>
      <c r="AKV119" s="172"/>
      <c r="AKW119" s="172"/>
      <c r="AKX119" s="172"/>
      <c r="AKY119" s="172"/>
      <c r="AKZ119" s="172"/>
      <c r="ALA119" s="172"/>
      <c r="ALB119" s="172"/>
      <c r="ALC119" s="172"/>
      <c r="ALD119" s="172"/>
      <c r="ALE119" s="172"/>
      <c r="ALF119" s="172"/>
      <c r="ALG119" s="172"/>
      <c r="ALH119" s="172"/>
      <c r="ALI119" s="172"/>
      <c r="ALJ119" s="172"/>
      <c r="ALK119" s="172"/>
      <c r="ALL119" s="172"/>
      <c r="ALM119" s="172"/>
      <c r="ALN119" s="172"/>
      <c r="ALO119" s="172"/>
      <c r="ALP119" s="172"/>
      <c r="ALQ119" s="172"/>
      <c r="ALR119" s="172"/>
      <c r="ALS119" s="172"/>
      <c r="ALT119" s="172"/>
      <c r="ALU119" s="172"/>
      <c r="ALV119" s="172"/>
      <c r="ALW119" s="172"/>
      <c r="ALX119" s="172"/>
      <c r="ALY119" s="172"/>
      <c r="ALZ119" s="172"/>
      <c r="AMA119" s="172"/>
      <c r="AMB119" s="172"/>
      <c r="AMC119" s="172"/>
      <c r="AMD119" s="172"/>
      <c r="AME119" s="172"/>
      <c r="AMF119" s="172"/>
      <c r="AMG119" s="172"/>
      <c r="AMH119" s="172"/>
      <c r="AMI119" s="172"/>
      <c r="AMJ119" s="172"/>
    </row>
    <row r="120" s="7" customFormat="true" ht="15.75" hidden="false" customHeight="true" outlineLevel="0" collapsed="false">
      <c r="A120" s="172"/>
      <c r="B120" s="77"/>
      <c r="C120" s="175"/>
      <c r="D120" s="176"/>
      <c r="E120" s="176"/>
      <c r="F120" s="176"/>
      <c r="G120" s="10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  <c r="AA120" s="172"/>
      <c r="AB120" s="172"/>
      <c r="AC120" s="172"/>
      <c r="AD120" s="172"/>
      <c r="AE120" s="172"/>
      <c r="AF120" s="172"/>
      <c r="AG120" s="172"/>
      <c r="AH120" s="172"/>
      <c r="AI120" s="172"/>
      <c r="AJ120" s="172"/>
      <c r="AK120" s="172"/>
      <c r="AL120" s="172"/>
      <c r="AM120" s="172"/>
      <c r="AN120" s="172"/>
      <c r="AO120" s="172"/>
      <c r="AP120" s="172"/>
      <c r="AQ120" s="172"/>
      <c r="AR120" s="172"/>
      <c r="AS120" s="172"/>
      <c r="AT120" s="172"/>
      <c r="AU120" s="172"/>
      <c r="AV120" s="172"/>
      <c r="AW120" s="172"/>
      <c r="AX120" s="172"/>
      <c r="AY120" s="172"/>
      <c r="AZ120" s="172"/>
      <c r="BA120" s="172"/>
      <c r="BB120" s="172"/>
      <c r="BC120" s="172"/>
      <c r="BD120" s="172"/>
      <c r="BE120" s="172"/>
      <c r="BF120" s="172"/>
      <c r="BG120" s="172"/>
      <c r="BH120" s="172"/>
      <c r="BI120" s="172"/>
      <c r="BJ120" s="172"/>
      <c r="BK120" s="172"/>
      <c r="BL120" s="172"/>
      <c r="BM120" s="172"/>
      <c r="BN120" s="172"/>
      <c r="BO120" s="172"/>
      <c r="BP120" s="172"/>
      <c r="BQ120" s="172"/>
      <c r="BR120" s="172"/>
      <c r="BS120" s="172"/>
      <c r="BT120" s="172"/>
      <c r="BU120" s="172"/>
      <c r="BV120" s="172"/>
      <c r="BW120" s="172"/>
      <c r="BX120" s="172"/>
      <c r="BY120" s="172"/>
      <c r="BZ120" s="172"/>
      <c r="CA120" s="172"/>
      <c r="CB120" s="172"/>
      <c r="CC120" s="172"/>
      <c r="CD120" s="172"/>
      <c r="CE120" s="172"/>
      <c r="CF120" s="172"/>
      <c r="CG120" s="172"/>
      <c r="CH120" s="172"/>
      <c r="CI120" s="172"/>
      <c r="CJ120" s="172"/>
      <c r="CK120" s="172"/>
      <c r="CL120" s="172"/>
      <c r="CM120" s="172"/>
      <c r="CN120" s="172"/>
      <c r="CO120" s="172"/>
      <c r="CP120" s="172"/>
      <c r="CQ120" s="172"/>
      <c r="CR120" s="172"/>
      <c r="CS120" s="172"/>
      <c r="CT120" s="172"/>
      <c r="CU120" s="172"/>
      <c r="CV120" s="172"/>
      <c r="CW120" s="172"/>
      <c r="CX120" s="172"/>
      <c r="CY120" s="172"/>
      <c r="CZ120" s="172"/>
      <c r="DA120" s="172"/>
      <c r="DB120" s="172"/>
      <c r="DC120" s="172"/>
      <c r="DD120" s="172"/>
      <c r="DE120" s="172"/>
      <c r="DF120" s="172"/>
      <c r="DG120" s="172"/>
      <c r="DH120" s="172"/>
      <c r="DI120" s="172"/>
      <c r="DJ120" s="172"/>
      <c r="DK120" s="172"/>
      <c r="DL120" s="172"/>
      <c r="DM120" s="172"/>
      <c r="DN120" s="172"/>
      <c r="DO120" s="172"/>
      <c r="DP120" s="172"/>
      <c r="DQ120" s="172"/>
      <c r="DR120" s="172"/>
      <c r="DS120" s="172"/>
      <c r="DT120" s="172"/>
      <c r="DU120" s="172"/>
      <c r="DV120" s="172"/>
      <c r="DW120" s="172"/>
      <c r="DX120" s="172"/>
      <c r="DY120" s="172"/>
      <c r="DZ120" s="172"/>
      <c r="EA120" s="172"/>
      <c r="EB120" s="172"/>
      <c r="EC120" s="172"/>
      <c r="ED120" s="172"/>
      <c r="EE120" s="172"/>
      <c r="EF120" s="172"/>
      <c r="EG120" s="172"/>
      <c r="EH120" s="172"/>
      <c r="EI120" s="172"/>
      <c r="EJ120" s="172"/>
      <c r="EK120" s="172"/>
      <c r="EL120" s="172"/>
      <c r="EM120" s="172"/>
      <c r="EN120" s="172"/>
      <c r="EO120" s="172"/>
      <c r="EP120" s="172"/>
      <c r="EQ120" s="172"/>
      <c r="ER120" s="172"/>
      <c r="ES120" s="172"/>
      <c r="ET120" s="172"/>
      <c r="EU120" s="172"/>
      <c r="EV120" s="172"/>
      <c r="EW120" s="172"/>
      <c r="EX120" s="172"/>
      <c r="EY120" s="172"/>
      <c r="EZ120" s="172"/>
      <c r="FA120" s="172"/>
      <c r="FB120" s="172"/>
      <c r="FC120" s="172"/>
      <c r="FD120" s="172"/>
      <c r="FE120" s="172"/>
      <c r="FF120" s="172"/>
      <c r="FG120" s="172"/>
      <c r="FH120" s="172"/>
      <c r="FI120" s="172"/>
      <c r="FJ120" s="172"/>
      <c r="FK120" s="172"/>
      <c r="FL120" s="172"/>
      <c r="FM120" s="172"/>
      <c r="FN120" s="172"/>
      <c r="FO120" s="172"/>
      <c r="FP120" s="172"/>
      <c r="FQ120" s="172"/>
      <c r="FR120" s="172"/>
      <c r="FS120" s="172"/>
      <c r="FT120" s="172"/>
      <c r="FU120" s="172"/>
      <c r="FV120" s="172"/>
      <c r="FW120" s="172"/>
      <c r="FX120" s="172"/>
      <c r="FY120" s="172"/>
      <c r="FZ120" s="172"/>
      <c r="GA120" s="172"/>
      <c r="GB120" s="172"/>
      <c r="GC120" s="172"/>
      <c r="GD120" s="172"/>
      <c r="GE120" s="172"/>
      <c r="GF120" s="172"/>
      <c r="GG120" s="172"/>
      <c r="GH120" s="172"/>
      <c r="GI120" s="172"/>
      <c r="GJ120" s="172"/>
      <c r="GK120" s="172"/>
      <c r="GL120" s="172"/>
      <c r="GM120" s="172"/>
      <c r="GN120" s="172"/>
      <c r="GO120" s="172"/>
      <c r="GP120" s="172"/>
      <c r="GQ120" s="172"/>
      <c r="GR120" s="172"/>
      <c r="GS120" s="172"/>
      <c r="GT120" s="172"/>
      <c r="GU120" s="172"/>
      <c r="GV120" s="172"/>
      <c r="GW120" s="172"/>
      <c r="GX120" s="172"/>
      <c r="GY120" s="172"/>
      <c r="GZ120" s="172"/>
      <c r="HA120" s="172"/>
      <c r="HB120" s="172"/>
      <c r="HC120" s="172"/>
      <c r="HD120" s="172"/>
      <c r="HE120" s="172"/>
      <c r="HF120" s="172"/>
      <c r="HG120" s="172"/>
      <c r="HH120" s="172"/>
      <c r="HI120" s="172"/>
      <c r="HJ120" s="172"/>
      <c r="HK120" s="172"/>
      <c r="HL120" s="172"/>
      <c r="HM120" s="172"/>
      <c r="HN120" s="172"/>
      <c r="HO120" s="172"/>
      <c r="HP120" s="172"/>
      <c r="HQ120" s="172"/>
      <c r="HR120" s="172"/>
      <c r="HS120" s="172"/>
      <c r="HT120" s="172"/>
      <c r="HU120" s="172"/>
      <c r="HV120" s="172"/>
      <c r="HW120" s="172"/>
      <c r="HX120" s="172"/>
      <c r="HY120" s="172"/>
      <c r="HZ120" s="172"/>
      <c r="IA120" s="172"/>
      <c r="IB120" s="172"/>
      <c r="IC120" s="172"/>
      <c r="ID120" s="172"/>
      <c r="IE120" s="172"/>
      <c r="IF120" s="172"/>
      <c r="IG120" s="172"/>
      <c r="IH120" s="172"/>
      <c r="II120" s="172"/>
      <c r="IJ120" s="172"/>
      <c r="IK120" s="172"/>
      <c r="IL120" s="172"/>
      <c r="IM120" s="172"/>
      <c r="IN120" s="172"/>
      <c r="IO120" s="172"/>
      <c r="IP120" s="172"/>
      <c r="IQ120" s="172"/>
      <c r="IR120" s="172"/>
      <c r="IS120" s="172"/>
      <c r="IT120" s="172"/>
      <c r="IU120" s="172"/>
      <c r="IV120" s="172"/>
      <c r="IW120" s="172"/>
      <c r="IX120" s="172"/>
      <c r="IY120" s="172"/>
      <c r="IZ120" s="172"/>
      <c r="JA120" s="172"/>
      <c r="JB120" s="172"/>
      <c r="JC120" s="172"/>
      <c r="JD120" s="172"/>
      <c r="JE120" s="172"/>
      <c r="JF120" s="172"/>
      <c r="JG120" s="172"/>
      <c r="JH120" s="172"/>
      <c r="JI120" s="172"/>
      <c r="JJ120" s="172"/>
      <c r="JK120" s="172"/>
      <c r="JL120" s="172"/>
      <c r="JM120" s="172"/>
      <c r="JN120" s="172"/>
      <c r="JO120" s="172"/>
      <c r="JP120" s="172"/>
      <c r="JQ120" s="172"/>
      <c r="JR120" s="172"/>
      <c r="JS120" s="172"/>
      <c r="JT120" s="172"/>
      <c r="JU120" s="172"/>
      <c r="JV120" s="172"/>
      <c r="JW120" s="172"/>
      <c r="JX120" s="172"/>
      <c r="JY120" s="172"/>
      <c r="JZ120" s="172"/>
      <c r="KA120" s="172"/>
      <c r="KB120" s="172"/>
      <c r="KC120" s="172"/>
      <c r="KD120" s="172"/>
      <c r="KE120" s="172"/>
      <c r="KF120" s="172"/>
      <c r="KG120" s="172"/>
      <c r="KH120" s="172"/>
      <c r="KI120" s="172"/>
      <c r="KJ120" s="172"/>
      <c r="KK120" s="172"/>
      <c r="KL120" s="172"/>
      <c r="KM120" s="172"/>
      <c r="KN120" s="172"/>
      <c r="KO120" s="172"/>
      <c r="KP120" s="172"/>
      <c r="KQ120" s="172"/>
      <c r="KR120" s="172"/>
      <c r="KS120" s="172"/>
      <c r="KT120" s="172"/>
      <c r="KU120" s="172"/>
      <c r="KV120" s="172"/>
      <c r="KW120" s="172"/>
      <c r="KX120" s="172"/>
      <c r="KY120" s="172"/>
      <c r="KZ120" s="172"/>
      <c r="LA120" s="172"/>
      <c r="LB120" s="172"/>
      <c r="LC120" s="172"/>
      <c r="LD120" s="172"/>
      <c r="LE120" s="172"/>
      <c r="LF120" s="172"/>
      <c r="LG120" s="172"/>
      <c r="LH120" s="172"/>
      <c r="LI120" s="172"/>
      <c r="LJ120" s="172"/>
      <c r="LK120" s="172"/>
      <c r="LL120" s="172"/>
      <c r="LM120" s="172"/>
      <c r="LN120" s="172"/>
      <c r="LO120" s="172"/>
      <c r="LP120" s="172"/>
      <c r="LQ120" s="172"/>
      <c r="LR120" s="172"/>
      <c r="LS120" s="172"/>
      <c r="LT120" s="172"/>
      <c r="LU120" s="172"/>
      <c r="LV120" s="172"/>
      <c r="LW120" s="172"/>
      <c r="LX120" s="172"/>
      <c r="LY120" s="172"/>
      <c r="LZ120" s="172"/>
      <c r="MA120" s="172"/>
      <c r="MB120" s="172"/>
      <c r="MC120" s="172"/>
      <c r="MD120" s="172"/>
      <c r="ME120" s="172"/>
      <c r="MF120" s="172"/>
      <c r="MG120" s="172"/>
      <c r="MH120" s="172"/>
      <c r="MI120" s="172"/>
      <c r="MJ120" s="172"/>
      <c r="MK120" s="172"/>
      <c r="ML120" s="172"/>
      <c r="MM120" s="172"/>
      <c r="MN120" s="172"/>
      <c r="MO120" s="172"/>
      <c r="MP120" s="172"/>
      <c r="MQ120" s="172"/>
      <c r="MR120" s="172"/>
      <c r="MS120" s="172"/>
      <c r="MT120" s="172"/>
      <c r="MU120" s="172"/>
      <c r="MV120" s="172"/>
      <c r="MW120" s="172"/>
      <c r="MX120" s="172"/>
      <c r="MY120" s="172"/>
      <c r="MZ120" s="172"/>
      <c r="NA120" s="172"/>
      <c r="NB120" s="172"/>
      <c r="NC120" s="172"/>
      <c r="ND120" s="172"/>
      <c r="NE120" s="172"/>
      <c r="NF120" s="172"/>
      <c r="NG120" s="172"/>
      <c r="NH120" s="172"/>
      <c r="NI120" s="172"/>
      <c r="NJ120" s="172"/>
      <c r="NK120" s="172"/>
      <c r="NL120" s="172"/>
      <c r="NM120" s="172"/>
      <c r="NN120" s="172"/>
      <c r="NO120" s="172"/>
      <c r="NP120" s="172"/>
      <c r="NQ120" s="172"/>
      <c r="NR120" s="172"/>
      <c r="NS120" s="172"/>
      <c r="NT120" s="172"/>
      <c r="NU120" s="172"/>
      <c r="NV120" s="172"/>
      <c r="NW120" s="172"/>
      <c r="NX120" s="172"/>
      <c r="NY120" s="172"/>
      <c r="NZ120" s="172"/>
      <c r="OA120" s="172"/>
      <c r="OB120" s="172"/>
      <c r="OC120" s="172"/>
      <c r="OD120" s="172"/>
      <c r="OE120" s="172"/>
      <c r="OF120" s="172"/>
      <c r="OG120" s="172"/>
      <c r="OH120" s="172"/>
      <c r="OI120" s="172"/>
      <c r="OJ120" s="172"/>
      <c r="OK120" s="172"/>
      <c r="OL120" s="172"/>
      <c r="OM120" s="172"/>
      <c r="ON120" s="172"/>
      <c r="OO120" s="172"/>
      <c r="OP120" s="172"/>
      <c r="OQ120" s="172"/>
      <c r="OR120" s="172"/>
      <c r="OS120" s="172"/>
      <c r="OT120" s="172"/>
      <c r="OU120" s="172"/>
      <c r="OV120" s="172"/>
      <c r="OW120" s="172"/>
      <c r="OX120" s="172"/>
      <c r="OY120" s="172"/>
      <c r="OZ120" s="172"/>
      <c r="PA120" s="172"/>
      <c r="PB120" s="172"/>
      <c r="PC120" s="172"/>
      <c r="PD120" s="172"/>
      <c r="PE120" s="172"/>
      <c r="PF120" s="172"/>
      <c r="PG120" s="172"/>
      <c r="PH120" s="172"/>
      <c r="PI120" s="172"/>
      <c r="PJ120" s="172"/>
      <c r="PK120" s="172"/>
      <c r="PL120" s="172"/>
      <c r="PM120" s="172"/>
      <c r="PN120" s="172"/>
      <c r="PO120" s="172"/>
      <c r="PP120" s="172"/>
      <c r="PQ120" s="172"/>
      <c r="PR120" s="172"/>
      <c r="PS120" s="172"/>
      <c r="PT120" s="172"/>
      <c r="PU120" s="172"/>
      <c r="PV120" s="172"/>
      <c r="PW120" s="172"/>
      <c r="PX120" s="172"/>
      <c r="PY120" s="172"/>
      <c r="PZ120" s="172"/>
      <c r="QA120" s="172"/>
      <c r="QB120" s="172"/>
      <c r="QC120" s="172"/>
      <c r="QD120" s="172"/>
      <c r="QE120" s="172"/>
      <c r="QF120" s="172"/>
      <c r="QG120" s="172"/>
      <c r="QH120" s="172"/>
      <c r="QI120" s="172"/>
      <c r="QJ120" s="172"/>
      <c r="QK120" s="172"/>
      <c r="QL120" s="172"/>
      <c r="QM120" s="172"/>
      <c r="QN120" s="172"/>
      <c r="QO120" s="172"/>
      <c r="QP120" s="172"/>
      <c r="QQ120" s="172"/>
      <c r="QR120" s="172"/>
      <c r="QS120" s="172"/>
      <c r="QT120" s="172"/>
      <c r="QU120" s="172"/>
      <c r="QV120" s="172"/>
      <c r="QW120" s="172"/>
      <c r="QX120" s="172"/>
      <c r="QY120" s="172"/>
      <c r="QZ120" s="172"/>
      <c r="RA120" s="172"/>
      <c r="RB120" s="172"/>
      <c r="RC120" s="172"/>
      <c r="RD120" s="172"/>
      <c r="RE120" s="172"/>
      <c r="RF120" s="172"/>
      <c r="RG120" s="172"/>
      <c r="RH120" s="172"/>
      <c r="RI120" s="172"/>
      <c r="RJ120" s="172"/>
      <c r="RK120" s="172"/>
      <c r="RL120" s="172"/>
      <c r="RM120" s="172"/>
      <c r="RN120" s="172"/>
      <c r="RO120" s="172"/>
      <c r="RP120" s="172"/>
      <c r="RQ120" s="172"/>
      <c r="RR120" s="172"/>
      <c r="RS120" s="172"/>
      <c r="RT120" s="172"/>
      <c r="RU120" s="172"/>
      <c r="RV120" s="172"/>
      <c r="RW120" s="172"/>
      <c r="RX120" s="172"/>
      <c r="RY120" s="172"/>
      <c r="RZ120" s="172"/>
      <c r="SA120" s="172"/>
      <c r="SB120" s="172"/>
      <c r="SC120" s="172"/>
      <c r="SD120" s="172"/>
      <c r="SE120" s="172"/>
      <c r="SF120" s="172"/>
      <c r="SG120" s="172"/>
      <c r="SH120" s="172"/>
      <c r="SI120" s="172"/>
      <c r="SJ120" s="172"/>
      <c r="SK120" s="172"/>
      <c r="SL120" s="172"/>
      <c r="SM120" s="172"/>
      <c r="SN120" s="172"/>
      <c r="SO120" s="172"/>
      <c r="SP120" s="172"/>
      <c r="SQ120" s="172"/>
      <c r="SR120" s="172"/>
      <c r="SS120" s="172"/>
      <c r="ST120" s="172"/>
      <c r="SU120" s="172"/>
      <c r="SV120" s="172"/>
      <c r="SW120" s="172"/>
      <c r="SX120" s="172"/>
      <c r="SY120" s="172"/>
      <c r="SZ120" s="172"/>
      <c r="TA120" s="172"/>
      <c r="TB120" s="172"/>
      <c r="TC120" s="172"/>
      <c r="TD120" s="172"/>
      <c r="TE120" s="172"/>
      <c r="TF120" s="172"/>
      <c r="TG120" s="172"/>
      <c r="TH120" s="172"/>
      <c r="TI120" s="172"/>
      <c r="TJ120" s="172"/>
      <c r="TK120" s="172"/>
      <c r="TL120" s="172"/>
      <c r="TM120" s="172"/>
      <c r="TN120" s="172"/>
      <c r="TO120" s="172"/>
      <c r="TP120" s="172"/>
      <c r="TQ120" s="172"/>
      <c r="TR120" s="172"/>
      <c r="TS120" s="172"/>
      <c r="TT120" s="172"/>
      <c r="TU120" s="172"/>
      <c r="TV120" s="172"/>
      <c r="TW120" s="172"/>
      <c r="TX120" s="172"/>
      <c r="TY120" s="172"/>
      <c r="TZ120" s="172"/>
      <c r="UA120" s="172"/>
      <c r="UB120" s="172"/>
      <c r="UC120" s="172"/>
      <c r="UD120" s="172"/>
      <c r="UE120" s="172"/>
      <c r="UF120" s="172"/>
      <c r="UG120" s="172"/>
      <c r="UH120" s="172"/>
      <c r="UI120" s="172"/>
      <c r="UJ120" s="172"/>
      <c r="UK120" s="172"/>
      <c r="UL120" s="172"/>
      <c r="UM120" s="172"/>
      <c r="UN120" s="172"/>
      <c r="UO120" s="172"/>
      <c r="UP120" s="172"/>
      <c r="UQ120" s="172"/>
      <c r="UR120" s="172"/>
      <c r="US120" s="172"/>
      <c r="UT120" s="172"/>
      <c r="UU120" s="172"/>
      <c r="UV120" s="172"/>
      <c r="UW120" s="172"/>
      <c r="UX120" s="172"/>
      <c r="UY120" s="172"/>
      <c r="UZ120" s="172"/>
      <c r="VA120" s="172"/>
      <c r="VB120" s="172"/>
      <c r="VC120" s="172"/>
      <c r="VD120" s="172"/>
      <c r="VE120" s="172"/>
      <c r="VF120" s="172"/>
      <c r="VG120" s="172"/>
      <c r="VH120" s="172"/>
      <c r="VI120" s="172"/>
      <c r="VJ120" s="172"/>
      <c r="VK120" s="172"/>
      <c r="VL120" s="172"/>
      <c r="VM120" s="172"/>
      <c r="VN120" s="172"/>
      <c r="VO120" s="172"/>
      <c r="VP120" s="172"/>
      <c r="VQ120" s="172"/>
      <c r="VR120" s="172"/>
      <c r="VS120" s="172"/>
      <c r="VT120" s="172"/>
      <c r="VU120" s="172"/>
      <c r="VV120" s="172"/>
      <c r="VW120" s="172"/>
      <c r="VX120" s="172"/>
      <c r="VY120" s="172"/>
      <c r="VZ120" s="172"/>
      <c r="WA120" s="172"/>
      <c r="WB120" s="172"/>
      <c r="WC120" s="172"/>
      <c r="WD120" s="172"/>
      <c r="WE120" s="172"/>
      <c r="WF120" s="172"/>
      <c r="WG120" s="172"/>
      <c r="WH120" s="172"/>
      <c r="WI120" s="172"/>
      <c r="WJ120" s="172"/>
      <c r="WK120" s="172"/>
      <c r="WL120" s="172"/>
      <c r="WM120" s="172"/>
      <c r="WN120" s="172"/>
      <c r="WO120" s="172"/>
      <c r="WP120" s="172"/>
      <c r="WQ120" s="172"/>
      <c r="WR120" s="172"/>
      <c r="WS120" s="172"/>
      <c r="WT120" s="172"/>
      <c r="WU120" s="172"/>
      <c r="WV120" s="172"/>
      <c r="WW120" s="172"/>
      <c r="WX120" s="172"/>
      <c r="WY120" s="172"/>
      <c r="WZ120" s="172"/>
      <c r="XA120" s="172"/>
      <c r="XB120" s="172"/>
      <c r="XC120" s="172"/>
      <c r="XD120" s="172"/>
      <c r="XE120" s="172"/>
      <c r="XF120" s="172"/>
      <c r="XG120" s="172"/>
      <c r="XH120" s="172"/>
      <c r="XI120" s="172"/>
      <c r="XJ120" s="172"/>
      <c r="XK120" s="172"/>
      <c r="XL120" s="172"/>
      <c r="XM120" s="172"/>
      <c r="XN120" s="172"/>
      <c r="XO120" s="172"/>
      <c r="XP120" s="172"/>
      <c r="XQ120" s="172"/>
      <c r="XR120" s="172"/>
      <c r="XS120" s="172"/>
      <c r="XT120" s="172"/>
      <c r="XU120" s="172"/>
      <c r="XV120" s="172"/>
      <c r="XW120" s="172"/>
      <c r="XX120" s="172"/>
      <c r="XY120" s="172"/>
      <c r="XZ120" s="172"/>
      <c r="YA120" s="172"/>
      <c r="YB120" s="172"/>
      <c r="YC120" s="172"/>
      <c r="YD120" s="172"/>
      <c r="YE120" s="172"/>
      <c r="YF120" s="172"/>
      <c r="YG120" s="172"/>
      <c r="YH120" s="172"/>
      <c r="YI120" s="172"/>
      <c r="YJ120" s="172"/>
      <c r="YK120" s="172"/>
      <c r="YL120" s="172"/>
      <c r="YM120" s="172"/>
      <c r="YN120" s="172"/>
      <c r="YO120" s="172"/>
      <c r="YP120" s="172"/>
      <c r="YQ120" s="172"/>
      <c r="YR120" s="172"/>
      <c r="YS120" s="172"/>
      <c r="YT120" s="172"/>
      <c r="YU120" s="172"/>
      <c r="YV120" s="172"/>
      <c r="YW120" s="172"/>
      <c r="YX120" s="172"/>
      <c r="YY120" s="172"/>
      <c r="YZ120" s="172"/>
      <c r="ZA120" s="172"/>
      <c r="ZB120" s="172"/>
      <c r="ZC120" s="172"/>
      <c r="ZD120" s="172"/>
      <c r="ZE120" s="172"/>
      <c r="ZF120" s="172"/>
      <c r="ZG120" s="172"/>
      <c r="ZH120" s="172"/>
      <c r="ZI120" s="172"/>
      <c r="ZJ120" s="172"/>
      <c r="ZK120" s="172"/>
      <c r="ZL120" s="172"/>
      <c r="ZM120" s="172"/>
      <c r="ZN120" s="172"/>
      <c r="ZO120" s="172"/>
      <c r="ZP120" s="172"/>
      <c r="ZQ120" s="172"/>
      <c r="ZR120" s="172"/>
      <c r="ZS120" s="172"/>
      <c r="ZT120" s="172"/>
      <c r="ZU120" s="172"/>
      <c r="ZV120" s="172"/>
      <c r="ZW120" s="172"/>
      <c r="ZX120" s="172"/>
      <c r="ZY120" s="172"/>
      <c r="ZZ120" s="172"/>
      <c r="AAA120" s="172"/>
      <c r="AAB120" s="172"/>
      <c r="AAC120" s="172"/>
      <c r="AAD120" s="172"/>
      <c r="AAE120" s="172"/>
      <c r="AAF120" s="172"/>
      <c r="AAG120" s="172"/>
      <c r="AAH120" s="172"/>
      <c r="AAI120" s="172"/>
      <c r="AAJ120" s="172"/>
      <c r="AAK120" s="172"/>
      <c r="AAL120" s="172"/>
      <c r="AAM120" s="172"/>
      <c r="AAN120" s="172"/>
      <c r="AAO120" s="172"/>
      <c r="AAP120" s="172"/>
      <c r="AAQ120" s="172"/>
      <c r="AAR120" s="172"/>
      <c r="AAS120" s="172"/>
      <c r="AAT120" s="172"/>
      <c r="AAU120" s="172"/>
      <c r="AAV120" s="172"/>
      <c r="AAW120" s="172"/>
      <c r="AAX120" s="172"/>
      <c r="AAY120" s="172"/>
      <c r="AAZ120" s="172"/>
      <c r="ABA120" s="172"/>
      <c r="ABB120" s="172"/>
      <c r="ABC120" s="172"/>
      <c r="ABD120" s="172"/>
      <c r="ABE120" s="172"/>
      <c r="ABF120" s="172"/>
      <c r="ABG120" s="172"/>
      <c r="ABH120" s="172"/>
      <c r="ABI120" s="172"/>
      <c r="ABJ120" s="172"/>
      <c r="ABK120" s="172"/>
      <c r="ABL120" s="172"/>
      <c r="ABM120" s="172"/>
      <c r="ABN120" s="172"/>
      <c r="ABO120" s="172"/>
      <c r="ABP120" s="172"/>
      <c r="ABQ120" s="172"/>
      <c r="ABR120" s="172"/>
      <c r="ABS120" s="172"/>
      <c r="ABT120" s="172"/>
      <c r="ABU120" s="172"/>
      <c r="ABV120" s="172"/>
      <c r="ABW120" s="172"/>
      <c r="ABX120" s="172"/>
      <c r="ABY120" s="172"/>
      <c r="ABZ120" s="172"/>
      <c r="ACA120" s="172"/>
      <c r="ACB120" s="172"/>
      <c r="ACC120" s="172"/>
      <c r="ACD120" s="172"/>
      <c r="ACE120" s="172"/>
      <c r="ACF120" s="172"/>
      <c r="ACG120" s="172"/>
      <c r="ACH120" s="172"/>
      <c r="ACI120" s="172"/>
      <c r="ACJ120" s="172"/>
      <c r="ACK120" s="172"/>
      <c r="ACL120" s="172"/>
      <c r="ACM120" s="172"/>
      <c r="ACN120" s="172"/>
      <c r="ACO120" s="172"/>
      <c r="ACP120" s="172"/>
      <c r="ACQ120" s="172"/>
      <c r="ACR120" s="172"/>
      <c r="ACS120" s="172"/>
      <c r="ACT120" s="172"/>
      <c r="ACU120" s="172"/>
      <c r="ACV120" s="172"/>
      <c r="ACW120" s="172"/>
      <c r="ACX120" s="172"/>
      <c r="ACY120" s="172"/>
      <c r="ACZ120" s="172"/>
      <c r="ADA120" s="172"/>
      <c r="ADB120" s="172"/>
      <c r="ADC120" s="172"/>
      <c r="ADD120" s="172"/>
      <c r="ADE120" s="172"/>
      <c r="ADF120" s="172"/>
      <c r="ADG120" s="172"/>
      <c r="ADH120" s="172"/>
      <c r="ADI120" s="172"/>
      <c r="ADJ120" s="172"/>
      <c r="ADK120" s="172"/>
      <c r="ADL120" s="172"/>
      <c r="ADM120" s="172"/>
      <c r="ADN120" s="172"/>
      <c r="ADO120" s="172"/>
      <c r="ADP120" s="172"/>
      <c r="ADQ120" s="172"/>
      <c r="ADR120" s="172"/>
      <c r="ADS120" s="172"/>
      <c r="ADT120" s="172"/>
      <c r="ADU120" s="172"/>
      <c r="ADV120" s="172"/>
      <c r="ADW120" s="172"/>
      <c r="ADX120" s="172"/>
      <c r="ADY120" s="172"/>
      <c r="ADZ120" s="172"/>
      <c r="AEA120" s="172"/>
      <c r="AEB120" s="172"/>
      <c r="AEC120" s="172"/>
      <c r="AED120" s="172"/>
      <c r="AEE120" s="172"/>
      <c r="AEF120" s="172"/>
      <c r="AEG120" s="172"/>
      <c r="AEH120" s="172"/>
      <c r="AEI120" s="172"/>
      <c r="AEJ120" s="172"/>
      <c r="AEK120" s="172"/>
      <c r="AEL120" s="172"/>
      <c r="AEM120" s="172"/>
      <c r="AEN120" s="172"/>
      <c r="AEO120" s="172"/>
      <c r="AEP120" s="172"/>
      <c r="AEQ120" s="172"/>
      <c r="AER120" s="172"/>
      <c r="AES120" s="172"/>
      <c r="AET120" s="172"/>
      <c r="AEU120" s="172"/>
      <c r="AEV120" s="172"/>
      <c r="AEW120" s="172"/>
      <c r="AEX120" s="172"/>
      <c r="AEY120" s="172"/>
      <c r="AEZ120" s="172"/>
      <c r="AFA120" s="172"/>
      <c r="AFB120" s="172"/>
      <c r="AFC120" s="172"/>
      <c r="AFD120" s="172"/>
      <c r="AFE120" s="172"/>
      <c r="AFF120" s="172"/>
      <c r="AFG120" s="172"/>
      <c r="AFH120" s="172"/>
      <c r="AFI120" s="172"/>
      <c r="AFJ120" s="172"/>
      <c r="AFK120" s="172"/>
      <c r="AFL120" s="172"/>
      <c r="AFM120" s="172"/>
      <c r="AFN120" s="172"/>
      <c r="AFO120" s="172"/>
      <c r="AFP120" s="172"/>
      <c r="AFQ120" s="172"/>
      <c r="AFR120" s="172"/>
      <c r="AFS120" s="172"/>
      <c r="AFT120" s="172"/>
      <c r="AFU120" s="172"/>
      <c r="AFV120" s="172"/>
      <c r="AFW120" s="172"/>
      <c r="AFX120" s="172"/>
      <c r="AFY120" s="172"/>
      <c r="AFZ120" s="172"/>
      <c r="AGA120" s="172"/>
      <c r="AGB120" s="172"/>
      <c r="AGC120" s="172"/>
      <c r="AGD120" s="172"/>
      <c r="AGE120" s="172"/>
      <c r="AGF120" s="172"/>
      <c r="AGG120" s="172"/>
      <c r="AGH120" s="172"/>
      <c r="AGI120" s="172"/>
      <c r="AGJ120" s="172"/>
      <c r="AGK120" s="172"/>
      <c r="AGL120" s="172"/>
      <c r="AGM120" s="172"/>
      <c r="AGN120" s="172"/>
      <c r="AGO120" s="172"/>
      <c r="AGP120" s="172"/>
      <c r="AGQ120" s="172"/>
      <c r="AGR120" s="172"/>
      <c r="AGS120" s="172"/>
      <c r="AGT120" s="172"/>
      <c r="AGU120" s="172"/>
      <c r="AGV120" s="172"/>
      <c r="AGW120" s="172"/>
      <c r="AGX120" s="172"/>
      <c r="AGY120" s="172"/>
      <c r="AGZ120" s="172"/>
      <c r="AHA120" s="172"/>
      <c r="AHB120" s="172"/>
      <c r="AHC120" s="172"/>
      <c r="AHD120" s="172"/>
      <c r="AHE120" s="172"/>
      <c r="AHF120" s="172"/>
      <c r="AHG120" s="172"/>
      <c r="AHH120" s="172"/>
      <c r="AHI120" s="172"/>
      <c r="AHJ120" s="172"/>
      <c r="AHK120" s="172"/>
      <c r="AHL120" s="172"/>
      <c r="AHM120" s="172"/>
      <c r="AHN120" s="172"/>
      <c r="AHO120" s="172"/>
      <c r="AHP120" s="172"/>
      <c r="AHQ120" s="172"/>
      <c r="AHR120" s="172"/>
      <c r="AHS120" s="172"/>
      <c r="AHT120" s="172"/>
      <c r="AHU120" s="172"/>
      <c r="AHV120" s="172"/>
      <c r="AHW120" s="172"/>
      <c r="AHX120" s="172"/>
      <c r="AHY120" s="172"/>
      <c r="AHZ120" s="172"/>
      <c r="AIA120" s="172"/>
      <c r="AIB120" s="172"/>
      <c r="AIC120" s="172"/>
      <c r="AID120" s="172"/>
      <c r="AIE120" s="172"/>
      <c r="AIF120" s="172"/>
      <c r="AIG120" s="172"/>
      <c r="AIH120" s="172"/>
      <c r="AII120" s="172"/>
      <c r="AIJ120" s="172"/>
      <c r="AIK120" s="172"/>
      <c r="AIL120" s="172"/>
      <c r="AIM120" s="172"/>
      <c r="AIN120" s="172"/>
      <c r="AIO120" s="172"/>
      <c r="AIP120" s="172"/>
      <c r="AIQ120" s="172"/>
      <c r="AIR120" s="172"/>
      <c r="AIS120" s="172"/>
      <c r="AIT120" s="172"/>
      <c r="AIU120" s="172"/>
      <c r="AIV120" s="172"/>
      <c r="AIW120" s="172"/>
      <c r="AIX120" s="172"/>
      <c r="AIY120" s="172"/>
      <c r="AIZ120" s="172"/>
      <c r="AJA120" s="172"/>
      <c r="AJB120" s="172"/>
      <c r="AJC120" s="172"/>
      <c r="AJD120" s="172"/>
      <c r="AJE120" s="172"/>
      <c r="AJF120" s="172"/>
      <c r="AJG120" s="172"/>
      <c r="AJH120" s="172"/>
      <c r="AJI120" s="172"/>
      <c r="AJJ120" s="172"/>
      <c r="AJK120" s="172"/>
      <c r="AJL120" s="172"/>
      <c r="AJM120" s="172"/>
      <c r="AJN120" s="172"/>
      <c r="AJO120" s="172"/>
      <c r="AJP120" s="172"/>
      <c r="AJQ120" s="172"/>
      <c r="AJR120" s="172"/>
      <c r="AJS120" s="172"/>
      <c r="AJT120" s="172"/>
      <c r="AJU120" s="172"/>
      <c r="AJV120" s="172"/>
      <c r="AJW120" s="172"/>
      <c r="AJX120" s="172"/>
      <c r="AJY120" s="172"/>
      <c r="AJZ120" s="172"/>
      <c r="AKA120" s="172"/>
      <c r="AKB120" s="172"/>
      <c r="AKC120" s="172"/>
      <c r="AKD120" s="172"/>
      <c r="AKE120" s="172"/>
      <c r="AKF120" s="172"/>
      <c r="AKG120" s="172"/>
      <c r="AKH120" s="172"/>
      <c r="AKI120" s="172"/>
      <c r="AKJ120" s="172"/>
      <c r="AKK120" s="172"/>
      <c r="AKL120" s="172"/>
      <c r="AKM120" s="172"/>
      <c r="AKN120" s="172"/>
      <c r="AKO120" s="172"/>
      <c r="AKP120" s="172"/>
      <c r="AKQ120" s="172"/>
      <c r="AKR120" s="172"/>
      <c r="AKS120" s="172"/>
      <c r="AKT120" s="172"/>
      <c r="AKU120" s="172"/>
      <c r="AKV120" s="172"/>
      <c r="AKW120" s="172"/>
      <c r="AKX120" s="172"/>
      <c r="AKY120" s="172"/>
      <c r="AKZ120" s="172"/>
      <c r="ALA120" s="172"/>
      <c r="ALB120" s="172"/>
      <c r="ALC120" s="172"/>
      <c r="ALD120" s="172"/>
      <c r="ALE120" s="172"/>
      <c r="ALF120" s="172"/>
      <c r="ALG120" s="172"/>
      <c r="ALH120" s="172"/>
      <c r="ALI120" s="172"/>
      <c r="ALJ120" s="172"/>
      <c r="ALK120" s="172"/>
      <c r="ALL120" s="172"/>
      <c r="ALM120" s="172"/>
      <c r="ALN120" s="172"/>
      <c r="ALO120" s="172"/>
      <c r="ALP120" s="172"/>
      <c r="ALQ120" s="172"/>
      <c r="ALR120" s="172"/>
      <c r="ALS120" s="172"/>
      <c r="ALT120" s="172"/>
      <c r="ALU120" s="172"/>
      <c r="ALV120" s="172"/>
      <c r="ALW120" s="172"/>
      <c r="ALX120" s="172"/>
      <c r="ALY120" s="172"/>
      <c r="ALZ120" s="172"/>
      <c r="AMA120" s="172"/>
      <c r="AMB120" s="172"/>
      <c r="AMC120" s="172"/>
      <c r="AMD120" s="172"/>
      <c r="AME120" s="172"/>
      <c r="AMF120" s="172"/>
      <c r="AMG120" s="172"/>
      <c r="AMH120" s="172"/>
      <c r="AMI120" s="172"/>
      <c r="AMJ120" s="172"/>
    </row>
    <row r="121" s="7" customFormat="true" ht="15.75" hidden="false" customHeight="true" outlineLevel="0" collapsed="false">
      <c r="A121" s="172"/>
      <c r="B121" s="226" t="s">
        <v>151</v>
      </c>
      <c r="C121" s="226"/>
      <c r="D121" s="226"/>
      <c r="E121" s="226"/>
      <c r="F121" s="226"/>
      <c r="G121" s="231"/>
      <c r="H121" s="226" t="s">
        <v>151</v>
      </c>
      <c r="I121" s="226"/>
      <c r="J121" s="226"/>
      <c r="K121" s="226"/>
      <c r="L121" s="226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  <c r="AA121" s="172"/>
      <c r="AB121" s="172"/>
      <c r="AC121" s="172"/>
      <c r="AD121" s="172"/>
      <c r="AE121" s="172"/>
      <c r="AF121" s="172"/>
      <c r="AG121" s="172"/>
      <c r="AH121" s="172"/>
      <c r="AI121" s="172"/>
      <c r="AJ121" s="172"/>
      <c r="AK121" s="172"/>
      <c r="AL121" s="172"/>
      <c r="AM121" s="172"/>
      <c r="AN121" s="172"/>
      <c r="AO121" s="172"/>
      <c r="AP121" s="172"/>
      <c r="AQ121" s="172"/>
      <c r="AR121" s="172"/>
      <c r="AS121" s="172"/>
      <c r="AT121" s="172"/>
      <c r="AU121" s="172"/>
      <c r="AV121" s="172"/>
      <c r="AW121" s="172"/>
      <c r="AX121" s="172"/>
      <c r="AY121" s="172"/>
      <c r="AZ121" s="172"/>
      <c r="BA121" s="172"/>
      <c r="BB121" s="172"/>
      <c r="BC121" s="172"/>
      <c r="BD121" s="172"/>
      <c r="BE121" s="172"/>
      <c r="BF121" s="172"/>
      <c r="BG121" s="172"/>
      <c r="BH121" s="172"/>
      <c r="BI121" s="172"/>
      <c r="BJ121" s="172"/>
      <c r="BK121" s="172"/>
      <c r="BL121" s="172"/>
      <c r="BM121" s="172"/>
      <c r="BN121" s="172"/>
      <c r="BO121" s="172"/>
      <c r="BP121" s="172"/>
      <c r="BQ121" s="172"/>
      <c r="BR121" s="172"/>
      <c r="BS121" s="172"/>
      <c r="BT121" s="172"/>
      <c r="BU121" s="172"/>
      <c r="BV121" s="172"/>
      <c r="BW121" s="172"/>
      <c r="BX121" s="172"/>
      <c r="BY121" s="172"/>
      <c r="BZ121" s="172"/>
      <c r="CA121" s="172"/>
      <c r="CB121" s="172"/>
      <c r="CC121" s="172"/>
      <c r="CD121" s="172"/>
      <c r="CE121" s="172"/>
      <c r="CF121" s="172"/>
      <c r="CG121" s="172"/>
      <c r="CH121" s="172"/>
      <c r="CI121" s="172"/>
      <c r="CJ121" s="172"/>
      <c r="CK121" s="172"/>
      <c r="CL121" s="172"/>
      <c r="CM121" s="172"/>
      <c r="CN121" s="172"/>
      <c r="CO121" s="172"/>
      <c r="CP121" s="172"/>
      <c r="CQ121" s="172"/>
      <c r="CR121" s="172"/>
      <c r="CS121" s="172"/>
      <c r="CT121" s="172"/>
      <c r="CU121" s="172"/>
      <c r="CV121" s="172"/>
      <c r="CW121" s="172"/>
      <c r="CX121" s="172"/>
      <c r="CY121" s="172"/>
      <c r="CZ121" s="172"/>
      <c r="DA121" s="172"/>
      <c r="DB121" s="172"/>
      <c r="DC121" s="172"/>
      <c r="DD121" s="172"/>
      <c r="DE121" s="172"/>
      <c r="DF121" s="172"/>
      <c r="DG121" s="172"/>
      <c r="DH121" s="172"/>
      <c r="DI121" s="172"/>
      <c r="DJ121" s="172"/>
      <c r="DK121" s="172"/>
      <c r="DL121" s="172"/>
      <c r="DM121" s="172"/>
      <c r="DN121" s="172"/>
      <c r="DO121" s="172"/>
      <c r="DP121" s="172"/>
      <c r="DQ121" s="172"/>
      <c r="DR121" s="172"/>
      <c r="DS121" s="172"/>
      <c r="DT121" s="172"/>
      <c r="DU121" s="172"/>
      <c r="DV121" s="172"/>
      <c r="DW121" s="172"/>
      <c r="DX121" s="172"/>
      <c r="DY121" s="172"/>
      <c r="DZ121" s="172"/>
      <c r="EA121" s="172"/>
      <c r="EB121" s="172"/>
      <c r="EC121" s="172"/>
      <c r="ED121" s="172"/>
      <c r="EE121" s="172"/>
      <c r="EF121" s="172"/>
      <c r="EG121" s="172"/>
      <c r="EH121" s="172"/>
      <c r="EI121" s="172"/>
      <c r="EJ121" s="172"/>
      <c r="EK121" s="172"/>
      <c r="EL121" s="172"/>
      <c r="EM121" s="172"/>
      <c r="EN121" s="172"/>
      <c r="EO121" s="172"/>
      <c r="EP121" s="172"/>
      <c r="EQ121" s="172"/>
      <c r="ER121" s="172"/>
      <c r="ES121" s="172"/>
      <c r="ET121" s="172"/>
      <c r="EU121" s="172"/>
      <c r="EV121" s="172"/>
      <c r="EW121" s="172"/>
      <c r="EX121" s="172"/>
      <c r="EY121" s="172"/>
      <c r="EZ121" s="172"/>
      <c r="FA121" s="172"/>
      <c r="FB121" s="172"/>
      <c r="FC121" s="172"/>
      <c r="FD121" s="172"/>
      <c r="FE121" s="172"/>
      <c r="FF121" s="172"/>
      <c r="FG121" s="172"/>
      <c r="FH121" s="172"/>
      <c r="FI121" s="172"/>
      <c r="FJ121" s="172"/>
      <c r="FK121" s="172"/>
      <c r="FL121" s="172"/>
      <c r="FM121" s="172"/>
      <c r="FN121" s="172"/>
      <c r="FO121" s="172"/>
      <c r="FP121" s="172"/>
      <c r="FQ121" s="172"/>
      <c r="FR121" s="172"/>
      <c r="FS121" s="172"/>
      <c r="FT121" s="172"/>
      <c r="FU121" s="172"/>
      <c r="FV121" s="172"/>
      <c r="FW121" s="172"/>
      <c r="FX121" s="172"/>
      <c r="FY121" s="172"/>
      <c r="FZ121" s="172"/>
      <c r="GA121" s="172"/>
      <c r="GB121" s="172"/>
      <c r="GC121" s="172"/>
      <c r="GD121" s="172"/>
      <c r="GE121" s="172"/>
      <c r="GF121" s="172"/>
      <c r="GG121" s="172"/>
      <c r="GH121" s="172"/>
      <c r="GI121" s="172"/>
      <c r="GJ121" s="172"/>
      <c r="GK121" s="172"/>
      <c r="GL121" s="172"/>
      <c r="GM121" s="172"/>
      <c r="GN121" s="172"/>
      <c r="GO121" s="172"/>
      <c r="GP121" s="172"/>
      <c r="GQ121" s="172"/>
      <c r="GR121" s="172"/>
      <c r="GS121" s="172"/>
      <c r="GT121" s="172"/>
      <c r="GU121" s="172"/>
      <c r="GV121" s="172"/>
      <c r="GW121" s="172"/>
      <c r="GX121" s="172"/>
      <c r="GY121" s="172"/>
      <c r="GZ121" s="172"/>
      <c r="HA121" s="172"/>
      <c r="HB121" s="172"/>
      <c r="HC121" s="172"/>
      <c r="HD121" s="172"/>
      <c r="HE121" s="172"/>
      <c r="HF121" s="172"/>
      <c r="HG121" s="172"/>
      <c r="HH121" s="172"/>
      <c r="HI121" s="172"/>
      <c r="HJ121" s="172"/>
      <c r="HK121" s="172"/>
      <c r="HL121" s="172"/>
      <c r="HM121" s="172"/>
      <c r="HN121" s="172"/>
      <c r="HO121" s="172"/>
      <c r="HP121" s="172"/>
      <c r="HQ121" s="172"/>
      <c r="HR121" s="172"/>
      <c r="HS121" s="172"/>
      <c r="HT121" s="172"/>
      <c r="HU121" s="172"/>
      <c r="HV121" s="172"/>
      <c r="HW121" s="172"/>
      <c r="HX121" s="172"/>
      <c r="HY121" s="172"/>
      <c r="HZ121" s="172"/>
      <c r="IA121" s="172"/>
      <c r="IB121" s="172"/>
      <c r="IC121" s="172"/>
      <c r="ID121" s="172"/>
      <c r="IE121" s="172"/>
      <c r="IF121" s="172"/>
      <c r="IG121" s="172"/>
      <c r="IH121" s="172"/>
      <c r="II121" s="172"/>
      <c r="IJ121" s="172"/>
      <c r="IK121" s="172"/>
      <c r="IL121" s="172"/>
      <c r="IM121" s="172"/>
      <c r="IN121" s="172"/>
      <c r="IO121" s="172"/>
      <c r="IP121" s="172"/>
      <c r="IQ121" s="172"/>
      <c r="IR121" s="172"/>
      <c r="IS121" s="172"/>
      <c r="IT121" s="172"/>
      <c r="IU121" s="172"/>
      <c r="IV121" s="172"/>
      <c r="IW121" s="172"/>
      <c r="IX121" s="172"/>
      <c r="IY121" s="172"/>
      <c r="IZ121" s="172"/>
      <c r="JA121" s="172"/>
      <c r="JB121" s="172"/>
      <c r="JC121" s="172"/>
      <c r="JD121" s="172"/>
      <c r="JE121" s="172"/>
      <c r="JF121" s="172"/>
      <c r="JG121" s="172"/>
      <c r="JH121" s="172"/>
      <c r="JI121" s="172"/>
      <c r="JJ121" s="172"/>
      <c r="JK121" s="172"/>
      <c r="JL121" s="172"/>
      <c r="JM121" s="172"/>
      <c r="JN121" s="172"/>
      <c r="JO121" s="172"/>
      <c r="JP121" s="172"/>
      <c r="JQ121" s="172"/>
      <c r="JR121" s="172"/>
      <c r="JS121" s="172"/>
      <c r="JT121" s="172"/>
      <c r="JU121" s="172"/>
      <c r="JV121" s="172"/>
      <c r="JW121" s="172"/>
      <c r="JX121" s="172"/>
      <c r="JY121" s="172"/>
      <c r="JZ121" s="172"/>
      <c r="KA121" s="172"/>
      <c r="KB121" s="172"/>
      <c r="KC121" s="172"/>
      <c r="KD121" s="172"/>
      <c r="KE121" s="172"/>
      <c r="KF121" s="172"/>
      <c r="KG121" s="172"/>
      <c r="KH121" s="172"/>
      <c r="KI121" s="172"/>
      <c r="KJ121" s="172"/>
      <c r="KK121" s="172"/>
      <c r="KL121" s="172"/>
      <c r="KM121" s="172"/>
      <c r="KN121" s="172"/>
      <c r="KO121" s="172"/>
      <c r="KP121" s="172"/>
      <c r="KQ121" s="172"/>
      <c r="KR121" s="172"/>
      <c r="KS121" s="172"/>
      <c r="KT121" s="172"/>
      <c r="KU121" s="172"/>
      <c r="KV121" s="172"/>
      <c r="KW121" s="172"/>
      <c r="KX121" s="172"/>
      <c r="KY121" s="172"/>
      <c r="KZ121" s="172"/>
      <c r="LA121" s="172"/>
      <c r="LB121" s="172"/>
      <c r="LC121" s="172"/>
      <c r="LD121" s="172"/>
      <c r="LE121" s="172"/>
      <c r="LF121" s="172"/>
      <c r="LG121" s="172"/>
      <c r="LH121" s="172"/>
      <c r="LI121" s="172"/>
      <c r="LJ121" s="172"/>
      <c r="LK121" s="172"/>
      <c r="LL121" s="172"/>
      <c r="LM121" s="172"/>
      <c r="LN121" s="172"/>
      <c r="LO121" s="172"/>
      <c r="LP121" s="172"/>
      <c r="LQ121" s="172"/>
      <c r="LR121" s="172"/>
      <c r="LS121" s="172"/>
      <c r="LT121" s="172"/>
      <c r="LU121" s="172"/>
      <c r="LV121" s="172"/>
      <c r="LW121" s="172"/>
      <c r="LX121" s="172"/>
      <c r="LY121" s="172"/>
      <c r="LZ121" s="172"/>
      <c r="MA121" s="172"/>
      <c r="MB121" s="172"/>
      <c r="MC121" s="172"/>
      <c r="MD121" s="172"/>
      <c r="ME121" s="172"/>
      <c r="MF121" s="172"/>
      <c r="MG121" s="172"/>
      <c r="MH121" s="172"/>
      <c r="MI121" s="172"/>
      <c r="MJ121" s="172"/>
      <c r="MK121" s="172"/>
      <c r="ML121" s="172"/>
      <c r="MM121" s="172"/>
      <c r="MN121" s="172"/>
      <c r="MO121" s="172"/>
      <c r="MP121" s="172"/>
      <c r="MQ121" s="172"/>
      <c r="MR121" s="172"/>
      <c r="MS121" s="172"/>
      <c r="MT121" s="172"/>
      <c r="MU121" s="172"/>
      <c r="MV121" s="172"/>
      <c r="MW121" s="172"/>
      <c r="MX121" s="172"/>
      <c r="MY121" s="172"/>
      <c r="MZ121" s="172"/>
      <c r="NA121" s="172"/>
      <c r="NB121" s="172"/>
      <c r="NC121" s="172"/>
      <c r="ND121" s="172"/>
      <c r="NE121" s="172"/>
      <c r="NF121" s="172"/>
      <c r="NG121" s="172"/>
      <c r="NH121" s="172"/>
      <c r="NI121" s="172"/>
      <c r="NJ121" s="172"/>
      <c r="NK121" s="172"/>
      <c r="NL121" s="172"/>
      <c r="NM121" s="172"/>
      <c r="NN121" s="172"/>
      <c r="NO121" s="172"/>
      <c r="NP121" s="172"/>
      <c r="NQ121" s="172"/>
      <c r="NR121" s="172"/>
      <c r="NS121" s="172"/>
      <c r="NT121" s="172"/>
      <c r="NU121" s="172"/>
      <c r="NV121" s="172"/>
      <c r="NW121" s="172"/>
      <c r="NX121" s="172"/>
      <c r="NY121" s="172"/>
      <c r="NZ121" s="172"/>
      <c r="OA121" s="172"/>
      <c r="OB121" s="172"/>
      <c r="OC121" s="172"/>
      <c r="OD121" s="172"/>
      <c r="OE121" s="172"/>
      <c r="OF121" s="172"/>
      <c r="OG121" s="172"/>
      <c r="OH121" s="172"/>
      <c r="OI121" s="172"/>
      <c r="OJ121" s="172"/>
      <c r="OK121" s="172"/>
      <c r="OL121" s="172"/>
      <c r="OM121" s="172"/>
      <c r="ON121" s="172"/>
      <c r="OO121" s="172"/>
      <c r="OP121" s="172"/>
      <c r="OQ121" s="172"/>
      <c r="OR121" s="172"/>
      <c r="OS121" s="172"/>
      <c r="OT121" s="172"/>
      <c r="OU121" s="172"/>
      <c r="OV121" s="172"/>
      <c r="OW121" s="172"/>
      <c r="OX121" s="172"/>
      <c r="OY121" s="172"/>
      <c r="OZ121" s="172"/>
      <c r="PA121" s="172"/>
      <c r="PB121" s="172"/>
      <c r="PC121" s="172"/>
      <c r="PD121" s="172"/>
      <c r="PE121" s="172"/>
      <c r="PF121" s="172"/>
      <c r="PG121" s="172"/>
      <c r="PH121" s="172"/>
      <c r="PI121" s="172"/>
      <c r="PJ121" s="172"/>
      <c r="PK121" s="172"/>
      <c r="PL121" s="172"/>
      <c r="PM121" s="172"/>
      <c r="PN121" s="172"/>
      <c r="PO121" s="172"/>
      <c r="PP121" s="172"/>
      <c r="PQ121" s="172"/>
      <c r="PR121" s="172"/>
      <c r="PS121" s="172"/>
      <c r="PT121" s="172"/>
      <c r="PU121" s="172"/>
      <c r="PV121" s="172"/>
      <c r="PW121" s="172"/>
      <c r="PX121" s="172"/>
      <c r="PY121" s="172"/>
      <c r="PZ121" s="172"/>
      <c r="QA121" s="172"/>
      <c r="QB121" s="172"/>
      <c r="QC121" s="172"/>
      <c r="QD121" s="172"/>
      <c r="QE121" s="172"/>
      <c r="QF121" s="172"/>
      <c r="QG121" s="172"/>
      <c r="QH121" s="172"/>
      <c r="QI121" s="172"/>
      <c r="QJ121" s="172"/>
      <c r="QK121" s="172"/>
      <c r="QL121" s="172"/>
      <c r="QM121" s="172"/>
      <c r="QN121" s="172"/>
      <c r="QO121" s="172"/>
      <c r="QP121" s="172"/>
      <c r="QQ121" s="172"/>
      <c r="QR121" s="172"/>
      <c r="QS121" s="172"/>
      <c r="QT121" s="172"/>
      <c r="QU121" s="172"/>
      <c r="QV121" s="172"/>
      <c r="QW121" s="172"/>
      <c r="QX121" s="172"/>
      <c r="QY121" s="172"/>
      <c r="QZ121" s="172"/>
      <c r="RA121" s="172"/>
      <c r="RB121" s="172"/>
      <c r="RC121" s="172"/>
      <c r="RD121" s="172"/>
      <c r="RE121" s="172"/>
      <c r="RF121" s="172"/>
      <c r="RG121" s="172"/>
      <c r="RH121" s="172"/>
      <c r="RI121" s="172"/>
      <c r="RJ121" s="172"/>
      <c r="RK121" s="172"/>
      <c r="RL121" s="172"/>
      <c r="RM121" s="172"/>
      <c r="RN121" s="172"/>
      <c r="RO121" s="172"/>
      <c r="RP121" s="172"/>
      <c r="RQ121" s="172"/>
      <c r="RR121" s="172"/>
      <c r="RS121" s="172"/>
      <c r="RT121" s="172"/>
      <c r="RU121" s="172"/>
      <c r="RV121" s="172"/>
      <c r="RW121" s="172"/>
      <c r="RX121" s="172"/>
      <c r="RY121" s="172"/>
      <c r="RZ121" s="172"/>
      <c r="SA121" s="172"/>
      <c r="SB121" s="172"/>
      <c r="SC121" s="172"/>
      <c r="SD121" s="172"/>
      <c r="SE121" s="172"/>
      <c r="SF121" s="172"/>
      <c r="SG121" s="172"/>
      <c r="SH121" s="172"/>
      <c r="SI121" s="172"/>
      <c r="SJ121" s="172"/>
      <c r="SK121" s="172"/>
      <c r="SL121" s="172"/>
      <c r="SM121" s="172"/>
      <c r="SN121" s="172"/>
      <c r="SO121" s="172"/>
      <c r="SP121" s="172"/>
      <c r="SQ121" s="172"/>
      <c r="SR121" s="172"/>
      <c r="SS121" s="172"/>
      <c r="ST121" s="172"/>
      <c r="SU121" s="172"/>
      <c r="SV121" s="172"/>
      <c r="SW121" s="172"/>
      <c r="SX121" s="172"/>
      <c r="SY121" s="172"/>
      <c r="SZ121" s="172"/>
      <c r="TA121" s="172"/>
      <c r="TB121" s="172"/>
      <c r="TC121" s="172"/>
      <c r="TD121" s="172"/>
      <c r="TE121" s="172"/>
      <c r="TF121" s="172"/>
      <c r="TG121" s="172"/>
      <c r="TH121" s="172"/>
      <c r="TI121" s="172"/>
      <c r="TJ121" s="172"/>
      <c r="TK121" s="172"/>
      <c r="TL121" s="172"/>
      <c r="TM121" s="172"/>
      <c r="TN121" s="172"/>
      <c r="TO121" s="172"/>
      <c r="TP121" s="172"/>
      <c r="TQ121" s="172"/>
      <c r="TR121" s="172"/>
      <c r="TS121" s="172"/>
      <c r="TT121" s="172"/>
      <c r="TU121" s="172"/>
      <c r="TV121" s="172"/>
      <c r="TW121" s="172"/>
      <c r="TX121" s="172"/>
      <c r="TY121" s="172"/>
      <c r="TZ121" s="172"/>
      <c r="UA121" s="172"/>
      <c r="UB121" s="172"/>
      <c r="UC121" s="172"/>
      <c r="UD121" s="172"/>
      <c r="UE121" s="172"/>
      <c r="UF121" s="172"/>
      <c r="UG121" s="172"/>
      <c r="UH121" s="172"/>
      <c r="UI121" s="172"/>
      <c r="UJ121" s="172"/>
      <c r="UK121" s="172"/>
      <c r="UL121" s="172"/>
      <c r="UM121" s="172"/>
      <c r="UN121" s="172"/>
      <c r="UO121" s="172"/>
      <c r="UP121" s="172"/>
      <c r="UQ121" s="172"/>
      <c r="UR121" s="172"/>
      <c r="US121" s="172"/>
      <c r="UT121" s="172"/>
      <c r="UU121" s="172"/>
      <c r="UV121" s="172"/>
      <c r="UW121" s="172"/>
      <c r="UX121" s="172"/>
      <c r="UY121" s="172"/>
      <c r="UZ121" s="172"/>
      <c r="VA121" s="172"/>
      <c r="VB121" s="172"/>
      <c r="VC121" s="172"/>
      <c r="VD121" s="172"/>
      <c r="VE121" s="172"/>
      <c r="VF121" s="172"/>
      <c r="VG121" s="172"/>
      <c r="VH121" s="172"/>
      <c r="VI121" s="172"/>
      <c r="VJ121" s="172"/>
      <c r="VK121" s="172"/>
      <c r="VL121" s="172"/>
      <c r="VM121" s="172"/>
      <c r="VN121" s="172"/>
      <c r="VO121" s="172"/>
      <c r="VP121" s="172"/>
      <c r="VQ121" s="172"/>
      <c r="VR121" s="172"/>
      <c r="VS121" s="172"/>
      <c r="VT121" s="172"/>
      <c r="VU121" s="172"/>
      <c r="VV121" s="172"/>
      <c r="VW121" s="172"/>
      <c r="VX121" s="172"/>
      <c r="VY121" s="172"/>
      <c r="VZ121" s="172"/>
      <c r="WA121" s="172"/>
      <c r="WB121" s="172"/>
      <c r="WC121" s="172"/>
      <c r="WD121" s="172"/>
      <c r="WE121" s="172"/>
      <c r="WF121" s="172"/>
      <c r="WG121" s="172"/>
      <c r="WH121" s="172"/>
      <c r="WI121" s="172"/>
      <c r="WJ121" s="172"/>
      <c r="WK121" s="172"/>
      <c r="WL121" s="172"/>
      <c r="WM121" s="172"/>
      <c r="WN121" s="172"/>
      <c r="WO121" s="172"/>
      <c r="WP121" s="172"/>
      <c r="WQ121" s="172"/>
      <c r="WR121" s="172"/>
      <c r="WS121" s="172"/>
      <c r="WT121" s="172"/>
      <c r="WU121" s="172"/>
      <c r="WV121" s="172"/>
      <c r="WW121" s="172"/>
      <c r="WX121" s="172"/>
      <c r="WY121" s="172"/>
      <c r="WZ121" s="172"/>
      <c r="XA121" s="172"/>
      <c r="XB121" s="172"/>
      <c r="XC121" s="172"/>
      <c r="XD121" s="172"/>
      <c r="XE121" s="172"/>
      <c r="XF121" s="172"/>
      <c r="XG121" s="172"/>
      <c r="XH121" s="172"/>
      <c r="XI121" s="172"/>
      <c r="XJ121" s="172"/>
      <c r="XK121" s="172"/>
      <c r="XL121" s="172"/>
      <c r="XM121" s="172"/>
      <c r="XN121" s="172"/>
      <c r="XO121" s="172"/>
      <c r="XP121" s="172"/>
      <c r="XQ121" s="172"/>
      <c r="XR121" s="172"/>
      <c r="XS121" s="172"/>
      <c r="XT121" s="172"/>
      <c r="XU121" s="172"/>
      <c r="XV121" s="172"/>
      <c r="XW121" s="172"/>
      <c r="XX121" s="172"/>
      <c r="XY121" s="172"/>
      <c r="XZ121" s="172"/>
      <c r="YA121" s="172"/>
      <c r="YB121" s="172"/>
      <c r="YC121" s="172"/>
      <c r="YD121" s="172"/>
      <c r="YE121" s="172"/>
      <c r="YF121" s="172"/>
      <c r="YG121" s="172"/>
      <c r="YH121" s="172"/>
      <c r="YI121" s="172"/>
      <c r="YJ121" s="172"/>
      <c r="YK121" s="172"/>
      <c r="YL121" s="172"/>
      <c r="YM121" s="172"/>
      <c r="YN121" s="172"/>
      <c r="YO121" s="172"/>
      <c r="YP121" s="172"/>
      <c r="YQ121" s="172"/>
      <c r="YR121" s="172"/>
      <c r="YS121" s="172"/>
      <c r="YT121" s="172"/>
      <c r="YU121" s="172"/>
      <c r="YV121" s="172"/>
      <c r="YW121" s="172"/>
      <c r="YX121" s="172"/>
      <c r="YY121" s="172"/>
      <c r="YZ121" s="172"/>
      <c r="ZA121" s="172"/>
      <c r="ZB121" s="172"/>
      <c r="ZC121" s="172"/>
      <c r="ZD121" s="172"/>
      <c r="ZE121" s="172"/>
      <c r="ZF121" s="172"/>
      <c r="ZG121" s="172"/>
      <c r="ZH121" s="172"/>
      <c r="ZI121" s="172"/>
      <c r="ZJ121" s="172"/>
      <c r="ZK121" s="172"/>
      <c r="ZL121" s="172"/>
      <c r="ZM121" s="172"/>
      <c r="ZN121" s="172"/>
      <c r="ZO121" s="172"/>
      <c r="ZP121" s="172"/>
      <c r="ZQ121" s="172"/>
      <c r="ZR121" s="172"/>
      <c r="ZS121" s="172"/>
      <c r="ZT121" s="172"/>
      <c r="ZU121" s="172"/>
      <c r="ZV121" s="172"/>
      <c r="ZW121" s="172"/>
      <c r="ZX121" s="172"/>
      <c r="ZY121" s="172"/>
      <c r="ZZ121" s="172"/>
      <c r="AAA121" s="172"/>
      <c r="AAB121" s="172"/>
      <c r="AAC121" s="172"/>
      <c r="AAD121" s="172"/>
      <c r="AAE121" s="172"/>
      <c r="AAF121" s="172"/>
      <c r="AAG121" s="172"/>
      <c r="AAH121" s="172"/>
      <c r="AAI121" s="172"/>
      <c r="AAJ121" s="172"/>
      <c r="AAK121" s="172"/>
      <c r="AAL121" s="172"/>
      <c r="AAM121" s="172"/>
      <c r="AAN121" s="172"/>
      <c r="AAO121" s="172"/>
      <c r="AAP121" s="172"/>
      <c r="AAQ121" s="172"/>
      <c r="AAR121" s="172"/>
      <c r="AAS121" s="172"/>
      <c r="AAT121" s="172"/>
      <c r="AAU121" s="172"/>
      <c r="AAV121" s="172"/>
      <c r="AAW121" s="172"/>
      <c r="AAX121" s="172"/>
      <c r="AAY121" s="172"/>
      <c r="AAZ121" s="172"/>
      <c r="ABA121" s="172"/>
      <c r="ABB121" s="172"/>
      <c r="ABC121" s="172"/>
      <c r="ABD121" s="172"/>
      <c r="ABE121" s="172"/>
      <c r="ABF121" s="172"/>
      <c r="ABG121" s="172"/>
      <c r="ABH121" s="172"/>
      <c r="ABI121" s="172"/>
      <c r="ABJ121" s="172"/>
      <c r="ABK121" s="172"/>
      <c r="ABL121" s="172"/>
      <c r="ABM121" s="172"/>
      <c r="ABN121" s="172"/>
      <c r="ABO121" s="172"/>
      <c r="ABP121" s="172"/>
      <c r="ABQ121" s="172"/>
      <c r="ABR121" s="172"/>
      <c r="ABS121" s="172"/>
      <c r="ABT121" s="172"/>
      <c r="ABU121" s="172"/>
      <c r="ABV121" s="172"/>
      <c r="ABW121" s="172"/>
      <c r="ABX121" s="172"/>
      <c r="ABY121" s="172"/>
      <c r="ABZ121" s="172"/>
      <c r="ACA121" s="172"/>
      <c r="ACB121" s="172"/>
      <c r="ACC121" s="172"/>
      <c r="ACD121" s="172"/>
      <c r="ACE121" s="172"/>
      <c r="ACF121" s="172"/>
      <c r="ACG121" s="172"/>
      <c r="ACH121" s="172"/>
      <c r="ACI121" s="172"/>
      <c r="ACJ121" s="172"/>
      <c r="ACK121" s="172"/>
      <c r="ACL121" s="172"/>
      <c r="ACM121" s="172"/>
      <c r="ACN121" s="172"/>
      <c r="ACO121" s="172"/>
      <c r="ACP121" s="172"/>
      <c r="ACQ121" s="172"/>
      <c r="ACR121" s="172"/>
      <c r="ACS121" s="172"/>
      <c r="ACT121" s="172"/>
      <c r="ACU121" s="172"/>
      <c r="ACV121" s="172"/>
      <c r="ACW121" s="172"/>
      <c r="ACX121" s="172"/>
      <c r="ACY121" s="172"/>
      <c r="ACZ121" s="172"/>
      <c r="ADA121" s="172"/>
      <c r="ADB121" s="172"/>
      <c r="ADC121" s="172"/>
      <c r="ADD121" s="172"/>
      <c r="ADE121" s="172"/>
      <c r="ADF121" s="172"/>
      <c r="ADG121" s="172"/>
      <c r="ADH121" s="172"/>
      <c r="ADI121" s="172"/>
      <c r="ADJ121" s="172"/>
      <c r="ADK121" s="172"/>
      <c r="ADL121" s="172"/>
      <c r="ADM121" s="172"/>
      <c r="ADN121" s="172"/>
      <c r="ADO121" s="172"/>
      <c r="ADP121" s="172"/>
      <c r="ADQ121" s="172"/>
      <c r="ADR121" s="172"/>
      <c r="ADS121" s="172"/>
      <c r="ADT121" s="172"/>
      <c r="ADU121" s="172"/>
      <c r="ADV121" s="172"/>
      <c r="ADW121" s="172"/>
      <c r="ADX121" s="172"/>
      <c r="ADY121" s="172"/>
      <c r="ADZ121" s="172"/>
      <c r="AEA121" s="172"/>
      <c r="AEB121" s="172"/>
      <c r="AEC121" s="172"/>
      <c r="AED121" s="172"/>
      <c r="AEE121" s="172"/>
      <c r="AEF121" s="172"/>
      <c r="AEG121" s="172"/>
      <c r="AEH121" s="172"/>
      <c r="AEI121" s="172"/>
      <c r="AEJ121" s="172"/>
      <c r="AEK121" s="172"/>
      <c r="AEL121" s="172"/>
      <c r="AEM121" s="172"/>
      <c r="AEN121" s="172"/>
      <c r="AEO121" s="172"/>
      <c r="AEP121" s="172"/>
      <c r="AEQ121" s="172"/>
      <c r="AER121" s="172"/>
      <c r="AES121" s="172"/>
      <c r="AET121" s="172"/>
      <c r="AEU121" s="172"/>
      <c r="AEV121" s="172"/>
      <c r="AEW121" s="172"/>
      <c r="AEX121" s="172"/>
      <c r="AEY121" s="172"/>
      <c r="AEZ121" s="172"/>
      <c r="AFA121" s="172"/>
      <c r="AFB121" s="172"/>
      <c r="AFC121" s="172"/>
      <c r="AFD121" s="172"/>
      <c r="AFE121" s="172"/>
      <c r="AFF121" s="172"/>
      <c r="AFG121" s="172"/>
      <c r="AFH121" s="172"/>
      <c r="AFI121" s="172"/>
      <c r="AFJ121" s="172"/>
      <c r="AFK121" s="172"/>
      <c r="AFL121" s="172"/>
      <c r="AFM121" s="172"/>
      <c r="AFN121" s="172"/>
      <c r="AFO121" s="172"/>
      <c r="AFP121" s="172"/>
      <c r="AFQ121" s="172"/>
      <c r="AFR121" s="172"/>
      <c r="AFS121" s="172"/>
      <c r="AFT121" s="172"/>
      <c r="AFU121" s="172"/>
      <c r="AFV121" s="172"/>
      <c r="AFW121" s="172"/>
      <c r="AFX121" s="172"/>
      <c r="AFY121" s="172"/>
      <c r="AFZ121" s="172"/>
      <c r="AGA121" s="172"/>
      <c r="AGB121" s="172"/>
      <c r="AGC121" s="172"/>
      <c r="AGD121" s="172"/>
      <c r="AGE121" s="172"/>
      <c r="AGF121" s="172"/>
      <c r="AGG121" s="172"/>
      <c r="AGH121" s="172"/>
      <c r="AGI121" s="172"/>
      <c r="AGJ121" s="172"/>
      <c r="AGK121" s="172"/>
      <c r="AGL121" s="172"/>
      <c r="AGM121" s="172"/>
      <c r="AGN121" s="172"/>
      <c r="AGO121" s="172"/>
      <c r="AGP121" s="172"/>
      <c r="AGQ121" s="172"/>
      <c r="AGR121" s="172"/>
      <c r="AGS121" s="172"/>
      <c r="AGT121" s="172"/>
      <c r="AGU121" s="172"/>
      <c r="AGV121" s="172"/>
      <c r="AGW121" s="172"/>
      <c r="AGX121" s="172"/>
      <c r="AGY121" s="172"/>
      <c r="AGZ121" s="172"/>
      <c r="AHA121" s="172"/>
      <c r="AHB121" s="172"/>
      <c r="AHC121" s="172"/>
      <c r="AHD121" s="172"/>
      <c r="AHE121" s="172"/>
      <c r="AHF121" s="172"/>
      <c r="AHG121" s="172"/>
      <c r="AHH121" s="172"/>
      <c r="AHI121" s="172"/>
      <c r="AHJ121" s="172"/>
      <c r="AHK121" s="172"/>
      <c r="AHL121" s="172"/>
      <c r="AHM121" s="172"/>
      <c r="AHN121" s="172"/>
      <c r="AHO121" s="172"/>
      <c r="AHP121" s="172"/>
      <c r="AHQ121" s="172"/>
      <c r="AHR121" s="172"/>
      <c r="AHS121" s="172"/>
      <c r="AHT121" s="172"/>
      <c r="AHU121" s="172"/>
      <c r="AHV121" s="172"/>
      <c r="AHW121" s="172"/>
      <c r="AHX121" s="172"/>
      <c r="AHY121" s="172"/>
      <c r="AHZ121" s="172"/>
      <c r="AIA121" s="172"/>
      <c r="AIB121" s="172"/>
      <c r="AIC121" s="172"/>
      <c r="AID121" s="172"/>
      <c r="AIE121" s="172"/>
      <c r="AIF121" s="172"/>
      <c r="AIG121" s="172"/>
      <c r="AIH121" s="172"/>
      <c r="AII121" s="172"/>
      <c r="AIJ121" s="172"/>
      <c r="AIK121" s="172"/>
      <c r="AIL121" s="172"/>
      <c r="AIM121" s="172"/>
      <c r="AIN121" s="172"/>
      <c r="AIO121" s="172"/>
      <c r="AIP121" s="172"/>
      <c r="AIQ121" s="172"/>
      <c r="AIR121" s="172"/>
      <c r="AIS121" s="172"/>
      <c r="AIT121" s="172"/>
      <c r="AIU121" s="172"/>
      <c r="AIV121" s="172"/>
      <c r="AIW121" s="172"/>
      <c r="AIX121" s="172"/>
      <c r="AIY121" s="172"/>
      <c r="AIZ121" s="172"/>
      <c r="AJA121" s="172"/>
      <c r="AJB121" s="172"/>
      <c r="AJC121" s="172"/>
      <c r="AJD121" s="172"/>
      <c r="AJE121" s="172"/>
      <c r="AJF121" s="172"/>
      <c r="AJG121" s="172"/>
      <c r="AJH121" s="172"/>
      <c r="AJI121" s="172"/>
      <c r="AJJ121" s="172"/>
      <c r="AJK121" s="172"/>
      <c r="AJL121" s="172"/>
      <c r="AJM121" s="172"/>
      <c r="AJN121" s="172"/>
      <c r="AJO121" s="172"/>
      <c r="AJP121" s="172"/>
      <c r="AJQ121" s="172"/>
      <c r="AJR121" s="172"/>
      <c r="AJS121" s="172"/>
      <c r="AJT121" s="172"/>
      <c r="AJU121" s="172"/>
      <c r="AJV121" s="172"/>
      <c r="AJW121" s="172"/>
      <c r="AJX121" s="172"/>
      <c r="AJY121" s="172"/>
      <c r="AJZ121" s="172"/>
      <c r="AKA121" s="172"/>
      <c r="AKB121" s="172"/>
      <c r="AKC121" s="172"/>
      <c r="AKD121" s="172"/>
      <c r="AKE121" s="172"/>
      <c r="AKF121" s="172"/>
      <c r="AKG121" s="172"/>
      <c r="AKH121" s="172"/>
      <c r="AKI121" s="172"/>
      <c r="AKJ121" s="172"/>
      <c r="AKK121" s="172"/>
      <c r="AKL121" s="172"/>
      <c r="AKM121" s="172"/>
      <c r="AKN121" s="172"/>
      <c r="AKO121" s="172"/>
      <c r="AKP121" s="172"/>
      <c r="AKQ121" s="172"/>
      <c r="AKR121" s="172"/>
      <c r="AKS121" s="172"/>
      <c r="AKT121" s="172"/>
      <c r="AKU121" s="172"/>
      <c r="AKV121" s="172"/>
      <c r="AKW121" s="172"/>
      <c r="AKX121" s="172"/>
      <c r="AKY121" s="172"/>
      <c r="AKZ121" s="172"/>
      <c r="ALA121" s="172"/>
      <c r="ALB121" s="172"/>
      <c r="ALC121" s="172"/>
      <c r="ALD121" s="172"/>
      <c r="ALE121" s="172"/>
      <c r="ALF121" s="172"/>
      <c r="ALG121" s="172"/>
      <c r="ALH121" s="172"/>
      <c r="ALI121" s="172"/>
      <c r="ALJ121" s="172"/>
      <c r="ALK121" s="172"/>
      <c r="ALL121" s="172"/>
      <c r="ALM121" s="172"/>
      <c r="ALN121" s="172"/>
      <c r="ALO121" s="172"/>
      <c r="ALP121" s="172"/>
      <c r="ALQ121" s="172"/>
      <c r="ALR121" s="172"/>
      <c r="ALS121" s="172"/>
      <c r="ALT121" s="172"/>
      <c r="ALU121" s="172"/>
      <c r="ALV121" s="172"/>
      <c r="ALW121" s="172"/>
      <c r="ALX121" s="172"/>
      <c r="ALY121" s="172"/>
      <c r="ALZ121" s="172"/>
      <c r="AMA121" s="172"/>
      <c r="AMB121" s="172"/>
      <c r="AMC121" s="172"/>
      <c r="AMD121" s="172"/>
      <c r="AME121" s="172"/>
      <c r="AMF121" s="172"/>
      <c r="AMG121" s="172"/>
      <c r="AMH121" s="172"/>
      <c r="AMI121" s="172"/>
      <c r="AMJ121" s="172"/>
    </row>
    <row r="122" s="7" customFormat="true" ht="15.75" hidden="false" customHeight="true" outlineLevel="0" collapsed="false">
      <c r="A122" s="172"/>
      <c r="B122" s="8"/>
      <c r="C122" s="8"/>
      <c r="D122" s="8"/>
      <c r="E122" s="8"/>
      <c r="F122" s="8"/>
      <c r="G122" s="10"/>
      <c r="H122" s="8"/>
      <c r="I122" s="8"/>
      <c r="J122" s="8"/>
      <c r="K122" s="8"/>
      <c r="L122" s="8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  <c r="AA122" s="172"/>
      <c r="AB122" s="172"/>
      <c r="AC122" s="172"/>
      <c r="AD122" s="172"/>
      <c r="AE122" s="172"/>
      <c r="AF122" s="172"/>
      <c r="AG122" s="172"/>
      <c r="AH122" s="172"/>
      <c r="AI122" s="172"/>
      <c r="AJ122" s="172"/>
      <c r="AK122" s="172"/>
      <c r="AL122" s="172"/>
      <c r="AM122" s="172"/>
      <c r="AN122" s="172"/>
      <c r="AO122" s="172"/>
      <c r="AP122" s="172"/>
      <c r="AQ122" s="172"/>
      <c r="AR122" s="172"/>
      <c r="AS122" s="172"/>
      <c r="AT122" s="172"/>
      <c r="AU122" s="172"/>
      <c r="AV122" s="172"/>
      <c r="AW122" s="172"/>
      <c r="AX122" s="172"/>
      <c r="AY122" s="172"/>
      <c r="AZ122" s="172"/>
      <c r="BA122" s="172"/>
      <c r="BB122" s="172"/>
      <c r="BC122" s="172"/>
      <c r="BD122" s="172"/>
      <c r="BE122" s="172"/>
      <c r="BF122" s="172"/>
      <c r="BG122" s="172"/>
      <c r="BH122" s="172"/>
      <c r="BI122" s="172"/>
      <c r="BJ122" s="172"/>
      <c r="BK122" s="172"/>
      <c r="BL122" s="172"/>
      <c r="BM122" s="172"/>
      <c r="BN122" s="172"/>
      <c r="BO122" s="172"/>
      <c r="BP122" s="172"/>
      <c r="BQ122" s="172"/>
      <c r="BR122" s="172"/>
      <c r="BS122" s="172"/>
      <c r="BT122" s="172"/>
      <c r="BU122" s="172"/>
      <c r="BV122" s="172"/>
      <c r="BW122" s="172"/>
      <c r="BX122" s="172"/>
      <c r="BY122" s="172"/>
      <c r="BZ122" s="172"/>
      <c r="CA122" s="172"/>
      <c r="CB122" s="172"/>
      <c r="CC122" s="172"/>
      <c r="CD122" s="172"/>
      <c r="CE122" s="172"/>
      <c r="CF122" s="172"/>
      <c r="CG122" s="172"/>
      <c r="CH122" s="172"/>
      <c r="CI122" s="172"/>
      <c r="CJ122" s="172"/>
      <c r="CK122" s="172"/>
      <c r="CL122" s="172"/>
      <c r="CM122" s="172"/>
      <c r="CN122" s="172"/>
      <c r="CO122" s="172"/>
      <c r="CP122" s="172"/>
      <c r="CQ122" s="172"/>
      <c r="CR122" s="172"/>
      <c r="CS122" s="172"/>
      <c r="CT122" s="172"/>
      <c r="CU122" s="172"/>
      <c r="CV122" s="172"/>
      <c r="CW122" s="172"/>
      <c r="CX122" s="172"/>
      <c r="CY122" s="172"/>
      <c r="CZ122" s="172"/>
      <c r="DA122" s="172"/>
      <c r="DB122" s="172"/>
      <c r="DC122" s="172"/>
      <c r="DD122" s="172"/>
      <c r="DE122" s="172"/>
      <c r="DF122" s="172"/>
      <c r="DG122" s="172"/>
      <c r="DH122" s="172"/>
      <c r="DI122" s="172"/>
      <c r="DJ122" s="172"/>
      <c r="DK122" s="172"/>
      <c r="DL122" s="172"/>
      <c r="DM122" s="172"/>
      <c r="DN122" s="172"/>
      <c r="DO122" s="172"/>
      <c r="DP122" s="172"/>
      <c r="DQ122" s="172"/>
      <c r="DR122" s="172"/>
      <c r="DS122" s="172"/>
      <c r="DT122" s="172"/>
      <c r="DU122" s="172"/>
      <c r="DV122" s="172"/>
      <c r="DW122" s="172"/>
      <c r="DX122" s="172"/>
      <c r="DY122" s="172"/>
      <c r="DZ122" s="172"/>
      <c r="EA122" s="172"/>
      <c r="EB122" s="172"/>
      <c r="EC122" s="172"/>
      <c r="ED122" s="172"/>
      <c r="EE122" s="172"/>
      <c r="EF122" s="172"/>
      <c r="EG122" s="172"/>
      <c r="EH122" s="172"/>
      <c r="EI122" s="172"/>
      <c r="EJ122" s="172"/>
      <c r="EK122" s="172"/>
      <c r="EL122" s="172"/>
      <c r="EM122" s="172"/>
      <c r="EN122" s="172"/>
      <c r="EO122" s="172"/>
      <c r="EP122" s="172"/>
      <c r="EQ122" s="172"/>
      <c r="ER122" s="172"/>
      <c r="ES122" s="172"/>
      <c r="ET122" s="172"/>
      <c r="EU122" s="172"/>
      <c r="EV122" s="172"/>
      <c r="EW122" s="172"/>
      <c r="EX122" s="172"/>
      <c r="EY122" s="172"/>
      <c r="EZ122" s="172"/>
      <c r="FA122" s="172"/>
      <c r="FB122" s="172"/>
      <c r="FC122" s="172"/>
      <c r="FD122" s="172"/>
      <c r="FE122" s="172"/>
      <c r="FF122" s="172"/>
      <c r="FG122" s="172"/>
      <c r="FH122" s="172"/>
      <c r="FI122" s="172"/>
      <c r="FJ122" s="172"/>
      <c r="FK122" s="172"/>
      <c r="FL122" s="172"/>
      <c r="FM122" s="172"/>
      <c r="FN122" s="172"/>
      <c r="FO122" s="172"/>
      <c r="FP122" s="172"/>
      <c r="FQ122" s="172"/>
      <c r="FR122" s="172"/>
      <c r="FS122" s="172"/>
      <c r="FT122" s="172"/>
      <c r="FU122" s="172"/>
      <c r="FV122" s="172"/>
      <c r="FW122" s="172"/>
      <c r="FX122" s="172"/>
      <c r="FY122" s="172"/>
      <c r="FZ122" s="172"/>
      <c r="GA122" s="172"/>
      <c r="GB122" s="172"/>
      <c r="GC122" s="172"/>
      <c r="GD122" s="172"/>
      <c r="GE122" s="172"/>
      <c r="GF122" s="172"/>
      <c r="GG122" s="172"/>
      <c r="GH122" s="172"/>
      <c r="GI122" s="172"/>
      <c r="GJ122" s="172"/>
      <c r="GK122" s="172"/>
      <c r="GL122" s="172"/>
      <c r="GM122" s="172"/>
      <c r="GN122" s="172"/>
      <c r="GO122" s="172"/>
      <c r="GP122" s="172"/>
      <c r="GQ122" s="172"/>
      <c r="GR122" s="172"/>
      <c r="GS122" s="172"/>
      <c r="GT122" s="172"/>
      <c r="GU122" s="172"/>
      <c r="GV122" s="172"/>
      <c r="GW122" s="172"/>
      <c r="GX122" s="172"/>
      <c r="GY122" s="172"/>
      <c r="GZ122" s="172"/>
      <c r="HA122" s="172"/>
      <c r="HB122" s="172"/>
      <c r="HC122" s="172"/>
      <c r="HD122" s="172"/>
      <c r="HE122" s="172"/>
      <c r="HF122" s="172"/>
      <c r="HG122" s="172"/>
      <c r="HH122" s="172"/>
      <c r="HI122" s="172"/>
      <c r="HJ122" s="172"/>
      <c r="HK122" s="172"/>
      <c r="HL122" s="172"/>
      <c r="HM122" s="172"/>
      <c r="HN122" s="172"/>
      <c r="HO122" s="172"/>
      <c r="HP122" s="172"/>
      <c r="HQ122" s="172"/>
      <c r="HR122" s="172"/>
      <c r="HS122" s="172"/>
      <c r="HT122" s="172"/>
      <c r="HU122" s="172"/>
      <c r="HV122" s="172"/>
      <c r="HW122" s="172"/>
      <c r="HX122" s="172"/>
      <c r="HY122" s="172"/>
      <c r="HZ122" s="172"/>
      <c r="IA122" s="172"/>
      <c r="IB122" s="172"/>
      <c r="IC122" s="172"/>
      <c r="ID122" s="172"/>
      <c r="IE122" s="172"/>
      <c r="IF122" s="172"/>
      <c r="IG122" s="172"/>
      <c r="IH122" s="172"/>
      <c r="II122" s="172"/>
      <c r="IJ122" s="172"/>
      <c r="IK122" s="172"/>
      <c r="IL122" s="172"/>
      <c r="IM122" s="172"/>
      <c r="IN122" s="172"/>
      <c r="IO122" s="172"/>
      <c r="IP122" s="172"/>
      <c r="IQ122" s="172"/>
      <c r="IR122" s="172"/>
      <c r="IS122" s="172"/>
      <c r="IT122" s="172"/>
      <c r="IU122" s="172"/>
      <c r="IV122" s="172"/>
      <c r="IW122" s="172"/>
      <c r="IX122" s="172"/>
      <c r="IY122" s="172"/>
      <c r="IZ122" s="172"/>
      <c r="JA122" s="172"/>
      <c r="JB122" s="172"/>
      <c r="JC122" s="172"/>
      <c r="JD122" s="172"/>
      <c r="JE122" s="172"/>
      <c r="JF122" s="172"/>
      <c r="JG122" s="172"/>
      <c r="JH122" s="172"/>
      <c r="JI122" s="172"/>
      <c r="JJ122" s="172"/>
      <c r="JK122" s="172"/>
      <c r="JL122" s="172"/>
      <c r="JM122" s="172"/>
      <c r="JN122" s="172"/>
      <c r="JO122" s="172"/>
      <c r="JP122" s="172"/>
      <c r="JQ122" s="172"/>
      <c r="JR122" s="172"/>
      <c r="JS122" s="172"/>
      <c r="JT122" s="172"/>
      <c r="JU122" s="172"/>
      <c r="JV122" s="172"/>
      <c r="JW122" s="172"/>
      <c r="JX122" s="172"/>
      <c r="JY122" s="172"/>
      <c r="JZ122" s="172"/>
      <c r="KA122" s="172"/>
      <c r="KB122" s="172"/>
      <c r="KC122" s="172"/>
      <c r="KD122" s="172"/>
      <c r="KE122" s="172"/>
      <c r="KF122" s="172"/>
      <c r="KG122" s="172"/>
      <c r="KH122" s="172"/>
      <c r="KI122" s="172"/>
      <c r="KJ122" s="172"/>
      <c r="KK122" s="172"/>
      <c r="KL122" s="172"/>
      <c r="KM122" s="172"/>
      <c r="KN122" s="172"/>
      <c r="KO122" s="172"/>
      <c r="KP122" s="172"/>
      <c r="KQ122" s="172"/>
      <c r="KR122" s="172"/>
      <c r="KS122" s="172"/>
      <c r="KT122" s="172"/>
      <c r="KU122" s="172"/>
      <c r="KV122" s="172"/>
      <c r="KW122" s="172"/>
      <c r="KX122" s="172"/>
      <c r="KY122" s="172"/>
      <c r="KZ122" s="172"/>
      <c r="LA122" s="172"/>
      <c r="LB122" s="172"/>
      <c r="LC122" s="172"/>
      <c r="LD122" s="172"/>
      <c r="LE122" s="172"/>
      <c r="LF122" s="172"/>
      <c r="LG122" s="172"/>
      <c r="LH122" s="172"/>
      <c r="LI122" s="172"/>
      <c r="LJ122" s="172"/>
      <c r="LK122" s="172"/>
      <c r="LL122" s="172"/>
      <c r="LM122" s="172"/>
      <c r="LN122" s="172"/>
      <c r="LO122" s="172"/>
      <c r="LP122" s="172"/>
      <c r="LQ122" s="172"/>
      <c r="LR122" s="172"/>
      <c r="LS122" s="172"/>
      <c r="LT122" s="172"/>
      <c r="LU122" s="172"/>
      <c r="LV122" s="172"/>
      <c r="LW122" s="172"/>
      <c r="LX122" s="172"/>
      <c r="LY122" s="172"/>
      <c r="LZ122" s="172"/>
      <c r="MA122" s="172"/>
      <c r="MB122" s="172"/>
      <c r="MC122" s="172"/>
      <c r="MD122" s="172"/>
      <c r="ME122" s="172"/>
      <c r="MF122" s="172"/>
      <c r="MG122" s="172"/>
      <c r="MH122" s="172"/>
      <c r="MI122" s="172"/>
      <c r="MJ122" s="172"/>
      <c r="MK122" s="172"/>
      <c r="ML122" s="172"/>
      <c r="MM122" s="172"/>
      <c r="MN122" s="172"/>
      <c r="MO122" s="172"/>
      <c r="MP122" s="172"/>
      <c r="MQ122" s="172"/>
      <c r="MR122" s="172"/>
      <c r="MS122" s="172"/>
      <c r="MT122" s="172"/>
      <c r="MU122" s="172"/>
      <c r="MV122" s="172"/>
      <c r="MW122" s="172"/>
      <c r="MX122" s="172"/>
      <c r="MY122" s="172"/>
      <c r="MZ122" s="172"/>
      <c r="NA122" s="172"/>
      <c r="NB122" s="172"/>
      <c r="NC122" s="172"/>
      <c r="ND122" s="172"/>
      <c r="NE122" s="172"/>
      <c r="NF122" s="172"/>
      <c r="NG122" s="172"/>
      <c r="NH122" s="172"/>
      <c r="NI122" s="172"/>
      <c r="NJ122" s="172"/>
      <c r="NK122" s="172"/>
      <c r="NL122" s="172"/>
      <c r="NM122" s="172"/>
      <c r="NN122" s="172"/>
      <c r="NO122" s="172"/>
      <c r="NP122" s="172"/>
      <c r="NQ122" s="172"/>
      <c r="NR122" s="172"/>
      <c r="NS122" s="172"/>
      <c r="NT122" s="172"/>
      <c r="NU122" s="172"/>
      <c r="NV122" s="172"/>
      <c r="NW122" s="172"/>
      <c r="NX122" s="172"/>
      <c r="NY122" s="172"/>
      <c r="NZ122" s="172"/>
      <c r="OA122" s="172"/>
      <c r="OB122" s="172"/>
      <c r="OC122" s="172"/>
      <c r="OD122" s="172"/>
      <c r="OE122" s="172"/>
      <c r="OF122" s="172"/>
      <c r="OG122" s="172"/>
      <c r="OH122" s="172"/>
      <c r="OI122" s="172"/>
      <c r="OJ122" s="172"/>
      <c r="OK122" s="172"/>
      <c r="OL122" s="172"/>
      <c r="OM122" s="172"/>
      <c r="ON122" s="172"/>
      <c r="OO122" s="172"/>
      <c r="OP122" s="172"/>
      <c r="OQ122" s="172"/>
      <c r="OR122" s="172"/>
      <c r="OS122" s="172"/>
      <c r="OT122" s="172"/>
      <c r="OU122" s="172"/>
      <c r="OV122" s="172"/>
      <c r="OW122" s="172"/>
      <c r="OX122" s="172"/>
      <c r="OY122" s="172"/>
      <c r="OZ122" s="172"/>
      <c r="PA122" s="172"/>
      <c r="PB122" s="172"/>
      <c r="PC122" s="172"/>
      <c r="PD122" s="172"/>
      <c r="PE122" s="172"/>
      <c r="PF122" s="172"/>
      <c r="PG122" s="172"/>
      <c r="PH122" s="172"/>
      <c r="PI122" s="172"/>
      <c r="PJ122" s="172"/>
      <c r="PK122" s="172"/>
      <c r="PL122" s="172"/>
      <c r="PM122" s="172"/>
      <c r="PN122" s="172"/>
      <c r="PO122" s="172"/>
      <c r="PP122" s="172"/>
      <c r="PQ122" s="172"/>
      <c r="PR122" s="172"/>
      <c r="PS122" s="172"/>
      <c r="PT122" s="172"/>
      <c r="PU122" s="172"/>
      <c r="PV122" s="172"/>
      <c r="PW122" s="172"/>
      <c r="PX122" s="172"/>
      <c r="PY122" s="172"/>
      <c r="PZ122" s="172"/>
      <c r="QA122" s="172"/>
      <c r="QB122" s="172"/>
      <c r="QC122" s="172"/>
      <c r="QD122" s="172"/>
      <c r="QE122" s="172"/>
      <c r="QF122" s="172"/>
      <c r="QG122" s="172"/>
      <c r="QH122" s="172"/>
      <c r="QI122" s="172"/>
      <c r="QJ122" s="172"/>
      <c r="QK122" s="172"/>
      <c r="QL122" s="172"/>
      <c r="QM122" s="172"/>
      <c r="QN122" s="172"/>
      <c r="QO122" s="172"/>
      <c r="QP122" s="172"/>
      <c r="QQ122" s="172"/>
      <c r="QR122" s="172"/>
      <c r="QS122" s="172"/>
      <c r="QT122" s="172"/>
      <c r="QU122" s="172"/>
      <c r="QV122" s="172"/>
      <c r="QW122" s="172"/>
      <c r="QX122" s="172"/>
      <c r="QY122" s="172"/>
      <c r="QZ122" s="172"/>
      <c r="RA122" s="172"/>
      <c r="RB122" s="172"/>
      <c r="RC122" s="172"/>
      <c r="RD122" s="172"/>
      <c r="RE122" s="172"/>
      <c r="RF122" s="172"/>
      <c r="RG122" s="172"/>
      <c r="RH122" s="172"/>
      <c r="RI122" s="172"/>
      <c r="RJ122" s="172"/>
      <c r="RK122" s="172"/>
      <c r="RL122" s="172"/>
      <c r="RM122" s="172"/>
      <c r="RN122" s="172"/>
      <c r="RO122" s="172"/>
      <c r="RP122" s="172"/>
      <c r="RQ122" s="172"/>
      <c r="RR122" s="172"/>
      <c r="RS122" s="172"/>
      <c r="RT122" s="172"/>
      <c r="RU122" s="172"/>
      <c r="RV122" s="172"/>
      <c r="RW122" s="172"/>
      <c r="RX122" s="172"/>
      <c r="RY122" s="172"/>
      <c r="RZ122" s="172"/>
      <c r="SA122" s="172"/>
      <c r="SB122" s="172"/>
      <c r="SC122" s="172"/>
      <c r="SD122" s="172"/>
      <c r="SE122" s="172"/>
      <c r="SF122" s="172"/>
      <c r="SG122" s="172"/>
      <c r="SH122" s="172"/>
      <c r="SI122" s="172"/>
      <c r="SJ122" s="172"/>
      <c r="SK122" s="172"/>
      <c r="SL122" s="172"/>
      <c r="SM122" s="172"/>
      <c r="SN122" s="172"/>
      <c r="SO122" s="172"/>
      <c r="SP122" s="172"/>
      <c r="SQ122" s="172"/>
      <c r="SR122" s="172"/>
      <c r="SS122" s="172"/>
      <c r="ST122" s="172"/>
      <c r="SU122" s="172"/>
      <c r="SV122" s="172"/>
      <c r="SW122" s="172"/>
      <c r="SX122" s="172"/>
      <c r="SY122" s="172"/>
      <c r="SZ122" s="172"/>
      <c r="TA122" s="172"/>
      <c r="TB122" s="172"/>
      <c r="TC122" s="172"/>
      <c r="TD122" s="172"/>
      <c r="TE122" s="172"/>
      <c r="TF122" s="172"/>
      <c r="TG122" s="172"/>
      <c r="TH122" s="172"/>
      <c r="TI122" s="172"/>
      <c r="TJ122" s="172"/>
      <c r="TK122" s="172"/>
      <c r="TL122" s="172"/>
      <c r="TM122" s="172"/>
      <c r="TN122" s="172"/>
      <c r="TO122" s="172"/>
      <c r="TP122" s="172"/>
      <c r="TQ122" s="172"/>
      <c r="TR122" s="172"/>
      <c r="TS122" s="172"/>
      <c r="TT122" s="172"/>
      <c r="TU122" s="172"/>
      <c r="TV122" s="172"/>
      <c r="TW122" s="172"/>
      <c r="TX122" s="172"/>
      <c r="TY122" s="172"/>
      <c r="TZ122" s="172"/>
      <c r="UA122" s="172"/>
      <c r="UB122" s="172"/>
      <c r="UC122" s="172"/>
      <c r="UD122" s="172"/>
      <c r="UE122" s="172"/>
      <c r="UF122" s="172"/>
      <c r="UG122" s="172"/>
      <c r="UH122" s="172"/>
      <c r="UI122" s="172"/>
      <c r="UJ122" s="172"/>
      <c r="UK122" s="172"/>
      <c r="UL122" s="172"/>
      <c r="UM122" s="172"/>
      <c r="UN122" s="172"/>
      <c r="UO122" s="172"/>
      <c r="UP122" s="172"/>
      <c r="UQ122" s="172"/>
      <c r="UR122" s="172"/>
      <c r="US122" s="172"/>
      <c r="UT122" s="172"/>
      <c r="UU122" s="172"/>
      <c r="UV122" s="172"/>
      <c r="UW122" s="172"/>
      <c r="UX122" s="172"/>
      <c r="UY122" s="172"/>
      <c r="UZ122" s="172"/>
      <c r="VA122" s="172"/>
      <c r="VB122" s="172"/>
      <c r="VC122" s="172"/>
      <c r="VD122" s="172"/>
      <c r="VE122" s="172"/>
      <c r="VF122" s="172"/>
      <c r="VG122" s="172"/>
      <c r="VH122" s="172"/>
      <c r="VI122" s="172"/>
      <c r="VJ122" s="172"/>
      <c r="VK122" s="172"/>
      <c r="VL122" s="172"/>
      <c r="VM122" s="172"/>
      <c r="VN122" s="172"/>
      <c r="VO122" s="172"/>
      <c r="VP122" s="172"/>
      <c r="VQ122" s="172"/>
      <c r="VR122" s="172"/>
      <c r="VS122" s="172"/>
      <c r="VT122" s="172"/>
      <c r="VU122" s="172"/>
      <c r="VV122" s="172"/>
      <c r="VW122" s="172"/>
      <c r="VX122" s="172"/>
      <c r="VY122" s="172"/>
      <c r="VZ122" s="172"/>
      <c r="WA122" s="172"/>
      <c r="WB122" s="172"/>
      <c r="WC122" s="172"/>
      <c r="WD122" s="172"/>
      <c r="WE122" s="172"/>
      <c r="WF122" s="172"/>
      <c r="WG122" s="172"/>
      <c r="WH122" s="172"/>
      <c r="WI122" s="172"/>
      <c r="WJ122" s="172"/>
      <c r="WK122" s="172"/>
      <c r="WL122" s="172"/>
      <c r="WM122" s="172"/>
      <c r="WN122" s="172"/>
      <c r="WO122" s="172"/>
      <c r="WP122" s="172"/>
      <c r="WQ122" s="172"/>
      <c r="WR122" s="172"/>
      <c r="WS122" s="172"/>
      <c r="WT122" s="172"/>
      <c r="WU122" s="172"/>
      <c r="WV122" s="172"/>
      <c r="WW122" s="172"/>
      <c r="WX122" s="172"/>
      <c r="WY122" s="172"/>
      <c r="WZ122" s="172"/>
      <c r="XA122" s="172"/>
      <c r="XB122" s="172"/>
      <c r="XC122" s="172"/>
      <c r="XD122" s="172"/>
      <c r="XE122" s="172"/>
      <c r="XF122" s="172"/>
      <c r="XG122" s="172"/>
      <c r="XH122" s="172"/>
      <c r="XI122" s="172"/>
      <c r="XJ122" s="172"/>
      <c r="XK122" s="172"/>
      <c r="XL122" s="172"/>
      <c r="XM122" s="172"/>
      <c r="XN122" s="172"/>
      <c r="XO122" s="172"/>
      <c r="XP122" s="172"/>
      <c r="XQ122" s="172"/>
      <c r="XR122" s="172"/>
      <c r="XS122" s="172"/>
      <c r="XT122" s="172"/>
      <c r="XU122" s="172"/>
      <c r="XV122" s="172"/>
      <c r="XW122" s="172"/>
      <c r="XX122" s="172"/>
      <c r="XY122" s="172"/>
      <c r="XZ122" s="172"/>
      <c r="YA122" s="172"/>
      <c r="YB122" s="172"/>
      <c r="YC122" s="172"/>
      <c r="YD122" s="172"/>
      <c r="YE122" s="172"/>
      <c r="YF122" s="172"/>
      <c r="YG122" s="172"/>
      <c r="YH122" s="172"/>
      <c r="YI122" s="172"/>
      <c r="YJ122" s="172"/>
      <c r="YK122" s="172"/>
      <c r="YL122" s="172"/>
      <c r="YM122" s="172"/>
      <c r="YN122" s="172"/>
      <c r="YO122" s="172"/>
      <c r="YP122" s="172"/>
      <c r="YQ122" s="172"/>
      <c r="YR122" s="172"/>
      <c r="YS122" s="172"/>
      <c r="YT122" s="172"/>
      <c r="YU122" s="172"/>
      <c r="YV122" s="172"/>
      <c r="YW122" s="172"/>
      <c r="YX122" s="172"/>
      <c r="YY122" s="172"/>
      <c r="YZ122" s="172"/>
      <c r="ZA122" s="172"/>
      <c r="ZB122" s="172"/>
      <c r="ZC122" s="172"/>
      <c r="ZD122" s="172"/>
      <c r="ZE122" s="172"/>
      <c r="ZF122" s="172"/>
      <c r="ZG122" s="172"/>
      <c r="ZH122" s="172"/>
      <c r="ZI122" s="172"/>
      <c r="ZJ122" s="172"/>
      <c r="ZK122" s="172"/>
      <c r="ZL122" s="172"/>
      <c r="ZM122" s="172"/>
      <c r="ZN122" s="172"/>
      <c r="ZO122" s="172"/>
      <c r="ZP122" s="172"/>
      <c r="ZQ122" s="172"/>
      <c r="ZR122" s="172"/>
      <c r="ZS122" s="172"/>
      <c r="ZT122" s="172"/>
      <c r="ZU122" s="172"/>
      <c r="ZV122" s="172"/>
      <c r="ZW122" s="172"/>
      <c r="ZX122" s="172"/>
      <c r="ZY122" s="172"/>
      <c r="ZZ122" s="172"/>
      <c r="AAA122" s="172"/>
      <c r="AAB122" s="172"/>
      <c r="AAC122" s="172"/>
      <c r="AAD122" s="172"/>
      <c r="AAE122" s="172"/>
      <c r="AAF122" s="172"/>
      <c r="AAG122" s="172"/>
      <c r="AAH122" s="172"/>
      <c r="AAI122" s="172"/>
      <c r="AAJ122" s="172"/>
      <c r="AAK122" s="172"/>
      <c r="AAL122" s="172"/>
      <c r="AAM122" s="172"/>
      <c r="AAN122" s="172"/>
      <c r="AAO122" s="172"/>
      <c r="AAP122" s="172"/>
      <c r="AAQ122" s="172"/>
      <c r="AAR122" s="172"/>
      <c r="AAS122" s="172"/>
      <c r="AAT122" s="172"/>
      <c r="AAU122" s="172"/>
      <c r="AAV122" s="172"/>
      <c r="AAW122" s="172"/>
      <c r="AAX122" s="172"/>
      <c r="AAY122" s="172"/>
      <c r="AAZ122" s="172"/>
      <c r="ABA122" s="172"/>
      <c r="ABB122" s="172"/>
      <c r="ABC122" s="172"/>
      <c r="ABD122" s="172"/>
      <c r="ABE122" s="172"/>
      <c r="ABF122" s="172"/>
      <c r="ABG122" s="172"/>
      <c r="ABH122" s="172"/>
      <c r="ABI122" s="172"/>
      <c r="ABJ122" s="172"/>
      <c r="ABK122" s="172"/>
      <c r="ABL122" s="172"/>
      <c r="ABM122" s="172"/>
      <c r="ABN122" s="172"/>
      <c r="ABO122" s="172"/>
      <c r="ABP122" s="172"/>
      <c r="ABQ122" s="172"/>
      <c r="ABR122" s="172"/>
      <c r="ABS122" s="172"/>
      <c r="ABT122" s="172"/>
      <c r="ABU122" s="172"/>
      <c r="ABV122" s="172"/>
      <c r="ABW122" s="172"/>
      <c r="ABX122" s="172"/>
      <c r="ABY122" s="172"/>
      <c r="ABZ122" s="172"/>
      <c r="ACA122" s="172"/>
      <c r="ACB122" s="172"/>
      <c r="ACC122" s="172"/>
      <c r="ACD122" s="172"/>
      <c r="ACE122" s="172"/>
      <c r="ACF122" s="172"/>
      <c r="ACG122" s="172"/>
      <c r="ACH122" s="172"/>
      <c r="ACI122" s="172"/>
      <c r="ACJ122" s="172"/>
      <c r="ACK122" s="172"/>
      <c r="ACL122" s="172"/>
      <c r="ACM122" s="172"/>
      <c r="ACN122" s="172"/>
      <c r="ACO122" s="172"/>
      <c r="ACP122" s="172"/>
      <c r="ACQ122" s="172"/>
      <c r="ACR122" s="172"/>
      <c r="ACS122" s="172"/>
      <c r="ACT122" s="172"/>
      <c r="ACU122" s="172"/>
      <c r="ACV122" s="172"/>
      <c r="ACW122" s="172"/>
      <c r="ACX122" s="172"/>
      <c r="ACY122" s="172"/>
      <c r="ACZ122" s="172"/>
      <c r="ADA122" s="172"/>
      <c r="ADB122" s="172"/>
      <c r="ADC122" s="172"/>
      <c r="ADD122" s="172"/>
      <c r="ADE122" s="172"/>
      <c r="ADF122" s="172"/>
      <c r="ADG122" s="172"/>
      <c r="ADH122" s="172"/>
      <c r="ADI122" s="172"/>
      <c r="ADJ122" s="172"/>
      <c r="ADK122" s="172"/>
      <c r="ADL122" s="172"/>
      <c r="ADM122" s="172"/>
      <c r="ADN122" s="172"/>
      <c r="ADO122" s="172"/>
      <c r="ADP122" s="172"/>
      <c r="ADQ122" s="172"/>
      <c r="ADR122" s="172"/>
      <c r="ADS122" s="172"/>
      <c r="ADT122" s="172"/>
      <c r="ADU122" s="172"/>
      <c r="ADV122" s="172"/>
      <c r="ADW122" s="172"/>
      <c r="ADX122" s="172"/>
      <c r="ADY122" s="172"/>
      <c r="ADZ122" s="172"/>
      <c r="AEA122" s="172"/>
      <c r="AEB122" s="172"/>
      <c r="AEC122" s="172"/>
      <c r="AED122" s="172"/>
      <c r="AEE122" s="172"/>
      <c r="AEF122" s="172"/>
      <c r="AEG122" s="172"/>
      <c r="AEH122" s="172"/>
      <c r="AEI122" s="172"/>
      <c r="AEJ122" s="172"/>
      <c r="AEK122" s="172"/>
      <c r="AEL122" s="172"/>
      <c r="AEM122" s="172"/>
      <c r="AEN122" s="172"/>
      <c r="AEO122" s="172"/>
      <c r="AEP122" s="172"/>
      <c r="AEQ122" s="172"/>
      <c r="AER122" s="172"/>
      <c r="AES122" s="172"/>
      <c r="AET122" s="172"/>
      <c r="AEU122" s="172"/>
      <c r="AEV122" s="172"/>
      <c r="AEW122" s="172"/>
      <c r="AEX122" s="172"/>
      <c r="AEY122" s="172"/>
      <c r="AEZ122" s="172"/>
      <c r="AFA122" s="172"/>
      <c r="AFB122" s="172"/>
      <c r="AFC122" s="172"/>
      <c r="AFD122" s="172"/>
      <c r="AFE122" s="172"/>
      <c r="AFF122" s="172"/>
      <c r="AFG122" s="172"/>
      <c r="AFH122" s="172"/>
      <c r="AFI122" s="172"/>
      <c r="AFJ122" s="172"/>
      <c r="AFK122" s="172"/>
      <c r="AFL122" s="172"/>
      <c r="AFM122" s="172"/>
      <c r="AFN122" s="172"/>
      <c r="AFO122" s="172"/>
      <c r="AFP122" s="172"/>
      <c r="AFQ122" s="172"/>
      <c r="AFR122" s="172"/>
      <c r="AFS122" s="172"/>
      <c r="AFT122" s="172"/>
      <c r="AFU122" s="172"/>
      <c r="AFV122" s="172"/>
      <c r="AFW122" s="172"/>
      <c r="AFX122" s="172"/>
      <c r="AFY122" s="172"/>
      <c r="AFZ122" s="172"/>
      <c r="AGA122" s="172"/>
      <c r="AGB122" s="172"/>
      <c r="AGC122" s="172"/>
      <c r="AGD122" s="172"/>
      <c r="AGE122" s="172"/>
      <c r="AGF122" s="172"/>
      <c r="AGG122" s="172"/>
      <c r="AGH122" s="172"/>
      <c r="AGI122" s="172"/>
      <c r="AGJ122" s="172"/>
      <c r="AGK122" s="172"/>
      <c r="AGL122" s="172"/>
      <c r="AGM122" s="172"/>
      <c r="AGN122" s="172"/>
      <c r="AGO122" s="172"/>
      <c r="AGP122" s="172"/>
      <c r="AGQ122" s="172"/>
      <c r="AGR122" s="172"/>
      <c r="AGS122" s="172"/>
      <c r="AGT122" s="172"/>
      <c r="AGU122" s="172"/>
      <c r="AGV122" s="172"/>
      <c r="AGW122" s="172"/>
      <c r="AGX122" s="172"/>
      <c r="AGY122" s="172"/>
      <c r="AGZ122" s="172"/>
      <c r="AHA122" s="172"/>
      <c r="AHB122" s="172"/>
      <c r="AHC122" s="172"/>
      <c r="AHD122" s="172"/>
      <c r="AHE122" s="172"/>
      <c r="AHF122" s="172"/>
      <c r="AHG122" s="172"/>
      <c r="AHH122" s="172"/>
      <c r="AHI122" s="172"/>
      <c r="AHJ122" s="172"/>
      <c r="AHK122" s="172"/>
      <c r="AHL122" s="172"/>
      <c r="AHM122" s="172"/>
      <c r="AHN122" s="172"/>
      <c r="AHO122" s="172"/>
      <c r="AHP122" s="172"/>
      <c r="AHQ122" s="172"/>
      <c r="AHR122" s="172"/>
      <c r="AHS122" s="172"/>
      <c r="AHT122" s="172"/>
      <c r="AHU122" s="172"/>
      <c r="AHV122" s="172"/>
      <c r="AHW122" s="172"/>
      <c r="AHX122" s="172"/>
      <c r="AHY122" s="172"/>
      <c r="AHZ122" s="172"/>
      <c r="AIA122" s="172"/>
      <c r="AIB122" s="172"/>
      <c r="AIC122" s="172"/>
      <c r="AID122" s="172"/>
      <c r="AIE122" s="172"/>
      <c r="AIF122" s="172"/>
      <c r="AIG122" s="172"/>
      <c r="AIH122" s="172"/>
      <c r="AII122" s="172"/>
      <c r="AIJ122" s="172"/>
      <c r="AIK122" s="172"/>
      <c r="AIL122" s="172"/>
      <c r="AIM122" s="172"/>
      <c r="AIN122" s="172"/>
      <c r="AIO122" s="172"/>
      <c r="AIP122" s="172"/>
      <c r="AIQ122" s="172"/>
      <c r="AIR122" s="172"/>
      <c r="AIS122" s="172"/>
      <c r="AIT122" s="172"/>
      <c r="AIU122" s="172"/>
      <c r="AIV122" s="172"/>
      <c r="AIW122" s="172"/>
      <c r="AIX122" s="172"/>
      <c r="AIY122" s="172"/>
      <c r="AIZ122" s="172"/>
      <c r="AJA122" s="172"/>
      <c r="AJB122" s="172"/>
      <c r="AJC122" s="172"/>
      <c r="AJD122" s="172"/>
      <c r="AJE122" s="172"/>
      <c r="AJF122" s="172"/>
      <c r="AJG122" s="172"/>
      <c r="AJH122" s="172"/>
      <c r="AJI122" s="172"/>
      <c r="AJJ122" s="172"/>
      <c r="AJK122" s="172"/>
      <c r="AJL122" s="172"/>
      <c r="AJM122" s="172"/>
      <c r="AJN122" s="172"/>
      <c r="AJO122" s="172"/>
      <c r="AJP122" s="172"/>
      <c r="AJQ122" s="172"/>
      <c r="AJR122" s="172"/>
      <c r="AJS122" s="172"/>
      <c r="AJT122" s="172"/>
      <c r="AJU122" s="172"/>
      <c r="AJV122" s="172"/>
      <c r="AJW122" s="172"/>
      <c r="AJX122" s="172"/>
      <c r="AJY122" s="172"/>
      <c r="AJZ122" s="172"/>
      <c r="AKA122" s="172"/>
      <c r="AKB122" s="172"/>
      <c r="AKC122" s="172"/>
      <c r="AKD122" s="172"/>
      <c r="AKE122" s="172"/>
      <c r="AKF122" s="172"/>
      <c r="AKG122" s="172"/>
      <c r="AKH122" s="172"/>
      <c r="AKI122" s="172"/>
      <c r="AKJ122" s="172"/>
      <c r="AKK122" s="172"/>
      <c r="AKL122" s="172"/>
      <c r="AKM122" s="172"/>
      <c r="AKN122" s="172"/>
      <c r="AKO122" s="172"/>
      <c r="AKP122" s="172"/>
      <c r="AKQ122" s="172"/>
      <c r="AKR122" s="172"/>
      <c r="AKS122" s="172"/>
      <c r="AKT122" s="172"/>
      <c r="AKU122" s="172"/>
      <c r="AKV122" s="172"/>
      <c r="AKW122" s="172"/>
      <c r="AKX122" s="172"/>
      <c r="AKY122" s="172"/>
      <c r="AKZ122" s="172"/>
      <c r="ALA122" s="172"/>
      <c r="ALB122" s="172"/>
      <c r="ALC122" s="172"/>
      <c r="ALD122" s="172"/>
      <c r="ALE122" s="172"/>
      <c r="ALF122" s="172"/>
      <c r="ALG122" s="172"/>
      <c r="ALH122" s="172"/>
      <c r="ALI122" s="172"/>
      <c r="ALJ122" s="172"/>
      <c r="ALK122" s="172"/>
      <c r="ALL122" s="172"/>
      <c r="ALM122" s="172"/>
      <c r="ALN122" s="172"/>
      <c r="ALO122" s="172"/>
      <c r="ALP122" s="172"/>
      <c r="ALQ122" s="172"/>
      <c r="ALR122" s="172"/>
      <c r="ALS122" s="172"/>
      <c r="ALT122" s="172"/>
      <c r="ALU122" s="172"/>
      <c r="ALV122" s="172"/>
      <c r="ALW122" s="172"/>
      <c r="ALX122" s="172"/>
      <c r="ALY122" s="172"/>
      <c r="ALZ122" s="172"/>
      <c r="AMA122" s="172"/>
      <c r="AMB122" s="172"/>
      <c r="AMC122" s="172"/>
      <c r="AMD122" s="172"/>
      <c r="AME122" s="172"/>
      <c r="AMF122" s="172"/>
      <c r="AMG122" s="172"/>
      <c r="AMH122" s="172"/>
      <c r="AMI122" s="172"/>
      <c r="AMJ122" s="172"/>
    </row>
    <row r="123" s="7" customFormat="true" ht="15.75" hidden="false" customHeight="true" outlineLevel="0" collapsed="false">
      <c r="B123" s="11" t="s">
        <v>112</v>
      </c>
      <c r="C123" s="11"/>
      <c r="D123" s="12"/>
      <c r="E123" s="12"/>
      <c r="F123" s="12"/>
      <c r="G123" s="178"/>
      <c r="H123" s="11" t="s">
        <v>172</v>
      </c>
      <c r="I123" s="11"/>
      <c r="J123" s="12"/>
      <c r="K123" s="12"/>
      <c r="L123" s="12"/>
    </row>
    <row r="124" s="7" customFormat="true" ht="15.75" hidden="false" customHeight="true" outlineLevel="0" collapsed="false">
      <c r="B124" s="179" t="s">
        <v>199</v>
      </c>
      <c r="C124" s="179" t="s">
        <v>1</v>
      </c>
      <c r="D124" s="180" t="s">
        <v>2</v>
      </c>
      <c r="E124" s="180" t="s">
        <v>3</v>
      </c>
      <c r="F124" s="16" t="s">
        <v>4</v>
      </c>
      <c r="G124" s="178"/>
      <c r="H124" s="179" t="s">
        <v>1</v>
      </c>
      <c r="I124" s="179"/>
      <c r="J124" s="180" t="s">
        <v>2</v>
      </c>
      <c r="K124" s="180" t="s">
        <v>3</v>
      </c>
      <c r="L124" s="16" t="s">
        <v>4</v>
      </c>
    </row>
    <row r="125" s="7" customFormat="true" ht="15.75" hidden="false" customHeight="true" outlineLevel="0" collapsed="false">
      <c r="B125" s="246" t="s">
        <v>113</v>
      </c>
      <c r="C125" s="247" t="s">
        <v>12</v>
      </c>
      <c r="D125" s="247"/>
      <c r="E125" s="247"/>
      <c r="F125" s="182" t="n">
        <v>2</v>
      </c>
      <c r="G125" s="178"/>
      <c r="H125" s="246" t="s">
        <v>113</v>
      </c>
      <c r="I125" s="247" t="s">
        <v>12</v>
      </c>
      <c r="J125" s="247"/>
      <c r="K125" s="247"/>
      <c r="L125" s="182" t="n">
        <v>2</v>
      </c>
    </row>
    <row r="126" s="7" customFormat="true" ht="15.75" hidden="false" customHeight="true" outlineLevel="0" collapsed="false">
      <c r="B126" s="246"/>
      <c r="C126" s="144" t="s">
        <v>114</v>
      </c>
      <c r="D126" s="183" t="n">
        <v>12</v>
      </c>
      <c r="E126" s="183" t="n">
        <v>1</v>
      </c>
      <c r="F126" s="182"/>
      <c r="G126" s="178"/>
      <c r="H126" s="246"/>
      <c r="I126" s="144" t="s">
        <v>114</v>
      </c>
      <c r="J126" s="183" t="n">
        <v>12</v>
      </c>
      <c r="K126" s="183" t="n">
        <v>1</v>
      </c>
      <c r="L126" s="182"/>
    </row>
    <row r="127" s="7" customFormat="true" ht="15.75" hidden="false" customHeight="true" outlineLevel="0" collapsed="false">
      <c r="B127" s="246"/>
      <c r="C127" s="29" t="s">
        <v>115</v>
      </c>
      <c r="D127" s="183" t="n">
        <v>12</v>
      </c>
      <c r="E127" s="183" t="n">
        <v>1</v>
      </c>
      <c r="F127" s="182"/>
      <c r="G127" s="24"/>
      <c r="H127" s="246"/>
      <c r="I127" s="29" t="s">
        <v>115</v>
      </c>
      <c r="J127" s="183" t="n">
        <v>12</v>
      </c>
      <c r="K127" s="183" t="n">
        <v>1</v>
      </c>
      <c r="L127" s="182"/>
    </row>
    <row r="128" s="7" customFormat="true" ht="15.75" hidden="false" customHeight="true" outlineLevel="0" collapsed="false">
      <c r="B128" s="246"/>
      <c r="C128" s="64" t="s">
        <v>116</v>
      </c>
      <c r="D128" s="183" t="n">
        <v>14</v>
      </c>
      <c r="E128" s="183" t="n">
        <v>1</v>
      </c>
      <c r="F128" s="182"/>
      <c r="G128" s="24"/>
      <c r="H128" s="246"/>
      <c r="I128" s="64" t="s">
        <v>116</v>
      </c>
      <c r="J128" s="183" t="n">
        <v>14</v>
      </c>
      <c r="K128" s="183" t="n">
        <v>1</v>
      </c>
      <c r="L128" s="182"/>
    </row>
    <row r="129" s="7" customFormat="true" ht="15.75" hidden="false" customHeight="true" outlineLevel="0" collapsed="false">
      <c r="B129" s="184" t="s">
        <v>117</v>
      </c>
      <c r="C129" s="92" t="s">
        <v>91</v>
      </c>
      <c r="D129" s="92"/>
      <c r="E129" s="92"/>
      <c r="F129" s="185" t="n">
        <v>5</v>
      </c>
      <c r="G129" s="24"/>
      <c r="H129" s="41" t="s">
        <v>173</v>
      </c>
      <c r="I129" s="92" t="s">
        <v>174</v>
      </c>
      <c r="J129" s="92"/>
      <c r="K129" s="92"/>
      <c r="L129" s="248" t="n">
        <v>2</v>
      </c>
    </row>
    <row r="130" s="7" customFormat="true" ht="15.75" hidden="false" customHeight="true" outlineLevel="0" collapsed="false">
      <c r="B130" s="184"/>
      <c r="C130" s="186" t="s">
        <v>22</v>
      </c>
      <c r="D130" s="133" t="n">
        <v>20</v>
      </c>
      <c r="E130" s="187" t="n">
        <v>2</v>
      </c>
      <c r="F130" s="185"/>
      <c r="G130" s="24"/>
      <c r="H130" s="41"/>
      <c r="I130" s="186" t="s">
        <v>175</v>
      </c>
      <c r="J130" s="133" t="n">
        <v>18</v>
      </c>
      <c r="K130" s="187" t="n">
        <v>1</v>
      </c>
      <c r="L130" s="248"/>
    </row>
    <row r="131" s="7" customFormat="true" ht="15.75" hidden="false" customHeight="true" outlineLevel="0" collapsed="false">
      <c r="B131" s="184"/>
      <c r="C131" s="188" t="s">
        <v>119</v>
      </c>
      <c r="D131" s="249" t="n">
        <v>36</v>
      </c>
      <c r="E131" s="187" t="n">
        <v>3</v>
      </c>
      <c r="F131" s="185"/>
      <c r="G131" s="24"/>
      <c r="H131" s="41"/>
      <c r="I131" s="186" t="s">
        <v>176</v>
      </c>
      <c r="J131" s="133" t="n">
        <v>20</v>
      </c>
      <c r="K131" s="187" t="n">
        <v>1</v>
      </c>
      <c r="L131" s="248"/>
    </row>
    <row r="132" s="7" customFormat="true" ht="15.75" hidden="false" customHeight="true" outlineLevel="0" collapsed="false">
      <c r="B132" s="184"/>
      <c r="C132" s="186" t="s">
        <v>120</v>
      </c>
      <c r="D132" s="190" t="n">
        <v>45</v>
      </c>
      <c r="E132" s="187" t="n">
        <v>4</v>
      </c>
      <c r="F132" s="185"/>
      <c r="G132" s="24"/>
      <c r="H132" s="165" t="s">
        <v>177</v>
      </c>
      <c r="I132" s="92" t="s">
        <v>157</v>
      </c>
      <c r="J132" s="92"/>
      <c r="K132" s="92"/>
      <c r="L132" s="248" t="n">
        <v>2</v>
      </c>
    </row>
    <row r="133" s="7" customFormat="true" ht="15.75" hidden="false" customHeight="true" outlineLevel="0" collapsed="false">
      <c r="B133" s="41" t="s">
        <v>121</v>
      </c>
      <c r="C133" s="92" t="s">
        <v>74</v>
      </c>
      <c r="D133" s="92"/>
      <c r="E133" s="92"/>
      <c r="F133" s="185" t="n">
        <v>1</v>
      </c>
      <c r="G133" s="24"/>
      <c r="H133" s="165"/>
      <c r="I133" s="250" t="s">
        <v>178</v>
      </c>
      <c r="J133" s="251" t="n">
        <v>18</v>
      </c>
      <c r="K133" s="187" t="n">
        <v>2</v>
      </c>
      <c r="L133" s="248"/>
    </row>
    <row r="134" s="7" customFormat="true" ht="15.75" hidden="false" customHeight="true" outlineLevel="0" collapsed="false">
      <c r="B134" s="41"/>
      <c r="C134" s="186" t="s">
        <v>122</v>
      </c>
      <c r="D134" s="189" t="n">
        <v>20</v>
      </c>
      <c r="E134" s="187" t="n">
        <v>1</v>
      </c>
      <c r="F134" s="185"/>
      <c r="G134" s="24"/>
      <c r="H134" s="165"/>
      <c r="I134" s="234" t="s">
        <v>179</v>
      </c>
      <c r="J134" s="252" t="n">
        <v>34</v>
      </c>
      <c r="K134" s="187" t="n">
        <v>3</v>
      </c>
      <c r="L134" s="248"/>
    </row>
    <row r="135" s="7" customFormat="true" ht="15.75" hidden="false" customHeight="true" outlineLevel="0" collapsed="false">
      <c r="B135" s="41"/>
      <c r="C135" s="186" t="s">
        <v>123</v>
      </c>
      <c r="D135" s="133" t="n">
        <v>14</v>
      </c>
      <c r="E135" s="187" t="n">
        <v>1</v>
      </c>
      <c r="F135" s="185"/>
      <c r="G135" s="24"/>
      <c r="H135" s="41" t="s">
        <v>180</v>
      </c>
      <c r="I135" s="92" t="s">
        <v>160</v>
      </c>
      <c r="J135" s="92"/>
      <c r="K135" s="92"/>
      <c r="L135" s="43" t="n">
        <v>3</v>
      </c>
    </row>
    <row r="136" s="196" customFormat="true" ht="15.75" hidden="false" customHeight="true" outlineLevel="0" collapsed="false">
      <c r="A136" s="7"/>
      <c r="B136" s="41" t="s">
        <v>124</v>
      </c>
      <c r="C136" s="92" t="s">
        <v>74</v>
      </c>
      <c r="D136" s="92"/>
      <c r="E136" s="92"/>
      <c r="F136" s="43" t="n">
        <v>2</v>
      </c>
      <c r="G136" s="24"/>
      <c r="H136" s="41"/>
      <c r="I136" s="253" t="s">
        <v>181</v>
      </c>
      <c r="J136" s="133" t="n">
        <v>34</v>
      </c>
      <c r="K136" s="187" t="n">
        <v>1</v>
      </c>
      <c r="L136" s="43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  <c r="KS136" s="7"/>
      <c r="KT136" s="7"/>
      <c r="KU136" s="7"/>
      <c r="KV136" s="7"/>
      <c r="KW136" s="7"/>
      <c r="KX136" s="7"/>
      <c r="KY136" s="7"/>
      <c r="KZ136" s="7"/>
      <c r="LA136" s="7"/>
      <c r="LB136" s="7"/>
      <c r="LC136" s="7"/>
      <c r="LD136" s="7"/>
      <c r="LE136" s="7"/>
      <c r="LF136" s="7"/>
      <c r="LG136" s="7"/>
      <c r="LH136" s="7"/>
      <c r="LI136" s="7"/>
      <c r="LJ136" s="7"/>
      <c r="LK136" s="7"/>
      <c r="LL136" s="7"/>
      <c r="LM136" s="7"/>
      <c r="LN136" s="7"/>
      <c r="LO136" s="7"/>
      <c r="LP136" s="7"/>
      <c r="LQ136" s="7"/>
      <c r="LR136" s="7"/>
      <c r="LS136" s="7"/>
      <c r="LT136" s="7"/>
      <c r="LU136" s="7"/>
      <c r="LV136" s="7"/>
      <c r="LW136" s="7"/>
      <c r="LX136" s="7"/>
      <c r="LY136" s="7"/>
      <c r="LZ136" s="7"/>
      <c r="MA136" s="7"/>
      <c r="MB136" s="7"/>
      <c r="MC136" s="7"/>
      <c r="MD136" s="7"/>
      <c r="ME136" s="7"/>
      <c r="MF136" s="7"/>
      <c r="MG136" s="7"/>
      <c r="MH136" s="7"/>
      <c r="MI136" s="7"/>
      <c r="MJ136" s="7"/>
      <c r="MK136" s="7"/>
      <c r="ML136" s="7"/>
      <c r="MM136" s="7"/>
      <c r="MN136" s="7"/>
      <c r="MO136" s="7"/>
      <c r="MP136" s="7"/>
      <c r="MQ136" s="7"/>
      <c r="MR136" s="7"/>
      <c r="MS136" s="7"/>
      <c r="MT136" s="7"/>
      <c r="MU136" s="7"/>
      <c r="MV136" s="7"/>
      <c r="MW136" s="7"/>
      <c r="MX136" s="7"/>
      <c r="MY136" s="7"/>
      <c r="MZ136" s="7"/>
      <c r="NA136" s="7"/>
      <c r="NB136" s="7"/>
      <c r="NC136" s="7"/>
      <c r="ND136" s="7"/>
      <c r="NE136" s="7"/>
      <c r="NF136" s="7"/>
      <c r="NG136" s="7"/>
      <c r="NH136" s="7"/>
      <c r="NI136" s="7"/>
      <c r="NJ136" s="7"/>
      <c r="NK136" s="7"/>
      <c r="NL136" s="7"/>
      <c r="NM136" s="7"/>
      <c r="NN136" s="7"/>
      <c r="NO136" s="7"/>
      <c r="NP136" s="7"/>
      <c r="NQ136" s="7"/>
      <c r="NR136" s="7"/>
      <c r="NS136" s="7"/>
      <c r="NT136" s="7"/>
      <c r="NU136" s="7"/>
      <c r="NV136" s="7"/>
      <c r="NW136" s="7"/>
      <c r="NX136" s="7"/>
      <c r="NY136" s="7"/>
      <c r="NZ136" s="7"/>
      <c r="OA136" s="7"/>
      <c r="OB136" s="7"/>
      <c r="OC136" s="7"/>
      <c r="OD136" s="7"/>
      <c r="OE136" s="7"/>
      <c r="OF136" s="7"/>
      <c r="OG136" s="7"/>
      <c r="OH136" s="7"/>
      <c r="OI136" s="7"/>
      <c r="OJ136" s="7"/>
      <c r="OK136" s="7"/>
      <c r="OL136" s="7"/>
      <c r="OM136" s="7"/>
      <c r="ON136" s="7"/>
      <c r="OO136" s="7"/>
      <c r="OP136" s="7"/>
      <c r="OQ136" s="7"/>
      <c r="OR136" s="7"/>
      <c r="OS136" s="7"/>
      <c r="OT136" s="7"/>
      <c r="OU136" s="7"/>
      <c r="OV136" s="7"/>
      <c r="OW136" s="7"/>
      <c r="OX136" s="7"/>
      <c r="OY136" s="7"/>
      <c r="OZ136" s="7"/>
      <c r="PA136" s="7"/>
      <c r="PB136" s="7"/>
      <c r="PC136" s="7"/>
      <c r="PD136" s="7"/>
      <c r="PE136" s="7"/>
      <c r="PF136" s="7"/>
      <c r="PG136" s="7"/>
      <c r="PH136" s="7"/>
      <c r="PI136" s="7"/>
      <c r="PJ136" s="7"/>
      <c r="PK136" s="7"/>
      <c r="PL136" s="7"/>
      <c r="PM136" s="7"/>
      <c r="PN136" s="7"/>
      <c r="PO136" s="7"/>
      <c r="PP136" s="7"/>
      <c r="PQ136" s="7"/>
      <c r="PR136" s="7"/>
      <c r="PS136" s="7"/>
      <c r="PT136" s="7"/>
      <c r="PU136" s="7"/>
      <c r="PV136" s="7"/>
      <c r="PW136" s="7"/>
      <c r="PX136" s="7"/>
      <c r="PY136" s="7"/>
      <c r="PZ136" s="7"/>
      <c r="QA136" s="7"/>
      <c r="QB136" s="7"/>
      <c r="QC136" s="7"/>
      <c r="QD136" s="7"/>
      <c r="QE136" s="7"/>
      <c r="QF136" s="7"/>
      <c r="QG136" s="7"/>
      <c r="QH136" s="7"/>
      <c r="QI136" s="7"/>
      <c r="QJ136" s="7"/>
      <c r="QK136" s="7"/>
      <c r="QL136" s="7"/>
      <c r="QM136" s="7"/>
      <c r="QN136" s="7"/>
      <c r="QO136" s="7"/>
      <c r="QP136" s="7"/>
      <c r="QQ136" s="7"/>
      <c r="QR136" s="7"/>
      <c r="QS136" s="7"/>
      <c r="QT136" s="7"/>
      <c r="QU136" s="7"/>
      <c r="QV136" s="7"/>
      <c r="QW136" s="7"/>
      <c r="QX136" s="7"/>
      <c r="QY136" s="7"/>
      <c r="QZ136" s="7"/>
      <c r="RA136" s="7"/>
      <c r="RB136" s="7"/>
      <c r="RC136" s="7"/>
      <c r="RD136" s="7"/>
      <c r="RE136" s="7"/>
      <c r="RF136" s="7"/>
      <c r="RG136" s="7"/>
      <c r="RH136" s="7"/>
      <c r="RI136" s="7"/>
      <c r="RJ136" s="7"/>
      <c r="RK136" s="7"/>
      <c r="RL136" s="7"/>
      <c r="RM136" s="7"/>
      <c r="RN136" s="7"/>
      <c r="RO136" s="7"/>
      <c r="RP136" s="7"/>
      <c r="RQ136" s="7"/>
      <c r="RR136" s="7"/>
      <c r="RS136" s="7"/>
      <c r="RT136" s="7"/>
      <c r="RU136" s="7"/>
      <c r="RV136" s="7"/>
      <c r="RW136" s="7"/>
      <c r="RX136" s="7"/>
      <c r="RY136" s="7"/>
      <c r="RZ136" s="7"/>
      <c r="SA136" s="7"/>
      <c r="SB136" s="7"/>
      <c r="SC136" s="7"/>
      <c r="SD136" s="7"/>
      <c r="SE136" s="7"/>
      <c r="SF136" s="7"/>
      <c r="SG136" s="7"/>
      <c r="SH136" s="7"/>
      <c r="SI136" s="7"/>
      <c r="SJ136" s="7"/>
      <c r="SK136" s="7"/>
      <c r="SL136" s="7"/>
      <c r="SM136" s="7"/>
      <c r="SN136" s="7"/>
      <c r="SO136" s="7"/>
      <c r="SP136" s="7"/>
      <c r="SQ136" s="7"/>
      <c r="SR136" s="7"/>
      <c r="SS136" s="7"/>
      <c r="ST136" s="7"/>
      <c r="SU136" s="7"/>
      <c r="SV136" s="7"/>
      <c r="SW136" s="7"/>
      <c r="SX136" s="7"/>
      <c r="SY136" s="7"/>
      <c r="SZ136" s="7"/>
      <c r="TA136" s="7"/>
      <c r="TB136" s="7"/>
      <c r="TC136" s="7"/>
      <c r="TD136" s="7"/>
      <c r="TE136" s="7"/>
      <c r="TF136" s="7"/>
      <c r="TG136" s="7"/>
      <c r="TH136" s="7"/>
      <c r="TI136" s="7"/>
      <c r="TJ136" s="7"/>
      <c r="TK136" s="7"/>
      <c r="TL136" s="7"/>
      <c r="TM136" s="7"/>
      <c r="TN136" s="7"/>
      <c r="TO136" s="7"/>
      <c r="TP136" s="7"/>
      <c r="TQ136" s="7"/>
      <c r="TR136" s="7"/>
      <c r="TS136" s="7"/>
      <c r="TT136" s="7"/>
      <c r="TU136" s="7"/>
      <c r="TV136" s="7"/>
      <c r="TW136" s="7"/>
      <c r="TX136" s="7"/>
      <c r="TY136" s="7"/>
      <c r="TZ136" s="7"/>
      <c r="UA136" s="7"/>
      <c r="UB136" s="7"/>
      <c r="UC136" s="7"/>
      <c r="UD136" s="7"/>
      <c r="UE136" s="7"/>
      <c r="UF136" s="7"/>
      <c r="UG136" s="7"/>
      <c r="UH136" s="7"/>
      <c r="UI136" s="7"/>
      <c r="UJ136" s="7"/>
      <c r="UK136" s="7"/>
      <c r="UL136" s="7"/>
      <c r="UM136" s="7"/>
      <c r="UN136" s="7"/>
      <c r="UO136" s="7"/>
      <c r="UP136" s="7"/>
      <c r="UQ136" s="7"/>
      <c r="UR136" s="7"/>
      <c r="US136" s="7"/>
      <c r="UT136" s="7"/>
      <c r="UU136" s="7"/>
      <c r="UV136" s="7"/>
      <c r="UW136" s="7"/>
      <c r="UX136" s="7"/>
      <c r="UY136" s="7"/>
      <c r="UZ136" s="7"/>
      <c r="VA136" s="7"/>
      <c r="VB136" s="7"/>
      <c r="VC136" s="7"/>
      <c r="VD136" s="7"/>
      <c r="VE136" s="7"/>
      <c r="VF136" s="7"/>
      <c r="VG136" s="7"/>
      <c r="VH136" s="7"/>
      <c r="VI136" s="7"/>
      <c r="VJ136" s="7"/>
      <c r="VK136" s="7"/>
      <c r="VL136" s="7"/>
      <c r="VM136" s="7"/>
      <c r="VN136" s="7"/>
      <c r="VO136" s="7"/>
      <c r="VP136" s="7"/>
      <c r="VQ136" s="7"/>
      <c r="VR136" s="7"/>
      <c r="VS136" s="7"/>
      <c r="VT136" s="7"/>
      <c r="VU136" s="7"/>
      <c r="VV136" s="7"/>
      <c r="VW136" s="7"/>
      <c r="VX136" s="7"/>
      <c r="VY136" s="7"/>
      <c r="VZ136" s="7"/>
      <c r="WA136" s="7"/>
      <c r="WB136" s="7"/>
      <c r="WC136" s="7"/>
      <c r="WD136" s="7"/>
      <c r="WE136" s="7"/>
      <c r="WF136" s="7"/>
      <c r="WG136" s="7"/>
      <c r="WH136" s="7"/>
      <c r="WI136" s="7"/>
      <c r="WJ136" s="7"/>
      <c r="WK136" s="7"/>
      <c r="WL136" s="7"/>
      <c r="WM136" s="7"/>
      <c r="WN136" s="7"/>
      <c r="WO136" s="7"/>
      <c r="WP136" s="7"/>
      <c r="WQ136" s="7"/>
      <c r="WR136" s="7"/>
      <c r="WS136" s="7"/>
      <c r="WT136" s="7"/>
      <c r="WU136" s="7"/>
      <c r="WV136" s="7"/>
      <c r="WW136" s="7"/>
      <c r="WX136" s="7"/>
      <c r="WY136" s="7"/>
      <c r="WZ136" s="7"/>
      <c r="XA136" s="7"/>
      <c r="XB136" s="7"/>
      <c r="XC136" s="7"/>
      <c r="XD136" s="7"/>
      <c r="XE136" s="7"/>
      <c r="XF136" s="7"/>
      <c r="XG136" s="7"/>
      <c r="XH136" s="7"/>
      <c r="XI136" s="7"/>
      <c r="XJ136" s="7"/>
      <c r="XK136" s="7"/>
      <c r="XL136" s="7"/>
      <c r="XM136" s="7"/>
      <c r="XN136" s="7"/>
      <c r="XO136" s="7"/>
      <c r="XP136" s="7"/>
      <c r="XQ136" s="7"/>
      <c r="XR136" s="7"/>
      <c r="XS136" s="7"/>
      <c r="XT136" s="7"/>
      <c r="XU136" s="7"/>
      <c r="XV136" s="7"/>
      <c r="XW136" s="7"/>
      <c r="XX136" s="7"/>
      <c r="XY136" s="7"/>
      <c r="XZ136" s="7"/>
      <c r="YA136" s="7"/>
      <c r="YB136" s="7"/>
      <c r="YC136" s="7"/>
      <c r="YD136" s="7"/>
      <c r="YE136" s="7"/>
      <c r="YF136" s="7"/>
      <c r="YG136" s="7"/>
      <c r="YH136" s="7"/>
      <c r="YI136" s="7"/>
      <c r="YJ136" s="7"/>
      <c r="YK136" s="7"/>
      <c r="YL136" s="7"/>
      <c r="YM136" s="7"/>
      <c r="YN136" s="7"/>
      <c r="YO136" s="7"/>
      <c r="YP136" s="7"/>
      <c r="YQ136" s="7"/>
      <c r="YR136" s="7"/>
      <c r="YS136" s="7"/>
      <c r="YT136" s="7"/>
      <c r="YU136" s="7"/>
      <c r="YV136" s="7"/>
      <c r="YW136" s="7"/>
      <c r="YX136" s="7"/>
      <c r="YY136" s="7"/>
      <c r="YZ136" s="7"/>
      <c r="ZA136" s="7"/>
      <c r="ZB136" s="7"/>
      <c r="ZC136" s="7"/>
      <c r="ZD136" s="7"/>
      <c r="ZE136" s="7"/>
      <c r="ZF136" s="7"/>
      <c r="ZG136" s="7"/>
      <c r="ZH136" s="7"/>
      <c r="ZI136" s="7"/>
      <c r="ZJ136" s="7"/>
      <c r="ZK136" s="7"/>
      <c r="ZL136" s="7"/>
      <c r="ZM136" s="7"/>
      <c r="ZN136" s="7"/>
      <c r="ZO136" s="7"/>
      <c r="ZP136" s="7"/>
      <c r="ZQ136" s="7"/>
      <c r="ZR136" s="7"/>
      <c r="ZS136" s="7"/>
      <c r="ZT136" s="7"/>
      <c r="ZU136" s="7"/>
      <c r="ZV136" s="7"/>
      <c r="ZW136" s="7"/>
      <c r="ZX136" s="7"/>
      <c r="ZY136" s="7"/>
      <c r="ZZ136" s="7"/>
      <c r="AAA136" s="7"/>
      <c r="AAB136" s="7"/>
      <c r="AAC136" s="7"/>
      <c r="AAD136" s="7"/>
      <c r="AAE136" s="7"/>
      <c r="AAF136" s="7"/>
      <c r="AAG136" s="7"/>
      <c r="AAH136" s="7"/>
      <c r="AAI136" s="7"/>
      <c r="AAJ136" s="7"/>
      <c r="AAK136" s="7"/>
      <c r="AAL136" s="7"/>
      <c r="AAM136" s="7"/>
      <c r="AAN136" s="7"/>
      <c r="AAO136" s="7"/>
      <c r="AAP136" s="7"/>
      <c r="AAQ136" s="7"/>
      <c r="AAR136" s="7"/>
      <c r="AAS136" s="7"/>
      <c r="AAT136" s="7"/>
      <c r="AAU136" s="7"/>
      <c r="AAV136" s="7"/>
      <c r="AAW136" s="7"/>
      <c r="AAX136" s="7"/>
      <c r="AAY136" s="7"/>
      <c r="AAZ136" s="7"/>
      <c r="ABA136" s="7"/>
      <c r="ABB136" s="7"/>
      <c r="ABC136" s="7"/>
      <c r="ABD136" s="7"/>
      <c r="ABE136" s="7"/>
      <c r="ABF136" s="7"/>
      <c r="ABG136" s="7"/>
      <c r="ABH136" s="7"/>
      <c r="ABI136" s="7"/>
      <c r="ABJ136" s="7"/>
      <c r="ABK136" s="7"/>
      <c r="ABL136" s="7"/>
      <c r="ABM136" s="7"/>
      <c r="ABN136" s="7"/>
      <c r="ABO136" s="7"/>
      <c r="ABP136" s="7"/>
      <c r="ABQ136" s="7"/>
      <c r="ABR136" s="7"/>
      <c r="ABS136" s="7"/>
      <c r="ABT136" s="7"/>
      <c r="ABU136" s="7"/>
      <c r="ABV136" s="7"/>
      <c r="ABW136" s="7"/>
      <c r="ABX136" s="7"/>
      <c r="ABY136" s="7"/>
      <c r="ABZ136" s="7"/>
      <c r="ACA136" s="7"/>
      <c r="ACB136" s="7"/>
      <c r="ACC136" s="7"/>
      <c r="ACD136" s="7"/>
      <c r="ACE136" s="7"/>
      <c r="ACF136" s="7"/>
      <c r="ACG136" s="7"/>
      <c r="ACH136" s="7"/>
      <c r="ACI136" s="7"/>
      <c r="ACJ136" s="7"/>
      <c r="ACK136" s="7"/>
      <c r="ACL136" s="7"/>
      <c r="ACM136" s="7"/>
      <c r="ACN136" s="7"/>
      <c r="ACO136" s="7"/>
      <c r="ACP136" s="7"/>
      <c r="ACQ136" s="7"/>
      <c r="ACR136" s="7"/>
      <c r="ACS136" s="7"/>
      <c r="ACT136" s="7"/>
      <c r="ACU136" s="7"/>
      <c r="ACV136" s="7"/>
      <c r="ACW136" s="7"/>
      <c r="ACX136" s="7"/>
      <c r="ACY136" s="7"/>
      <c r="ACZ136" s="7"/>
      <c r="ADA136" s="7"/>
      <c r="ADB136" s="7"/>
      <c r="ADC136" s="7"/>
      <c r="ADD136" s="7"/>
      <c r="ADE136" s="7"/>
      <c r="ADF136" s="7"/>
      <c r="ADG136" s="7"/>
      <c r="ADH136" s="7"/>
      <c r="ADI136" s="7"/>
      <c r="ADJ136" s="7"/>
      <c r="ADK136" s="7"/>
      <c r="ADL136" s="7"/>
      <c r="ADM136" s="7"/>
      <c r="ADN136" s="7"/>
      <c r="ADO136" s="7"/>
      <c r="ADP136" s="7"/>
      <c r="ADQ136" s="7"/>
      <c r="ADR136" s="7"/>
      <c r="ADS136" s="7"/>
      <c r="ADT136" s="7"/>
      <c r="ADU136" s="7"/>
      <c r="ADV136" s="7"/>
      <c r="ADW136" s="7"/>
      <c r="ADX136" s="7"/>
      <c r="ADY136" s="7"/>
      <c r="ADZ136" s="7"/>
      <c r="AEA136" s="7"/>
      <c r="AEB136" s="7"/>
      <c r="AEC136" s="7"/>
      <c r="AED136" s="7"/>
      <c r="AEE136" s="7"/>
      <c r="AEF136" s="7"/>
      <c r="AEG136" s="7"/>
      <c r="AEH136" s="7"/>
      <c r="AEI136" s="7"/>
      <c r="AEJ136" s="7"/>
      <c r="AEK136" s="7"/>
      <c r="AEL136" s="7"/>
      <c r="AEM136" s="7"/>
      <c r="AEN136" s="7"/>
      <c r="AEO136" s="7"/>
      <c r="AEP136" s="7"/>
      <c r="AEQ136" s="7"/>
      <c r="AER136" s="7"/>
      <c r="AES136" s="7"/>
      <c r="AET136" s="7"/>
      <c r="AEU136" s="7"/>
      <c r="AEV136" s="7"/>
      <c r="AEW136" s="7"/>
      <c r="AEX136" s="7"/>
      <c r="AEY136" s="7"/>
      <c r="AEZ136" s="7"/>
      <c r="AFA136" s="7"/>
      <c r="AFB136" s="7"/>
      <c r="AFC136" s="7"/>
      <c r="AFD136" s="7"/>
      <c r="AFE136" s="7"/>
      <c r="AFF136" s="7"/>
      <c r="AFG136" s="7"/>
      <c r="AFH136" s="7"/>
      <c r="AFI136" s="7"/>
      <c r="AFJ136" s="7"/>
      <c r="AFK136" s="7"/>
      <c r="AFL136" s="7"/>
      <c r="AFM136" s="7"/>
      <c r="AFN136" s="7"/>
      <c r="AFO136" s="7"/>
      <c r="AFP136" s="7"/>
      <c r="AFQ136" s="7"/>
      <c r="AFR136" s="7"/>
      <c r="AFS136" s="7"/>
      <c r="AFT136" s="7"/>
      <c r="AFU136" s="7"/>
      <c r="AFV136" s="7"/>
      <c r="AFW136" s="7"/>
      <c r="AFX136" s="7"/>
      <c r="AFY136" s="7"/>
      <c r="AFZ136" s="7"/>
      <c r="AGA136" s="7"/>
      <c r="AGB136" s="7"/>
      <c r="AGC136" s="7"/>
      <c r="AGD136" s="7"/>
      <c r="AGE136" s="7"/>
      <c r="AGF136" s="7"/>
      <c r="AGG136" s="7"/>
      <c r="AGH136" s="7"/>
      <c r="AGI136" s="7"/>
      <c r="AGJ136" s="7"/>
      <c r="AGK136" s="7"/>
      <c r="AGL136" s="7"/>
      <c r="AGM136" s="7"/>
      <c r="AGN136" s="7"/>
      <c r="AGO136" s="7"/>
      <c r="AGP136" s="7"/>
      <c r="AGQ136" s="7"/>
      <c r="AGR136" s="7"/>
      <c r="AGS136" s="7"/>
      <c r="AGT136" s="7"/>
      <c r="AGU136" s="7"/>
      <c r="AGV136" s="7"/>
      <c r="AGW136" s="7"/>
      <c r="AGX136" s="7"/>
      <c r="AGY136" s="7"/>
      <c r="AGZ136" s="7"/>
      <c r="AHA136" s="7"/>
      <c r="AHB136" s="7"/>
      <c r="AHC136" s="7"/>
      <c r="AHD136" s="7"/>
      <c r="AHE136" s="7"/>
      <c r="AHF136" s="7"/>
      <c r="AHG136" s="7"/>
      <c r="AHH136" s="7"/>
      <c r="AHI136" s="7"/>
      <c r="AHJ136" s="7"/>
      <c r="AHK136" s="7"/>
      <c r="AHL136" s="7"/>
      <c r="AHM136" s="7"/>
      <c r="AHN136" s="7"/>
      <c r="AHO136" s="7"/>
      <c r="AHP136" s="7"/>
      <c r="AHQ136" s="7"/>
      <c r="AHR136" s="7"/>
      <c r="AHS136" s="7"/>
      <c r="AHT136" s="7"/>
      <c r="AHU136" s="7"/>
      <c r="AHV136" s="7"/>
      <c r="AHW136" s="7"/>
      <c r="AHX136" s="7"/>
      <c r="AHY136" s="7"/>
      <c r="AHZ136" s="7"/>
      <c r="AIA136" s="7"/>
      <c r="AIB136" s="7"/>
      <c r="AIC136" s="7"/>
      <c r="AID136" s="7"/>
      <c r="AIE136" s="7"/>
      <c r="AIF136" s="7"/>
      <c r="AIG136" s="7"/>
      <c r="AIH136" s="7"/>
      <c r="AII136" s="7"/>
      <c r="AIJ136" s="7"/>
      <c r="AIK136" s="7"/>
      <c r="AIL136" s="7"/>
      <c r="AIM136" s="7"/>
      <c r="AIN136" s="7"/>
      <c r="AIO136" s="7"/>
      <c r="AIP136" s="7"/>
      <c r="AIQ136" s="7"/>
      <c r="AIR136" s="7"/>
      <c r="AIS136" s="7"/>
      <c r="AIT136" s="7"/>
      <c r="AIU136" s="7"/>
      <c r="AIV136" s="7"/>
      <c r="AIW136" s="7"/>
      <c r="AIX136" s="7"/>
      <c r="AIY136" s="7"/>
      <c r="AIZ136" s="7"/>
      <c r="AJA136" s="7"/>
      <c r="AJB136" s="7"/>
      <c r="AJC136" s="7"/>
      <c r="AJD136" s="7"/>
      <c r="AJE136" s="7"/>
      <c r="AJF136" s="7"/>
      <c r="AJG136" s="7"/>
      <c r="AJH136" s="7"/>
      <c r="AJI136" s="7"/>
      <c r="AJJ136" s="7"/>
      <c r="AJK136" s="7"/>
      <c r="AJL136" s="7"/>
      <c r="AJM136" s="7"/>
      <c r="AJN136" s="7"/>
      <c r="AJO136" s="7"/>
      <c r="AJP136" s="7"/>
      <c r="AJQ136" s="7"/>
      <c r="AJR136" s="7"/>
      <c r="AJS136" s="7"/>
      <c r="AJT136" s="7"/>
      <c r="AJU136" s="7"/>
      <c r="AJV136" s="7"/>
      <c r="AJW136" s="7"/>
      <c r="AJX136" s="7"/>
      <c r="AJY136" s="7"/>
      <c r="AJZ136" s="7"/>
      <c r="AKA136" s="7"/>
      <c r="AKB136" s="7"/>
      <c r="AKC136" s="7"/>
      <c r="AKD136" s="7"/>
      <c r="AKE136" s="7"/>
      <c r="AKF136" s="7"/>
      <c r="AKG136" s="7"/>
      <c r="AKH136" s="7"/>
      <c r="AKI136" s="7"/>
      <c r="AKJ136" s="7"/>
      <c r="AKK136" s="7"/>
      <c r="AKL136" s="7"/>
      <c r="AKM136" s="7"/>
      <c r="AKN136" s="7"/>
      <c r="AKO136" s="7"/>
      <c r="AKP136" s="7"/>
      <c r="AKQ136" s="7"/>
      <c r="AKR136" s="7"/>
      <c r="AKS136" s="7"/>
      <c r="AKT136" s="7"/>
      <c r="AKU136" s="7"/>
      <c r="AKV136" s="7"/>
      <c r="AKW136" s="7"/>
      <c r="AKX136" s="7"/>
      <c r="AKY136" s="7"/>
      <c r="AKZ136" s="7"/>
      <c r="ALA136" s="7"/>
      <c r="ALB136" s="7"/>
      <c r="ALC136" s="7"/>
      <c r="ALD136" s="7"/>
      <c r="ALE136" s="7"/>
      <c r="ALF136" s="7"/>
      <c r="ALG136" s="7"/>
      <c r="ALH136" s="7"/>
      <c r="ALI136" s="7"/>
      <c r="ALJ136" s="7"/>
      <c r="ALK136" s="7"/>
      <c r="ALL136" s="7"/>
      <c r="ALM136" s="7"/>
      <c r="ALN136" s="7"/>
      <c r="ALO136" s="7"/>
      <c r="ALP136" s="7"/>
      <c r="ALQ136" s="7"/>
      <c r="ALR136" s="7"/>
      <c r="ALS136" s="7"/>
      <c r="ALT136" s="7"/>
      <c r="ALU136" s="7"/>
      <c r="ALV136" s="7"/>
      <c r="ALW136" s="7"/>
      <c r="ALX136" s="7"/>
      <c r="ALY136" s="7"/>
      <c r="ALZ136" s="7"/>
      <c r="AMA136" s="7"/>
      <c r="AMB136" s="7"/>
      <c r="AMC136" s="7"/>
      <c r="AMD136" s="7"/>
      <c r="AME136" s="7"/>
      <c r="AMF136" s="7"/>
      <c r="AMG136" s="7"/>
      <c r="AMH136" s="7"/>
      <c r="AMI136" s="7"/>
      <c r="AMJ136" s="7"/>
    </row>
    <row r="137" s="198" customFormat="true" ht="15.75" hidden="false" customHeight="true" outlineLevel="0" collapsed="false">
      <c r="A137" s="7"/>
      <c r="B137" s="41"/>
      <c r="C137" s="188" t="s">
        <v>125</v>
      </c>
      <c r="D137" s="189" t="n">
        <v>28</v>
      </c>
      <c r="E137" s="187" t="n">
        <v>1</v>
      </c>
      <c r="F137" s="43"/>
      <c r="G137" s="24"/>
      <c r="H137" s="41"/>
      <c r="I137" s="254" t="s">
        <v>182</v>
      </c>
      <c r="J137" s="136" t="n">
        <v>35</v>
      </c>
      <c r="K137" s="193" t="n">
        <v>1</v>
      </c>
      <c r="L137" s="43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  <c r="KS137" s="7"/>
      <c r="KT137" s="7"/>
      <c r="KU137" s="7"/>
      <c r="KV137" s="7"/>
      <c r="KW137" s="7"/>
      <c r="KX137" s="7"/>
      <c r="KY137" s="7"/>
      <c r="KZ137" s="7"/>
      <c r="LA137" s="7"/>
      <c r="LB137" s="7"/>
      <c r="LC137" s="7"/>
      <c r="LD137" s="7"/>
      <c r="LE137" s="7"/>
      <c r="LF137" s="7"/>
      <c r="LG137" s="7"/>
      <c r="LH137" s="7"/>
      <c r="LI137" s="7"/>
      <c r="LJ137" s="7"/>
      <c r="LK137" s="7"/>
      <c r="LL137" s="7"/>
      <c r="LM137" s="7"/>
      <c r="LN137" s="7"/>
      <c r="LO137" s="7"/>
      <c r="LP137" s="7"/>
      <c r="LQ137" s="7"/>
      <c r="LR137" s="7"/>
      <c r="LS137" s="7"/>
      <c r="LT137" s="7"/>
      <c r="LU137" s="7"/>
      <c r="LV137" s="7"/>
      <c r="LW137" s="7"/>
      <c r="LX137" s="7"/>
      <c r="LY137" s="7"/>
      <c r="LZ137" s="7"/>
      <c r="MA137" s="7"/>
      <c r="MB137" s="7"/>
      <c r="MC137" s="7"/>
      <c r="MD137" s="7"/>
      <c r="ME137" s="7"/>
      <c r="MF137" s="7"/>
      <c r="MG137" s="7"/>
      <c r="MH137" s="7"/>
      <c r="MI137" s="7"/>
      <c r="MJ137" s="7"/>
      <c r="MK137" s="7"/>
      <c r="ML137" s="7"/>
      <c r="MM137" s="7"/>
      <c r="MN137" s="7"/>
      <c r="MO137" s="7"/>
      <c r="MP137" s="7"/>
      <c r="MQ137" s="7"/>
      <c r="MR137" s="7"/>
      <c r="MS137" s="7"/>
      <c r="MT137" s="7"/>
      <c r="MU137" s="7"/>
      <c r="MV137" s="7"/>
      <c r="MW137" s="7"/>
      <c r="MX137" s="7"/>
      <c r="MY137" s="7"/>
      <c r="MZ137" s="7"/>
      <c r="NA137" s="7"/>
      <c r="NB137" s="7"/>
      <c r="NC137" s="7"/>
      <c r="ND137" s="7"/>
      <c r="NE137" s="7"/>
      <c r="NF137" s="7"/>
      <c r="NG137" s="7"/>
      <c r="NH137" s="7"/>
      <c r="NI137" s="7"/>
      <c r="NJ137" s="7"/>
      <c r="NK137" s="7"/>
      <c r="NL137" s="7"/>
      <c r="NM137" s="7"/>
      <c r="NN137" s="7"/>
      <c r="NO137" s="7"/>
      <c r="NP137" s="7"/>
      <c r="NQ137" s="7"/>
      <c r="NR137" s="7"/>
      <c r="NS137" s="7"/>
      <c r="NT137" s="7"/>
      <c r="NU137" s="7"/>
      <c r="NV137" s="7"/>
      <c r="NW137" s="7"/>
      <c r="NX137" s="7"/>
      <c r="NY137" s="7"/>
      <c r="NZ137" s="7"/>
      <c r="OA137" s="7"/>
      <c r="OB137" s="7"/>
      <c r="OC137" s="7"/>
      <c r="OD137" s="7"/>
      <c r="OE137" s="7"/>
      <c r="OF137" s="7"/>
      <c r="OG137" s="7"/>
      <c r="OH137" s="7"/>
      <c r="OI137" s="7"/>
      <c r="OJ137" s="7"/>
      <c r="OK137" s="7"/>
      <c r="OL137" s="7"/>
      <c r="OM137" s="7"/>
      <c r="ON137" s="7"/>
      <c r="OO137" s="7"/>
      <c r="OP137" s="7"/>
      <c r="OQ137" s="7"/>
      <c r="OR137" s="7"/>
      <c r="OS137" s="7"/>
      <c r="OT137" s="7"/>
      <c r="OU137" s="7"/>
      <c r="OV137" s="7"/>
      <c r="OW137" s="7"/>
      <c r="OX137" s="7"/>
      <c r="OY137" s="7"/>
      <c r="OZ137" s="7"/>
      <c r="PA137" s="7"/>
      <c r="PB137" s="7"/>
      <c r="PC137" s="7"/>
      <c r="PD137" s="7"/>
      <c r="PE137" s="7"/>
      <c r="PF137" s="7"/>
      <c r="PG137" s="7"/>
      <c r="PH137" s="7"/>
      <c r="PI137" s="7"/>
      <c r="PJ137" s="7"/>
      <c r="PK137" s="7"/>
      <c r="PL137" s="7"/>
      <c r="PM137" s="7"/>
      <c r="PN137" s="7"/>
      <c r="PO137" s="7"/>
      <c r="PP137" s="7"/>
      <c r="PQ137" s="7"/>
      <c r="PR137" s="7"/>
      <c r="PS137" s="7"/>
      <c r="PT137" s="7"/>
      <c r="PU137" s="7"/>
      <c r="PV137" s="7"/>
      <c r="PW137" s="7"/>
      <c r="PX137" s="7"/>
      <c r="PY137" s="7"/>
      <c r="PZ137" s="7"/>
      <c r="QA137" s="7"/>
      <c r="QB137" s="7"/>
      <c r="QC137" s="7"/>
      <c r="QD137" s="7"/>
      <c r="QE137" s="7"/>
      <c r="QF137" s="7"/>
      <c r="QG137" s="7"/>
      <c r="QH137" s="7"/>
      <c r="QI137" s="7"/>
      <c r="QJ137" s="7"/>
      <c r="QK137" s="7"/>
      <c r="QL137" s="7"/>
      <c r="QM137" s="7"/>
      <c r="QN137" s="7"/>
      <c r="QO137" s="7"/>
      <c r="QP137" s="7"/>
      <c r="QQ137" s="7"/>
      <c r="QR137" s="7"/>
      <c r="QS137" s="7"/>
      <c r="QT137" s="7"/>
      <c r="QU137" s="7"/>
      <c r="QV137" s="7"/>
      <c r="QW137" s="7"/>
      <c r="QX137" s="7"/>
      <c r="QY137" s="7"/>
      <c r="QZ137" s="7"/>
      <c r="RA137" s="7"/>
      <c r="RB137" s="7"/>
      <c r="RC137" s="7"/>
      <c r="RD137" s="7"/>
      <c r="RE137" s="7"/>
      <c r="RF137" s="7"/>
      <c r="RG137" s="7"/>
      <c r="RH137" s="7"/>
      <c r="RI137" s="7"/>
      <c r="RJ137" s="7"/>
      <c r="RK137" s="7"/>
      <c r="RL137" s="7"/>
      <c r="RM137" s="7"/>
      <c r="RN137" s="7"/>
      <c r="RO137" s="7"/>
      <c r="RP137" s="7"/>
      <c r="RQ137" s="7"/>
      <c r="RR137" s="7"/>
      <c r="RS137" s="7"/>
      <c r="RT137" s="7"/>
      <c r="RU137" s="7"/>
      <c r="RV137" s="7"/>
      <c r="RW137" s="7"/>
      <c r="RX137" s="7"/>
      <c r="RY137" s="7"/>
      <c r="RZ137" s="7"/>
      <c r="SA137" s="7"/>
      <c r="SB137" s="7"/>
      <c r="SC137" s="7"/>
      <c r="SD137" s="7"/>
      <c r="SE137" s="7"/>
      <c r="SF137" s="7"/>
      <c r="SG137" s="7"/>
      <c r="SH137" s="7"/>
      <c r="SI137" s="7"/>
      <c r="SJ137" s="7"/>
      <c r="SK137" s="7"/>
      <c r="SL137" s="7"/>
      <c r="SM137" s="7"/>
      <c r="SN137" s="7"/>
      <c r="SO137" s="7"/>
      <c r="SP137" s="7"/>
      <c r="SQ137" s="7"/>
      <c r="SR137" s="7"/>
      <c r="SS137" s="7"/>
      <c r="ST137" s="7"/>
      <c r="SU137" s="7"/>
      <c r="SV137" s="7"/>
      <c r="SW137" s="7"/>
      <c r="SX137" s="7"/>
      <c r="SY137" s="7"/>
      <c r="SZ137" s="7"/>
      <c r="TA137" s="7"/>
      <c r="TB137" s="7"/>
      <c r="TC137" s="7"/>
      <c r="TD137" s="7"/>
      <c r="TE137" s="7"/>
      <c r="TF137" s="7"/>
      <c r="TG137" s="7"/>
      <c r="TH137" s="7"/>
      <c r="TI137" s="7"/>
      <c r="TJ137" s="7"/>
      <c r="TK137" s="7"/>
      <c r="TL137" s="7"/>
      <c r="TM137" s="7"/>
      <c r="TN137" s="7"/>
      <c r="TO137" s="7"/>
      <c r="TP137" s="7"/>
      <c r="TQ137" s="7"/>
      <c r="TR137" s="7"/>
      <c r="TS137" s="7"/>
      <c r="TT137" s="7"/>
      <c r="TU137" s="7"/>
      <c r="TV137" s="7"/>
      <c r="TW137" s="7"/>
      <c r="TX137" s="7"/>
      <c r="TY137" s="7"/>
      <c r="TZ137" s="7"/>
      <c r="UA137" s="7"/>
      <c r="UB137" s="7"/>
      <c r="UC137" s="7"/>
      <c r="UD137" s="7"/>
      <c r="UE137" s="7"/>
      <c r="UF137" s="7"/>
      <c r="UG137" s="7"/>
      <c r="UH137" s="7"/>
      <c r="UI137" s="7"/>
      <c r="UJ137" s="7"/>
      <c r="UK137" s="7"/>
      <c r="UL137" s="7"/>
      <c r="UM137" s="7"/>
      <c r="UN137" s="7"/>
      <c r="UO137" s="7"/>
      <c r="UP137" s="7"/>
      <c r="UQ137" s="7"/>
      <c r="UR137" s="7"/>
      <c r="US137" s="7"/>
      <c r="UT137" s="7"/>
      <c r="UU137" s="7"/>
      <c r="UV137" s="7"/>
      <c r="UW137" s="7"/>
      <c r="UX137" s="7"/>
      <c r="UY137" s="7"/>
      <c r="UZ137" s="7"/>
      <c r="VA137" s="7"/>
      <c r="VB137" s="7"/>
      <c r="VC137" s="7"/>
      <c r="VD137" s="7"/>
      <c r="VE137" s="7"/>
      <c r="VF137" s="7"/>
      <c r="VG137" s="7"/>
      <c r="VH137" s="7"/>
      <c r="VI137" s="7"/>
      <c r="VJ137" s="7"/>
      <c r="VK137" s="7"/>
      <c r="VL137" s="7"/>
      <c r="VM137" s="7"/>
      <c r="VN137" s="7"/>
      <c r="VO137" s="7"/>
      <c r="VP137" s="7"/>
      <c r="VQ137" s="7"/>
      <c r="VR137" s="7"/>
      <c r="VS137" s="7"/>
      <c r="VT137" s="7"/>
      <c r="VU137" s="7"/>
      <c r="VV137" s="7"/>
      <c r="VW137" s="7"/>
      <c r="VX137" s="7"/>
      <c r="VY137" s="7"/>
      <c r="VZ137" s="7"/>
      <c r="WA137" s="7"/>
      <c r="WB137" s="7"/>
      <c r="WC137" s="7"/>
      <c r="WD137" s="7"/>
      <c r="WE137" s="7"/>
      <c r="WF137" s="7"/>
      <c r="WG137" s="7"/>
      <c r="WH137" s="7"/>
      <c r="WI137" s="7"/>
      <c r="WJ137" s="7"/>
      <c r="WK137" s="7"/>
      <c r="WL137" s="7"/>
      <c r="WM137" s="7"/>
      <c r="WN137" s="7"/>
      <c r="WO137" s="7"/>
      <c r="WP137" s="7"/>
      <c r="WQ137" s="7"/>
      <c r="WR137" s="7"/>
      <c r="WS137" s="7"/>
      <c r="WT137" s="7"/>
      <c r="WU137" s="7"/>
      <c r="WV137" s="7"/>
      <c r="WW137" s="7"/>
      <c r="WX137" s="7"/>
      <c r="WY137" s="7"/>
      <c r="WZ137" s="7"/>
      <c r="XA137" s="7"/>
      <c r="XB137" s="7"/>
      <c r="XC137" s="7"/>
      <c r="XD137" s="7"/>
      <c r="XE137" s="7"/>
      <c r="XF137" s="7"/>
      <c r="XG137" s="7"/>
      <c r="XH137" s="7"/>
      <c r="XI137" s="7"/>
      <c r="XJ137" s="7"/>
      <c r="XK137" s="7"/>
      <c r="XL137" s="7"/>
      <c r="XM137" s="7"/>
      <c r="XN137" s="7"/>
      <c r="XO137" s="7"/>
      <c r="XP137" s="7"/>
      <c r="XQ137" s="7"/>
      <c r="XR137" s="7"/>
      <c r="XS137" s="7"/>
      <c r="XT137" s="7"/>
      <c r="XU137" s="7"/>
      <c r="XV137" s="7"/>
      <c r="XW137" s="7"/>
      <c r="XX137" s="7"/>
      <c r="XY137" s="7"/>
      <c r="XZ137" s="7"/>
      <c r="YA137" s="7"/>
      <c r="YB137" s="7"/>
      <c r="YC137" s="7"/>
      <c r="YD137" s="7"/>
      <c r="YE137" s="7"/>
      <c r="YF137" s="7"/>
      <c r="YG137" s="7"/>
      <c r="YH137" s="7"/>
      <c r="YI137" s="7"/>
      <c r="YJ137" s="7"/>
      <c r="YK137" s="7"/>
      <c r="YL137" s="7"/>
      <c r="YM137" s="7"/>
      <c r="YN137" s="7"/>
      <c r="YO137" s="7"/>
      <c r="YP137" s="7"/>
      <c r="YQ137" s="7"/>
      <c r="YR137" s="7"/>
      <c r="YS137" s="7"/>
      <c r="YT137" s="7"/>
      <c r="YU137" s="7"/>
      <c r="YV137" s="7"/>
      <c r="YW137" s="7"/>
      <c r="YX137" s="7"/>
      <c r="YY137" s="7"/>
      <c r="YZ137" s="7"/>
      <c r="ZA137" s="7"/>
      <c r="ZB137" s="7"/>
      <c r="ZC137" s="7"/>
      <c r="ZD137" s="7"/>
      <c r="ZE137" s="7"/>
      <c r="ZF137" s="7"/>
      <c r="ZG137" s="7"/>
      <c r="ZH137" s="7"/>
      <c r="ZI137" s="7"/>
      <c r="ZJ137" s="7"/>
      <c r="ZK137" s="7"/>
      <c r="ZL137" s="7"/>
      <c r="ZM137" s="7"/>
      <c r="ZN137" s="7"/>
      <c r="ZO137" s="7"/>
      <c r="ZP137" s="7"/>
      <c r="ZQ137" s="7"/>
      <c r="ZR137" s="7"/>
      <c r="ZS137" s="7"/>
      <c r="ZT137" s="7"/>
      <c r="ZU137" s="7"/>
      <c r="ZV137" s="7"/>
      <c r="ZW137" s="7"/>
      <c r="ZX137" s="7"/>
      <c r="ZY137" s="7"/>
      <c r="ZZ137" s="7"/>
      <c r="AAA137" s="7"/>
      <c r="AAB137" s="7"/>
      <c r="AAC137" s="7"/>
      <c r="AAD137" s="7"/>
      <c r="AAE137" s="7"/>
      <c r="AAF137" s="7"/>
      <c r="AAG137" s="7"/>
      <c r="AAH137" s="7"/>
      <c r="AAI137" s="7"/>
      <c r="AAJ137" s="7"/>
      <c r="AAK137" s="7"/>
      <c r="AAL137" s="7"/>
      <c r="AAM137" s="7"/>
      <c r="AAN137" s="7"/>
      <c r="AAO137" s="7"/>
      <c r="AAP137" s="7"/>
      <c r="AAQ137" s="7"/>
      <c r="AAR137" s="7"/>
      <c r="AAS137" s="7"/>
      <c r="AAT137" s="7"/>
      <c r="AAU137" s="7"/>
      <c r="AAV137" s="7"/>
      <c r="AAW137" s="7"/>
      <c r="AAX137" s="7"/>
      <c r="AAY137" s="7"/>
      <c r="AAZ137" s="7"/>
      <c r="ABA137" s="7"/>
      <c r="ABB137" s="7"/>
      <c r="ABC137" s="7"/>
      <c r="ABD137" s="7"/>
      <c r="ABE137" s="7"/>
      <c r="ABF137" s="7"/>
      <c r="ABG137" s="7"/>
      <c r="ABH137" s="7"/>
      <c r="ABI137" s="7"/>
      <c r="ABJ137" s="7"/>
      <c r="ABK137" s="7"/>
      <c r="ABL137" s="7"/>
      <c r="ABM137" s="7"/>
      <c r="ABN137" s="7"/>
      <c r="ABO137" s="7"/>
      <c r="ABP137" s="7"/>
      <c r="ABQ137" s="7"/>
      <c r="ABR137" s="7"/>
      <c r="ABS137" s="7"/>
      <c r="ABT137" s="7"/>
      <c r="ABU137" s="7"/>
      <c r="ABV137" s="7"/>
      <c r="ABW137" s="7"/>
      <c r="ABX137" s="7"/>
      <c r="ABY137" s="7"/>
      <c r="ABZ137" s="7"/>
      <c r="ACA137" s="7"/>
      <c r="ACB137" s="7"/>
      <c r="ACC137" s="7"/>
      <c r="ACD137" s="7"/>
      <c r="ACE137" s="7"/>
      <c r="ACF137" s="7"/>
      <c r="ACG137" s="7"/>
      <c r="ACH137" s="7"/>
      <c r="ACI137" s="7"/>
      <c r="ACJ137" s="7"/>
      <c r="ACK137" s="7"/>
      <c r="ACL137" s="7"/>
      <c r="ACM137" s="7"/>
      <c r="ACN137" s="7"/>
      <c r="ACO137" s="7"/>
      <c r="ACP137" s="7"/>
      <c r="ACQ137" s="7"/>
      <c r="ACR137" s="7"/>
      <c r="ACS137" s="7"/>
      <c r="ACT137" s="7"/>
      <c r="ACU137" s="7"/>
      <c r="ACV137" s="7"/>
      <c r="ACW137" s="7"/>
      <c r="ACX137" s="7"/>
      <c r="ACY137" s="7"/>
      <c r="ACZ137" s="7"/>
      <c r="ADA137" s="7"/>
      <c r="ADB137" s="7"/>
      <c r="ADC137" s="7"/>
      <c r="ADD137" s="7"/>
      <c r="ADE137" s="7"/>
      <c r="ADF137" s="7"/>
      <c r="ADG137" s="7"/>
      <c r="ADH137" s="7"/>
      <c r="ADI137" s="7"/>
      <c r="ADJ137" s="7"/>
      <c r="ADK137" s="7"/>
      <c r="ADL137" s="7"/>
      <c r="ADM137" s="7"/>
      <c r="ADN137" s="7"/>
      <c r="ADO137" s="7"/>
      <c r="ADP137" s="7"/>
      <c r="ADQ137" s="7"/>
      <c r="ADR137" s="7"/>
      <c r="ADS137" s="7"/>
      <c r="ADT137" s="7"/>
      <c r="ADU137" s="7"/>
      <c r="ADV137" s="7"/>
      <c r="ADW137" s="7"/>
      <c r="ADX137" s="7"/>
      <c r="ADY137" s="7"/>
      <c r="ADZ137" s="7"/>
      <c r="AEA137" s="7"/>
      <c r="AEB137" s="7"/>
      <c r="AEC137" s="7"/>
      <c r="AED137" s="7"/>
      <c r="AEE137" s="7"/>
      <c r="AEF137" s="7"/>
      <c r="AEG137" s="7"/>
      <c r="AEH137" s="7"/>
      <c r="AEI137" s="7"/>
      <c r="AEJ137" s="7"/>
      <c r="AEK137" s="7"/>
      <c r="AEL137" s="7"/>
      <c r="AEM137" s="7"/>
      <c r="AEN137" s="7"/>
      <c r="AEO137" s="7"/>
      <c r="AEP137" s="7"/>
      <c r="AEQ137" s="7"/>
      <c r="AER137" s="7"/>
      <c r="AES137" s="7"/>
      <c r="AET137" s="7"/>
      <c r="AEU137" s="7"/>
      <c r="AEV137" s="7"/>
      <c r="AEW137" s="7"/>
      <c r="AEX137" s="7"/>
      <c r="AEY137" s="7"/>
      <c r="AEZ137" s="7"/>
      <c r="AFA137" s="7"/>
      <c r="AFB137" s="7"/>
      <c r="AFC137" s="7"/>
      <c r="AFD137" s="7"/>
      <c r="AFE137" s="7"/>
      <c r="AFF137" s="7"/>
      <c r="AFG137" s="7"/>
      <c r="AFH137" s="7"/>
      <c r="AFI137" s="7"/>
      <c r="AFJ137" s="7"/>
      <c r="AFK137" s="7"/>
      <c r="AFL137" s="7"/>
      <c r="AFM137" s="7"/>
      <c r="AFN137" s="7"/>
      <c r="AFO137" s="7"/>
      <c r="AFP137" s="7"/>
      <c r="AFQ137" s="7"/>
      <c r="AFR137" s="7"/>
      <c r="AFS137" s="7"/>
      <c r="AFT137" s="7"/>
      <c r="AFU137" s="7"/>
      <c r="AFV137" s="7"/>
      <c r="AFW137" s="7"/>
      <c r="AFX137" s="7"/>
      <c r="AFY137" s="7"/>
      <c r="AFZ137" s="7"/>
      <c r="AGA137" s="7"/>
      <c r="AGB137" s="7"/>
      <c r="AGC137" s="7"/>
      <c r="AGD137" s="7"/>
      <c r="AGE137" s="7"/>
      <c r="AGF137" s="7"/>
      <c r="AGG137" s="7"/>
      <c r="AGH137" s="7"/>
      <c r="AGI137" s="7"/>
      <c r="AGJ137" s="7"/>
      <c r="AGK137" s="7"/>
      <c r="AGL137" s="7"/>
      <c r="AGM137" s="7"/>
      <c r="AGN137" s="7"/>
      <c r="AGO137" s="7"/>
      <c r="AGP137" s="7"/>
      <c r="AGQ137" s="7"/>
      <c r="AGR137" s="7"/>
      <c r="AGS137" s="7"/>
      <c r="AGT137" s="7"/>
      <c r="AGU137" s="7"/>
      <c r="AGV137" s="7"/>
      <c r="AGW137" s="7"/>
      <c r="AGX137" s="7"/>
      <c r="AGY137" s="7"/>
      <c r="AGZ137" s="7"/>
      <c r="AHA137" s="7"/>
      <c r="AHB137" s="7"/>
      <c r="AHC137" s="7"/>
      <c r="AHD137" s="7"/>
      <c r="AHE137" s="7"/>
      <c r="AHF137" s="7"/>
      <c r="AHG137" s="7"/>
      <c r="AHH137" s="7"/>
      <c r="AHI137" s="7"/>
      <c r="AHJ137" s="7"/>
      <c r="AHK137" s="7"/>
      <c r="AHL137" s="7"/>
      <c r="AHM137" s="7"/>
      <c r="AHN137" s="7"/>
      <c r="AHO137" s="7"/>
      <c r="AHP137" s="7"/>
      <c r="AHQ137" s="7"/>
      <c r="AHR137" s="7"/>
      <c r="AHS137" s="7"/>
      <c r="AHT137" s="7"/>
      <c r="AHU137" s="7"/>
      <c r="AHV137" s="7"/>
      <c r="AHW137" s="7"/>
      <c r="AHX137" s="7"/>
      <c r="AHY137" s="7"/>
      <c r="AHZ137" s="7"/>
      <c r="AIA137" s="7"/>
      <c r="AIB137" s="7"/>
      <c r="AIC137" s="7"/>
      <c r="AID137" s="7"/>
      <c r="AIE137" s="7"/>
      <c r="AIF137" s="7"/>
      <c r="AIG137" s="7"/>
      <c r="AIH137" s="7"/>
      <c r="AII137" s="7"/>
      <c r="AIJ137" s="7"/>
      <c r="AIK137" s="7"/>
      <c r="AIL137" s="7"/>
      <c r="AIM137" s="7"/>
      <c r="AIN137" s="7"/>
      <c r="AIO137" s="7"/>
      <c r="AIP137" s="7"/>
      <c r="AIQ137" s="7"/>
      <c r="AIR137" s="7"/>
      <c r="AIS137" s="7"/>
      <c r="AIT137" s="7"/>
      <c r="AIU137" s="7"/>
      <c r="AIV137" s="7"/>
      <c r="AIW137" s="7"/>
      <c r="AIX137" s="7"/>
      <c r="AIY137" s="7"/>
      <c r="AIZ137" s="7"/>
      <c r="AJA137" s="7"/>
      <c r="AJB137" s="7"/>
      <c r="AJC137" s="7"/>
      <c r="AJD137" s="7"/>
      <c r="AJE137" s="7"/>
      <c r="AJF137" s="7"/>
      <c r="AJG137" s="7"/>
      <c r="AJH137" s="7"/>
      <c r="AJI137" s="7"/>
      <c r="AJJ137" s="7"/>
      <c r="AJK137" s="7"/>
      <c r="AJL137" s="7"/>
      <c r="AJM137" s="7"/>
      <c r="AJN137" s="7"/>
      <c r="AJO137" s="7"/>
      <c r="AJP137" s="7"/>
      <c r="AJQ137" s="7"/>
      <c r="AJR137" s="7"/>
      <c r="AJS137" s="7"/>
      <c r="AJT137" s="7"/>
      <c r="AJU137" s="7"/>
      <c r="AJV137" s="7"/>
      <c r="AJW137" s="7"/>
      <c r="AJX137" s="7"/>
      <c r="AJY137" s="7"/>
      <c r="AJZ137" s="7"/>
      <c r="AKA137" s="7"/>
      <c r="AKB137" s="7"/>
      <c r="AKC137" s="7"/>
      <c r="AKD137" s="7"/>
      <c r="AKE137" s="7"/>
      <c r="AKF137" s="7"/>
      <c r="AKG137" s="7"/>
      <c r="AKH137" s="7"/>
      <c r="AKI137" s="7"/>
      <c r="AKJ137" s="7"/>
      <c r="AKK137" s="7"/>
      <c r="AKL137" s="7"/>
      <c r="AKM137" s="7"/>
      <c r="AKN137" s="7"/>
      <c r="AKO137" s="7"/>
      <c r="AKP137" s="7"/>
      <c r="AKQ137" s="7"/>
      <c r="AKR137" s="7"/>
      <c r="AKS137" s="7"/>
      <c r="AKT137" s="7"/>
      <c r="AKU137" s="7"/>
      <c r="AKV137" s="7"/>
      <c r="AKW137" s="7"/>
      <c r="AKX137" s="7"/>
      <c r="AKY137" s="7"/>
      <c r="AKZ137" s="7"/>
      <c r="ALA137" s="7"/>
      <c r="ALB137" s="7"/>
      <c r="ALC137" s="7"/>
      <c r="ALD137" s="7"/>
      <c r="ALE137" s="7"/>
      <c r="ALF137" s="7"/>
      <c r="ALG137" s="7"/>
      <c r="ALH137" s="7"/>
      <c r="ALI137" s="7"/>
      <c r="ALJ137" s="7"/>
      <c r="ALK137" s="7"/>
      <c r="ALL137" s="7"/>
      <c r="ALM137" s="7"/>
      <c r="ALN137" s="7"/>
      <c r="ALO137" s="7"/>
      <c r="ALP137" s="7"/>
      <c r="ALQ137" s="7"/>
      <c r="ALR137" s="7"/>
      <c r="ALS137" s="7"/>
      <c r="ALT137" s="7"/>
      <c r="ALU137" s="7"/>
      <c r="ALV137" s="7"/>
      <c r="ALW137" s="7"/>
      <c r="ALX137" s="7"/>
      <c r="ALY137" s="7"/>
      <c r="ALZ137" s="7"/>
      <c r="AMA137" s="7"/>
      <c r="AMB137" s="7"/>
      <c r="AMC137" s="7"/>
      <c r="AMD137" s="7"/>
      <c r="AME137" s="7"/>
      <c r="AMF137" s="7"/>
      <c r="AMG137" s="7"/>
      <c r="AMH137" s="7"/>
      <c r="AMI137" s="7"/>
      <c r="AMJ137" s="7"/>
    </row>
    <row r="138" s="198" customFormat="true" ht="15.75" hidden="false" customHeight="true" outlineLevel="0" collapsed="false">
      <c r="A138" s="7"/>
      <c r="B138" s="41"/>
      <c r="C138" s="188" t="s">
        <v>126</v>
      </c>
      <c r="D138" s="134" t="n">
        <v>22</v>
      </c>
      <c r="E138" s="191" t="n">
        <v>1</v>
      </c>
      <c r="F138" s="43"/>
      <c r="G138" s="24"/>
      <c r="H138" s="41" t="s">
        <v>127</v>
      </c>
      <c r="I138" s="42" t="s">
        <v>128</v>
      </c>
      <c r="J138" s="42"/>
      <c r="K138" s="42"/>
      <c r="L138" s="97" t="n">
        <v>3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  <c r="KS138" s="7"/>
      <c r="KT138" s="7"/>
      <c r="KU138" s="7"/>
      <c r="KV138" s="7"/>
      <c r="KW138" s="7"/>
      <c r="KX138" s="7"/>
      <c r="KY138" s="7"/>
      <c r="KZ138" s="7"/>
      <c r="LA138" s="7"/>
      <c r="LB138" s="7"/>
      <c r="LC138" s="7"/>
      <c r="LD138" s="7"/>
      <c r="LE138" s="7"/>
      <c r="LF138" s="7"/>
      <c r="LG138" s="7"/>
      <c r="LH138" s="7"/>
      <c r="LI138" s="7"/>
      <c r="LJ138" s="7"/>
      <c r="LK138" s="7"/>
      <c r="LL138" s="7"/>
      <c r="LM138" s="7"/>
      <c r="LN138" s="7"/>
      <c r="LO138" s="7"/>
      <c r="LP138" s="7"/>
      <c r="LQ138" s="7"/>
      <c r="LR138" s="7"/>
      <c r="LS138" s="7"/>
      <c r="LT138" s="7"/>
      <c r="LU138" s="7"/>
      <c r="LV138" s="7"/>
      <c r="LW138" s="7"/>
      <c r="LX138" s="7"/>
      <c r="LY138" s="7"/>
      <c r="LZ138" s="7"/>
      <c r="MA138" s="7"/>
      <c r="MB138" s="7"/>
      <c r="MC138" s="7"/>
      <c r="MD138" s="7"/>
      <c r="ME138" s="7"/>
      <c r="MF138" s="7"/>
      <c r="MG138" s="7"/>
      <c r="MH138" s="7"/>
      <c r="MI138" s="7"/>
      <c r="MJ138" s="7"/>
      <c r="MK138" s="7"/>
      <c r="ML138" s="7"/>
      <c r="MM138" s="7"/>
      <c r="MN138" s="7"/>
      <c r="MO138" s="7"/>
      <c r="MP138" s="7"/>
      <c r="MQ138" s="7"/>
      <c r="MR138" s="7"/>
      <c r="MS138" s="7"/>
      <c r="MT138" s="7"/>
      <c r="MU138" s="7"/>
      <c r="MV138" s="7"/>
      <c r="MW138" s="7"/>
      <c r="MX138" s="7"/>
      <c r="MY138" s="7"/>
      <c r="MZ138" s="7"/>
      <c r="NA138" s="7"/>
      <c r="NB138" s="7"/>
      <c r="NC138" s="7"/>
      <c r="ND138" s="7"/>
      <c r="NE138" s="7"/>
      <c r="NF138" s="7"/>
      <c r="NG138" s="7"/>
      <c r="NH138" s="7"/>
      <c r="NI138" s="7"/>
      <c r="NJ138" s="7"/>
      <c r="NK138" s="7"/>
      <c r="NL138" s="7"/>
      <c r="NM138" s="7"/>
      <c r="NN138" s="7"/>
      <c r="NO138" s="7"/>
      <c r="NP138" s="7"/>
      <c r="NQ138" s="7"/>
      <c r="NR138" s="7"/>
      <c r="NS138" s="7"/>
      <c r="NT138" s="7"/>
      <c r="NU138" s="7"/>
      <c r="NV138" s="7"/>
      <c r="NW138" s="7"/>
      <c r="NX138" s="7"/>
      <c r="NY138" s="7"/>
      <c r="NZ138" s="7"/>
      <c r="OA138" s="7"/>
      <c r="OB138" s="7"/>
      <c r="OC138" s="7"/>
      <c r="OD138" s="7"/>
      <c r="OE138" s="7"/>
      <c r="OF138" s="7"/>
      <c r="OG138" s="7"/>
      <c r="OH138" s="7"/>
      <c r="OI138" s="7"/>
      <c r="OJ138" s="7"/>
      <c r="OK138" s="7"/>
      <c r="OL138" s="7"/>
      <c r="OM138" s="7"/>
      <c r="ON138" s="7"/>
      <c r="OO138" s="7"/>
      <c r="OP138" s="7"/>
      <c r="OQ138" s="7"/>
      <c r="OR138" s="7"/>
      <c r="OS138" s="7"/>
      <c r="OT138" s="7"/>
      <c r="OU138" s="7"/>
      <c r="OV138" s="7"/>
      <c r="OW138" s="7"/>
      <c r="OX138" s="7"/>
      <c r="OY138" s="7"/>
      <c r="OZ138" s="7"/>
      <c r="PA138" s="7"/>
      <c r="PB138" s="7"/>
      <c r="PC138" s="7"/>
      <c r="PD138" s="7"/>
      <c r="PE138" s="7"/>
      <c r="PF138" s="7"/>
      <c r="PG138" s="7"/>
      <c r="PH138" s="7"/>
      <c r="PI138" s="7"/>
      <c r="PJ138" s="7"/>
      <c r="PK138" s="7"/>
      <c r="PL138" s="7"/>
      <c r="PM138" s="7"/>
      <c r="PN138" s="7"/>
      <c r="PO138" s="7"/>
      <c r="PP138" s="7"/>
      <c r="PQ138" s="7"/>
      <c r="PR138" s="7"/>
      <c r="PS138" s="7"/>
      <c r="PT138" s="7"/>
      <c r="PU138" s="7"/>
      <c r="PV138" s="7"/>
      <c r="PW138" s="7"/>
      <c r="PX138" s="7"/>
      <c r="PY138" s="7"/>
      <c r="PZ138" s="7"/>
      <c r="QA138" s="7"/>
      <c r="QB138" s="7"/>
      <c r="QC138" s="7"/>
      <c r="QD138" s="7"/>
      <c r="QE138" s="7"/>
      <c r="QF138" s="7"/>
      <c r="QG138" s="7"/>
      <c r="QH138" s="7"/>
      <c r="QI138" s="7"/>
      <c r="QJ138" s="7"/>
      <c r="QK138" s="7"/>
      <c r="QL138" s="7"/>
      <c r="QM138" s="7"/>
      <c r="QN138" s="7"/>
      <c r="QO138" s="7"/>
      <c r="QP138" s="7"/>
      <c r="QQ138" s="7"/>
      <c r="QR138" s="7"/>
      <c r="QS138" s="7"/>
      <c r="QT138" s="7"/>
      <c r="QU138" s="7"/>
      <c r="QV138" s="7"/>
      <c r="QW138" s="7"/>
      <c r="QX138" s="7"/>
      <c r="QY138" s="7"/>
      <c r="QZ138" s="7"/>
      <c r="RA138" s="7"/>
      <c r="RB138" s="7"/>
      <c r="RC138" s="7"/>
      <c r="RD138" s="7"/>
      <c r="RE138" s="7"/>
      <c r="RF138" s="7"/>
      <c r="RG138" s="7"/>
      <c r="RH138" s="7"/>
      <c r="RI138" s="7"/>
      <c r="RJ138" s="7"/>
      <c r="RK138" s="7"/>
      <c r="RL138" s="7"/>
      <c r="RM138" s="7"/>
      <c r="RN138" s="7"/>
      <c r="RO138" s="7"/>
      <c r="RP138" s="7"/>
      <c r="RQ138" s="7"/>
      <c r="RR138" s="7"/>
      <c r="RS138" s="7"/>
      <c r="RT138" s="7"/>
      <c r="RU138" s="7"/>
      <c r="RV138" s="7"/>
      <c r="RW138" s="7"/>
      <c r="RX138" s="7"/>
      <c r="RY138" s="7"/>
      <c r="RZ138" s="7"/>
      <c r="SA138" s="7"/>
      <c r="SB138" s="7"/>
      <c r="SC138" s="7"/>
      <c r="SD138" s="7"/>
      <c r="SE138" s="7"/>
      <c r="SF138" s="7"/>
      <c r="SG138" s="7"/>
      <c r="SH138" s="7"/>
      <c r="SI138" s="7"/>
      <c r="SJ138" s="7"/>
      <c r="SK138" s="7"/>
      <c r="SL138" s="7"/>
      <c r="SM138" s="7"/>
      <c r="SN138" s="7"/>
      <c r="SO138" s="7"/>
      <c r="SP138" s="7"/>
      <c r="SQ138" s="7"/>
      <c r="SR138" s="7"/>
      <c r="SS138" s="7"/>
      <c r="ST138" s="7"/>
      <c r="SU138" s="7"/>
      <c r="SV138" s="7"/>
      <c r="SW138" s="7"/>
      <c r="SX138" s="7"/>
      <c r="SY138" s="7"/>
      <c r="SZ138" s="7"/>
      <c r="TA138" s="7"/>
      <c r="TB138" s="7"/>
      <c r="TC138" s="7"/>
      <c r="TD138" s="7"/>
      <c r="TE138" s="7"/>
      <c r="TF138" s="7"/>
      <c r="TG138" s="7"/>
      <c r="TH138" s="7"/>
      <c r="TI138" s="7"/>
      <c r="TJ138" s="7"/>
      <c r="TK138" s="7"/>
      <c r="TL138" s="7"/>
      <c r="TM138" s="7"/>
      <c r="TN138" s="7"/>
      <c r="TO138" s="7"/>
      <c r="TP138" s="7"/>
      <c r="TQ138" s="7"/>
      <c r="TR138" s="7"/>
      <c r="TS138" s="7"/>
      <c r="TT138" s="7"/>
      <c r="TU138" s="7"/>
      <c r="TV138" s="7"/>
      <c r="TW138" s="7"/>
      <c r="TX138" s="7"/>
      <c r="TY138" s="7"/>
      <c r="TZ138" s="7"/>
      <c r="UA138" s="7"/>
      <c r="UB138" s="7"/>
      <c r="UC138" s="7"/>
      <c r="UD138" s="7"/>
      <c r="UE138" s="7"/>
      <c r="UF138" s="7"/>
      <c r="UG138" s="7"/>
      <c r="UH138" s="7"/>
      <c r="UI138" s="7"/>
      <c r="UJ138" s="7"/>
      <c r="UK138" s="7"/>
      <c r="UL138" s="7"/>
      <c r="UM138" s="7"/>
      <c r="UN138" s="7"/>
      <c r="UO138" s="7"/>
      <c r="UP138" s="7"/>
      <c r="UQ138" s="7"/>
      <c r="UR138" s="7"/>
      <c r="US138" s="7"/>
      <c r="UT138" s="7"/>
      <c r="UU138" s="7"/>
      <c r="UV138" s="7"/>
      <c r="UW138" s="7"/>
      <c r="UX138" s="7"/>
      <c r="UY138" s="7"/>
      <c r="UZ138" s="7"/>
      <c r="VA138" s="7"/>
      <c r="VB138" s="7"/>
      <c r="VC138" s="7"/>
      <c r="VD138" s="7"/>
      <c r="VE138" s="7"/>
      <c r="VF138" s="7"/>
      <c r="VG138" s="7"/>
      <c r="VH138" s="7"/>
      <c r="VI138" s="7"/>
      <c r="VJ138" s="7"/>
      <c r="VK138" s="7"/>
      <c r="VL138" s="7"/>
      <c r="VM138" s="7"/>
      <c r="VN138" s="7"/>
      <c r="VO138" s="7"/>
      <c r="VP138" s="7"/>
      <c r="VQ138" s="7"/>
      <c r="VR138" s="7"/>
      <c r="VS138" s="7"/>
      <c r="VT138" s="7"/>
      <c r="VU138" s="7"/>
      <c r="VV138" s="7"/>
      <c r="VW138" s="7"/>
      <c r="VX138" s="7"/>
      <c r="VY138" s="7"/>
      <c r="VZ138" s="7"/>
      <c r="WA138" s="7"/>
      <c r="WB138" s="7"/>
      <c r="WC138" s="7"/>
      <c r="WD138" s="7"/>
      <c r="WE138" s="7"/>
      <c r="WF138" s="7"/>
      <c r="WG138" s="7"/>
      <c r="WH138" s="7"/>
      <c r="WI138" s="7"/>
      <c r="WJ138" s="7"/>
      <c r="WK138" s="7"/>
      <c r="WL138" s="7"/>
      <c r="WM138" s="7"/>
      <c r="WN138" s="7"/>
      <c r="WO138" s="7"/>
      <c r="WP138" s="7"/>
      <c r="WQ138" s="7"/>
      <c r="WR138" s="7"/>
      <c r="WS138" s="7"/>
      <c r="WT138" s="7"/>
      <c r="WU138" s="7"/>
      <c r="WV138" s="7"/>
      <c r="WW138" s="7"/>
      <c r="WX138" s="7"/>
      <c r="WY138" s="7"/>
      <c r="WZ138" s="7"/>
      <c r="XA138" s="7"/>
      <c r="XB138" s="7"/>
      <c r="XC138" s="7"/>
      <c r="XD138" s="7"/>
      <c r="XE138" s="7"/>
      <c r="XF138" s="7"/>
      <c r="XG138" s="7"/>
      <c r="XH138" s="7"/>
      <c r="XI138" s="7"/>
      <c r="XJ138" s="7"/>
      <c r="XK138" s="7"/>
      <c r="XL138" s="7"/>
      <c r="XM138" s="7"/>
      <c r="XN138" s="7"/>
      <c r="XO138" s="7"/>
      <c r="XP138" s="7"/>
      <c r="XQ138" s="7"/>
      <c r="XR138" s="7"/>
      <c r="XS138" s="7"/>
      <c r="XT138" s="7"/>
      <c r="XU138" s="7"/>
      <c r="XV138" s="7"/>
      <c r="XW138" s="7"/>
      <c r="XX138" s="7"/>
      <c r="XY138" s="7"/>
      <c r="XZ138" s="7"/>
      <c r="YA138" s="7"/>
      <c r="YB138" s="7"/>
      <c r="YC138" s="7"/>
      <c r="YD138" s="7"/>
      <c r="YE138" s="7"/>
      <c r="YF138" s="7"/>
      <c r="YG138" s="7"/>
      <c r="YH138" s="7"/>
      <c r="YI138" s="7"/>
      <c r="YJ138" s="7"/>
      <c r="YK138" s="7"/>
      <c r="YL138" s="7"/>
      <c r="YM138" s="7"/>
      <c r="YN138" s="7"/>
      <c r="YO138" s="7"/>
      <c r="YP138" s="7"/>
      <c r="YQ138" s="7"/>
      <c r="YR138" s="7"/>
      <c r="YS138" s="7"/>
      <c r="YT138" s="7"/>
      <c r="YU138" s="7"/>
      <c r="YV138" s="7"/>
      <c r="YW138" s="7"/>
      <c r="YX138" s="7"/>
      <c r="YY138" s="7"/>
      <c r="YZ138" s="7"/>
      <c r="ZA138" s="7"/>
      <c r="ZB138" s="7"/>
      <c r="ZC138" s="7"/>
      <c r="ZD138" s="7"/>
      <c r="ZE138" s="7"/>
      <c r="ZF138" s="7"/>
      <c r="ZG138" s="7"/>
      <c r="ZH138" s="7"/>
      <c r="ZI138" s="7"/>
      <c r="ZJ138" s="7"/>
      <c r="ZK138" s="7"/>
      <c r="ZL138" s="7"/>
      <c r="ZM138" s="7"/>
      <c r="ZN138" s="7"/>
      <c r="ZO138" s="7"/>
      <c r="ZP138" s="7"/>
      <c r="ZQ138" s="7"/>
      <c r="ZR138" s="7"/>
      <c r="ZS138" s="7"/>
      <c r="ZT138" s="7"/>
      <c r="ZU138" s="7"/>
      <c r="ZV138" s="7"/>
      <c r="ZW138" s="7"/>
      <c r="ZX138" s="7"/>
      <c r="ZY138" s="7"/>
      <c r="ZZ138" s="7"/>
      <c r="AAA138" s="7"/>
      <c r="AAB138" s="7"/>
      <c r="AAC138" s="7"/>
      <c r="AAD138" s="7"/>
      <c r="AAE138" s="7"/>
      <c r="AAF138" s="7"/>
      <c r="AAG138" s="7"/>
      <c r="AAH138" s="7"/>
      <c r="AAI138" s="7"/>
      <c r="AAJ138" s="7"/>
      <c r="AAK138" s="7"/>
      <c r="AAL138" s="7"/>
      <c r="AAM138" s="7"/>
      <c r="AAN138" s="7"/>
      <c r="AAO138" s="7"/>
      <c r="AAP138" s="7"/>
      <c r="AAQ138" s="7"/>
      <c r="AAR138" s="7"/>
      <c r="AAS138" s="7"/>
      <c r="AAT138" s="7"/>
      <c r="AAU138" s="7"/>
      <c r="AAV138" s="7"/>
      <c r="AAW138" s="7"/>
      <c r="AAX138" s="7"/>
      <c r="AAY138" s="7"/>
      <c r="AAZ138" s="7"/>
      <c r="ABA138" s="7"/>
      <c r="ABB138" s="7"/>
      <c r="ABC138" s="7"/>
      <c r="ABD138" s="7"/>
      <c r="ABE138" s="7"/>
      <c r="ABF138" s="7"/>
      <c r="ABG138" s="7"/>
      <c r="ABH138" s="7"/>
      <c r="ABI138" s="7"/>
      <c r="ABJ138" s="7"/>
      <c r="ABK138" s="7"/>
      <c r="ABL138" s="7"/>
      <c r="ABM138" s="7"/>
      <c r="ABN138" s="7"/>
      <c r="ABO138" s="7"/>
      <c r="ABP138" s="7"/>
      <c r="ABQ138" s="7"/>
      <c r="ABR138" s="7"/>
      <c r="ABS138" s="7"/>
      <c r="ABT138" s="7"/>
      <c r="ABU138" s="7"/>
      <c r="ABV138" s="7"/>
      <c r="ABW138" s="7"/>
      <c r="ABX138" s="7"/>
      <c r="ABY138" s="7"/>
      <c r="ABZ138" s="7"/>
      <c r="ACA138" s="7"/>
      <c r="ACB138" s="7"/>
      <c r="ACC138" s="7"/>
      <c r="ACD138" s="7"/>
      <c r="ACE138" s="7"/>
      <c r="ACF138" s="7"/>
      <c r="ACG138" s="7"/>
      <c r="ACH138" s="7"/>
      <c r="ACI138" s="7"/>
      <c r="ACJ138" s="7"/>
      <c r="ACK138" s="7"/>
      <c r="ACL138" s="7"/>
      <c r="ACM138" s="7"/>
      <c r="ACN138" s="7"/>
      <c r="ACO138" s="7"/>
      <c r="ACP138" s="7"/>
      <c r="ACQ138" s="7"/>
      <c r="ACR138" s="7"/>
      <c r="ACS138" s="7"/>
      <c r="ACT138" s="7"/>
      <c r="ACU138" s="7"/>
      <c r="ACV138" s="7"/>
      <c r="ACW138" s="7"/>
      <c r="ACX138" s="7"/>
      <c r="ACY138" s="7"/>
      <c r="ACZ138" s="7"/>
      <c r="ADA138" s="7"/>
      <c r="ADB138" s="7"/>
      <c r="ADC138" s="7"/>
      <c r="ADD138" s="7"/>
      <c r="ADE138" s="7"/>
      <c r="ADF138" s="7"/>
      <c r="ADG138" s="7"/>
      <c r="ADH138" s="7"/>
      <c r="ADI138" s="7"/>
      <c r="ADJ138" s="7"/>
      <c r="ADK138" s="7"/>
      <c r="ADL138" s="7"/>
      <c r="ADM138" s="7"/>
      <c r="ADN138" s="7"/>
      <c r="ADO138" s="7"/>
      <c r="ADP138" s="7"/>
      <c r="ADQ138" s="7"/>
      <c r="ADR138" s="7"/>
      <c r="ADS138" s="7"/>
      <c r="ADT138" s="7"/>
      <c r="ADU138" s="7"/>
      <c r="ADV138" s="7"/>
      <c r="ADW138" s="7"/>
      <c r="ADX138" s="7"/>
      <c r="ADY138" s="7"/>
      <c r="ADZ138" s="7"/>
      <c r="AEA138" s="7"/>
      <c r="AEB138" s="7"/>
      <c r="AEC138" s="7"/>
      <c r="AED138" s="7"/>
      <c r="AEE138" s="7"/>
      <c r="AEF138" s="7"/>
      <c r="AEG138" s="7"/>
      <c r="AEH138" s="7"/>
      <c r="AEI138" s="7"/>
      <c r="AEJ138" s="7"/>
      <c r="AEK138" s="7"/>
      <c r="AEL138" s="7"/>
      <c r="AEM138" s="7"/>
      <c r="AEN138" s="7"/>
      <c r="AEO138" s="7"/>
      <c r="AEP138" s="7"/>
      <c r="AEQ138" s="7"/>
      <c r="AER138" s="7"/>
      <c r="AES138" s="7"/>
      <c r="AET138" s="7"/>
      <c r="AEU138" s="7"/>
      <c r="AEV138" s="7"/>
      <c r="AEW138" s="7"/>
      <c r="AEX138" s="7"/>
      <c r="AEY138" s="7"/>
      <c r="AEZ138" s="7"/>
      <c r="AFA138" s="7"/>
      <c r="AFB138" s="7"/>
      <c r="AFC138" s="7"/>
      <c r="AFD138" s="7"/>
      <c r="AFE138" s="7"/>
      <c r="AFF138" s="7"/>
      <c r="AFG138" s="7"/>
      <c r="AFH138" s="7"/>
      <c r="AFI138" s="7"/>
      <c r="AFJ138" s="7"/>
      <c r="AFK138" s="7"/>
      <c r="AFL138" s="7"/>
      <c r="AFM138" s="7"/>
      <c r="AFN138" s="7"/>
      <c r="AFO138" s="7"/>
      <c r="AFP138" s="7"/>
      <c r="AFQ138" s="7"/>
      <c r="AFR138" s="7"/>
      <c r="AFS138" s="7"/>
      <c r="AFT138" s="7"/>
      <c r="AFU138" s="7"/>
      <c r="AFV138" s="7"/>
      <c r="AFW138" s="7"/>
      <c r="AFX138" s="7"/>
      <c r="AFY138" s="7"/>
      <c r="AFZ138" s="7"/>
      <c r="AGA138" s="7"/>
      <c r="AGB138" s="7"/>
      <c r="AGC138" s="7"/>
      <c r="AGD138" s="7"/>
      <c r="AGE138" s="7"/>
      <c r="AGF138" s="7"/>
      <c r="AGG138" s="7"/>
      <c r="AGH138" s="7"/>
      <c r="AGI138" s="7"/>
      <c r="AGJ138" s="7"/>
      <c r="AGK138" s="7"/>
      <c r="AGL138" s="7"/>
      <c r="AGM138" s="7"/>
      <c r="AGN138" s="7"/>
      <c r="AGO138" s="7"/>
      <c r="AGP138" s="7"/>
      <c r="AGQ138" s="7"/>
      <c r="AGR138" s="7"/>
      <c r="AGS138" s="7"/>
      <c r="AGT138" s="7"/>
      <c r="AGU138" s="7"/>
      <c r="AGV138" s="7"/>
      <c r="AGW138" s="7"/>
      <c r="AGX138" s="7"/>
      <c r="AGY138" s="7"/>
      <c r="AGZ138" s="7"/>
      <c r="AHA138" s="7"/>
      <c r="AHB138" s="7"/>
      <c r="AHC138" s="7"/>
      <c r="AHD138" s="7"/>
      <c r="AHE138" s="7"/>
      <c r="AHF138" s="7"/>
      <c r="AHG138" s="7"/>
      <c r="AHH138" s="7"/>
      <c r="AHI138" s="7"/>
      <c r="AHJ138" s="7"/>
      <c r="AHK138" s="7"/>
      <c r="AHL138" s="7"/>
      <c r="AHM138" s="7"/>
      <c r="AHN138" s="7"/>
      <c r="AHO138" s="7"/>
      <c r="AHP138" s="7"/>
      <c r="AHQ138" s="7"/>
      <c r="AHR138" s="7"/>
      <c r="AHS138" s="7"/>
      <c r="AHT138" s="7"/>
      <c r="AHU138" s="7"/>
      <c r="AHV138" s="7"/>
      <c r="AHW138" s="7"/>
      <c r="AHX138" s="7"/>
      <c r="AHY138" s="7"/>
      <c r="AHZ138" s="7"/>
      <c r="AIA138" s="7"/>
      <c r="AIB138" s="7"/>
      <c r="AIC138" s="7"/>
      <c r="AID138" s="7"/>
      <c r="AIE138" s="7"/>
      <c r="AIF138" s="7"/>
      <c r="AIG138" s="7"/>
      <c r="AIH138" s="7"/>
      <c r="AII138" s="7"/>
      <c r="AIJ138" s="7"/>
      <c r="AIK138" s="7"/>
      <c r="AIL138" s="7"/>
      <c r="AIM138" s="7"/>
      <c r="AIN138" s="7"/>
      <c r="AIO138" s="7"/>
      <c r="AIP138" s="7"/>
      <c r="AIQ138" s="7"/>
      <c r="AIR138" s="7"/>
      <c r="AIS138" s="7"/>
      <c r="AIT138" s="7"/>
      <c r="AIU138" s="7"/>
      <c r="AIV138" s="7"/>
      <c r="AIW138" s="7"/>
      <c r="AIX138" s="7"/>
      <c r="AIY138" s="7"/>
      <c r="AIZ138" s="7"/>
      <c r="AJA138" s="7"/>
      <c r="AJB138" s="7"/>
      <c r="AJC138" s="7"/>
      <c r="AJD138" s="7"/>
      <c r="AJE138" s="7"/>
      <c r="AJF138" s="7"/>
      <c r="AJG138" s="7"/>
      <c r="AJH138" s="7"/>
      <c r="AJI138" s="7"/>
      <c r="AJJ138" s="7"/>
      <c r="AJK138" s="7"/>
      <c r="AJL138" s="7"/>
      <c r="AJM138" s="7"/>
      <c r="AJN138" s="7"/>
      <c r="AJO138" s="7"/>
      <c r="AJP138" s="7"/>
      <c r="AJQ138" s="7"/>
      <c r="AJR138" s="7"/>
      <c r="AJS138" s="7"/>
      <c r="AJT138" s="7"/>
      <c r="AJU138" s="7"/>
      <c r="AJV138" s="7"/>
      <c r="AJW138" s="7"/>
      <c r="AJX138" s="7"/>
      <c r="AJY138" s="7"/>
      <c r="AJZ138" s="7"/>
      <c r="AKA138" s="7"/>
      <c r="AKB138" s="7"/>
      <c r="AKC138" s="7"/>
      <c r="AKD138" s="7"/>
      <c r="AKE138" s="7"/>
      <c r="AKF138" s="7"/>
      <c r="AKG138" s="7"/>
      <c r="AKH138" s="7"/>
      <c r="AKI138" s="7"/>
      <c r="AKJ138" s="7"/>
      <c r="AKK138" s="7"/>
      <c r="AKL138" s="7"/>
      <c r="AKM138" s="7"/>
      <c r="AKN138" s="7"/>
      <c r="AKO138" s="7"/>
      <c r="AKP138" s="7"/>
      <c r="AKQ138" s="7"/>
      <c r="AKR138" s="7"/>
      <c r="AKS138" s="7"/>
      <c r="AKT138" s="7"/>
      <c r="AKU138" s="7"/>
      <c r="AKV138" s="7"/>
      <c r="AKW138" s="7"/>
      <c r="AKX138" s="7"/>
      <c r="AKY138" s="7"/>
      <c r="AKZ138" s="7"/>
      <c r="ALA138" s="7"/>
      <c r="ALB138" s="7"/>
      <c r="ALC138" s="7"/>
      <c r="ALD138" s="7"/>
      <c r="ALE138" s="7"/>
      <c r="ALF138" s="7"/>
      <c r="ALG138" s="7"/>
      <c r="ALH138" s="7"/>
      <c r="ALI138" s="7"/>
      <c r="ALJ138" s="7"/>
      <c r="ALK138" s="7"/>
      <c r="ALL138" s="7"/>
      <c r="ALM138" s="7"/>
      <c r="ALN138" s="7"/>
      <c r="ALO138" s="7"/>
      <c r="ALP138" s="7"/>
      <c r="ALQ138" s="7"/>
      <c r="ALR138" s="7"/>
      <c r="ALS138" s="7"/>
      <c r="ALT138" s="7"/>
      <c r="ALU138" s="7"/>
      <c r="ALV138" s="7"/>
      <c r="ALW138" s="7"/>
      <c r="ALX138" s="7"/>
      <c r="ALY138" s="7"/>
      <c r="ALZ138" s="7"/>
      <c r="AMA138" s="7"/>
      <c r="AMB138" s="7"/>
      <c r="AMC138" s="7"/>
      <c r="AMD138" s="7"/>
      <c r="AME138" s="7"/>
      <c r="AMF138" s="7"/>
      <c r="AMG138" s="7"/>
      <c r="AMH138" s="7"/>
      <c r="AMI138" s="7"/>
      <c r="AMJ138" s="7"/>
    </row>
    <row r="139" s="198" customFormat="true" ht="15.75" hidden="false" customHeight="true" outlineLevel="0" collapsed="false">
      <c r="A139" s="7"/>
      <c r="B139" s="41" t="s">
        <v>127</v>
      </c>
      <c r="C139" s="92" t="s">
        <v>128</v>
      </c>
      <c r="D139" s="92"/>
      <c r="E139" s="92"/>
      <c r="F139" s="43" t="n">
        <v>2</v>
      </c>
      <c r="G139" s="24"/>
      <c r="H139" s="41"/>
      <c r="I139" s="194" t="s">
        <v>129</v>
      </c>
      <c r="J139" s="195" t="n">
        <v>20</v>
      </c>
      <c r="K139" s="195" t="n">
        <v>2</v>
      </c>
      <c r="L139" s="9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  <c r="KS139" s="7"/>
      <c r="KT139" s="7"/>
      <c r="KU139" s="7"/>
      <c r="KV139" s="7"/>
      <c r="KW139" s="7"/>
      <c r="KX139" s="7"/>
      <c r="KY139" s="7"/>
      <c r="KZ139" s="7"/>
      <c r="LA139" s="7"/>
      <c r="LB139" s="7"/>
      <c r="LC139" s="7"/>
      <c r="LD139" s="7"/>
      <c r="LE139" s="7"/>
      <c r="LF139" s="7"/>
      <c r="LG139" s="7"/>
      <c r="LH139" s="7"/>
      <c r="LI139" s="7"/>
      <c r="LJ139" s="7"/>
      <c r="LK139" s="7"/>
      <c r="LL139" s="7"/>
      <c r="LM139" s="7"/>
      <c r="LN139" s="7"/>
      <c r="LO139" s="7"/>
      <c r="LP139" s="7"/>
      <c r="LQ139" s="7"/>
      <c r="LR139" s="7"/>
      <c r="LS139" s="7"/>
      <c r="LT139" s="7"/>
      <c r="LU139" s="7"/>
      <c r="LV139" s="7"/>
      <c r="LW139" s="7"/>
      <c r="LX139" s="7"/>
      <c r="LY139" s="7"/>
      <c r="LZ139" s="7"/>
      <c r="MA139" s="7"/>
      <c r="MB139" s="7"/>
      <c r="MC139" s="7"/>
      <c r="MD139" s="7"/>
      <c r="ME139" s="7"/>
      <c r="MF139" s="7"/>
      <c r="MG139" s="7"/>
      <c r="MH139" s="7"/>
      <c r="MI139" s="7"/>
      <c r="MJ139" s="7"/>
      <c r="MK139" s="7"/>
      <c r="ML139" s="7"/>
      <c r="MM139" s="7"/>
      <c r="MN139" s="7"/>
      <c r="MO139" s="7"/>
      <c r="MP139" s="7"/>
      <c r="MQ139" s="7"/>
      <c r="MR139" s="7"/>
      <c r="MS139" s="7"/>
      <c r="MT139" s="7"/>
      <c r="MU139" s="7"/>
      <c r="MV139" s="7"/>
      <c r="MW139" s="7"/>
      <c r="MX139" s="7"/>
      <c r="MY139" s="7"/>
      <c r="MZ139" s="7"/>
      <c r="NA139" s="7"/>
      <c r="NB139" s="7"/>
      <c r="NC139" s="7"/>
      <c r="ND139" s="7"/>
      <c r="NE139" s="7"/>
      <c r="NF139" s="7"/>
      <c r="NG139" s="7"/>
      <c r="NH139" s="7"/>
      <c r="NI139" s="7"/>
      <c r="NJ139" s="7"/>
      <c r="NK139" s="7"/>
      <c r="NL139" s="7"/>
      <c r="NM139" s="7"/>
      <c r="NN139" s="7"/>
      <c r="NO139" s="7"/>
      <c r="NP139" s="7"/>
      <c r="NQ139" s="7"/>
      <c r="NR139" s="7"/>
      <c r="NS139" s="7"/>
      <c r="NT139" s="7"/>
      <c r="NU139" s="7"/>
      <c r="NV139" s="7"/>
      <c r="NW139" s="7"/>
      <c r="NX139" s="7"/>
      <c r="NY139" s="7"/>
      <c r="NZ139" s="7"/>
      <c r="OA139" s="7"/>
      <c r="OB139" s="7"/>
      <c r="OC139" s="7"/>
      <c r="OD139" s="7"/>
      <c r="OE139" s="7"/>
      <c r="OF139" s="7"/>
      <c r="OG139" s="7"/>
      <c r="OH139" s="7"/>
      <c r="OI139" s="7"/>
      <c r="OJ139" s="7"/>
      <c r="OK139" s="7"/>
      <c r="OL139" s="7"/>
      <c r="OM139" s="7"/>
      <c r="ON139" s="7"/>
      <c r="OO139" s="7"/>
      <c r="OP139" s="7"/>
      <c r="OQ139" s="7"/>
      <c r="OR139" s="7"/>
      <c r="OS139" s="7"/>
      <c r="OT139" s="7"/>
      <c r="OU139" s="7"/>
      <c r="OV139" s="7"/>
      <c r="OW139" s="7"/>
      <c r="OX139" s="7"/>
      <c r="OY139" s="7"/>
      <c r="OZ139" s="7"/>
      <c r="PA139" s="7"/>
      <c r="PB139" s="7"/>
      <c r="PC139" s="7"/>
      <c r="PD139" s="7"/>
      <c r="PE139" s="7"/>
      <c r="PF139" s="7"/>
      <c r="PG139" s="7"/>
      <c r="PH139" s="7"/>
      <c r="PI139" s="7"/>
      <c r="PJ139" s="7"/>
      <c r="PK139" s="7"/>
      <c r="PL139" s="7"/>
      <c r="PM139" s="7"/>
      <c r="PN139" s="7"/>
      <c r="PO139" s="7"/>
      <c r="PP139" s="7"/>
      <c r="PQ139" s="7"/>
      <c r="PR139" s="7"/>
      <c r="PS139" s="7"/>
      <c r="PT139" s="7"/>
      <c r="PU139" s="7"/>
      <c r="PV139" s="7"/>
      <c r="PW139" s="7"/>
      <c r="PX139" s="7"/>
      <c r="PY139" s="7"/>
      <c r="PZ139" s="7"/>
      <c r="QA139" s="7"/>
      <c r="QB139" s="7"/>
      <c r="QC139" s="7"/>
      <c r="QD139" s="7"/>
      <c r="QE139" s="7"/>
      <c r="QF139" s="7"/>
      <c r="QG139" s="7"/>
      <c r="QH139" s="7"/>
      <c r="QI139" s="7"/>
      <c r="QJ139" s="7"/>
      <c r="QK139" s="7"/>
      <c r="QL139" s="7"/>
      <c r="QM139" s="7"/>
      <c r="QN139" s="7"/>
      <c r="QO139" s="7"/>
      <c r="QP139" s="7"/>
      <c r="QQ139" s="7"/>
      <c r="QR139" s="7"/>
      <c r="QS139" s="7"/>
      <c r="QT139" s="7"/>
      <c r="QU139" s="7"/>
      <c r="QV139" s="7"/>
      <c r="QW139" s="7"/>
      <c r="QX139" s="7"/>
      <c r="QY139" s="7"/>
      <c r="QZ139" s="7"/>
      <c r="RA139" s="7"/>
      <c r="RB139" s="7"/>
      <c r="RC139" s="7"/>
      <c r="RD139" s="7"/>
      <c r="RE139" s="7"/>
      <c r="RF139" s="7"/>
      <c r="RG139" s="7"/>
      <c r="RH139" s="7"/>
      <c r="RI139" s="7"/>
      <c r="RJ139" s="7"/>
      <c r="RK139" s="7"/>
      <c r="RL139" s="7"/>
      <c r="RM139" s="7"/>
      <c r="RN139" s="7"/>
      <c r="RO139" s="7"/>
      <c r="RP139" s="7"/>
      <c r="RQ139" s="7"/>
      <c r="RR139" s="7"/>
      <c r="RS139" s="7"/>
      <c r="RT139" s="7"/>
      <c r="RU139" s="7"/>
      <c r="RV139" s="7"/>
      <c r="RW139" s="7"/>
      <c r="RX139" s="7"/>
      <c r="RY139" s="7"/>
      <c r="RZ139" s="7"/>
      <c r="SA139" s="7"/>
      <c r="SB139" s="7"/>
      <c r="SC139" s="7"/>
      <c r="SD139" s="7"/>
      <c r="SE139" s="7"/>
      <c r="SF139" s="7"/>
      <c r="SG139" s="7"/>
      <c r="SH139" s="7"/>
      <c r="SI139" s="7"/>
      <c r="SJ139" s="7"/>
      <c r="SK139" s="7"/>
      <c r="SL139" s="7"/>
      <c r="SM139" s="7"/>
      <c r="SN139" s="7"/>
      <c r="SO139" s="7"/>
      <c r="SP139" s="7"/>
      <c r="SQ139" s="7"/>
      <c r="SR139" s="7"/>
      <c r="SS139" s="7"/>
      <c r="ST139" s="7"/>
      <c r="SU139" s="7"/>
      <c r="SV139" s="7"/>
      <c r="SW139" s="7"/>
      <c r="SX139" s="7"/>
      <c r="SY139" s="7"/>
      <c r="SZ139" s="7"/>
      <c r="TA139" s="7"/>
      <c r="TB139" s="7"/>
      <c r="TC139" s="7"/>
      <c r="TD139" s="7"/>
      <c r="TE139" s="7"/>
      <c r="TF139" s="7"/>
      <c r="TG139" s="7"/>
      <c r="TH139" s="7"/>
      <c r="TI139" s="7"/>
      <c r="TJ139" s="7"/>
      <c r="TK139" s="7"/>
      <c r="TL139" s="7"/>
      <c r="TM139" s="7"/>
      <c r="TN139" s="7"/>
      <c r="TO139" s="7"/>
      <c r="TP139" s="7"/>
      <c r="TQ139" s="7"/>
      <c r="TR139" s="7"/>
      <c r="TS139" s="7"/>
      <c r="TT139" s="7"/>
      <c r="TU139" s="7"/>
      <c r="TV139" s="7"/>
      <c r="TW139" s="7"/>
      <c r="TX139" s="7"/>
      <c r="TY139" s="7"/>
      <c r="TZ139" s="7"/>
      <c r="UA139" s="7"/>
      <c r="UB139" s="7"/>
      <c r="UC139" s="7"/>
      <c r="UD139" s="7"/>
      <c r="UE139" s="7"/>
      <c r="UF139" s="7"/>
      <c r="UG139" s="7"/>
      <c r="UH139" s="7"/>
      <c r="UI139" s="7"/>
      <c r="UJ139" s="7"/>
      <c r="UK139" s="7"/>
      <c r="UL139" s="7"/>
      <c r="UM139" s="7"/>
      <c r="UN139" s="7"/>
      <c r="UO139" s="7"/>
      <c r="UP139" s="7"/>
      <c r="UQ139" s="7"/>
      <c r="UR139" s="7"/>
      <c r="US139" s="7"/>
      <c r="UT139" s="7"/>
      <c r="UU139" s="7"/>
      <c r="UV139" s="7"/>
      <c r="UW139" s="7"/>
      <c r="UX139" s="7"/>
      <c r="UY139" s="7"/>
      <c r="UZ139" s="7"/>
      <c r="VA139" s="7"/>
      <c r="VB139" s="7"/>
      <c r="VC139" s="7"/>
      <c r="VD139" s="7"/>
      <c r="VE139" s="7"/>
      <c r="VF139" s="7"/>
      <c r="VG139" s="7"/>
      <c r="VH139" s="7"/>
      <c r="VI139" s="7"/>
      <c r="VJ139" s="7"/>
      <c r="VK139" s="7"/>
      <c r="VL139" s="7"/>
      <c r="VM139" s="7"/>
      <c r="VN139" s="7"/>
      <c r="VO139" s="7"/>
      <c r="VP139" s="7"/>
      <c r="VQ139" s="7"/>
      <c r="VR139" s="7"/>
      <c r="VS139" s="7"/>
      <c r="VT139" s="7"/>
      <c r="VU139" s="7"/>
      <c r="VV139" s="7"/>
      <c r="VW139" s="7"/>
      <c r="VX139" s="7"/>
      <c r="VY139" s="7"/>
      <c r="VZ139" s="7"/>
      <c r="WA139" s="7"/>
      <c r="WB139" s="7"/>
      <c r="WC139" s="7"/>
      <c r="WD139" s="7"/>
      <c r="WE139" s="7"/>
      <c r="WF139" s="7"/>
      <c r="WG139" s="7"/>
      <c r="WH139" s="7"/>
      <c r="WI139" s="7"/>
      <c r="WJ139" s="7"/>
      <c r="WK139" s="7"/>
      <c r="WL139" s="7"/>
      <c r="WM139" s="7"/>
      <c r="WN139" s="7"/>
      <c r="WO139" s="7"/>
      <c r="WP139" s="7"/>
      <c r="WQ139" s="7"/>
      <c r="WR139" s="7"/>
      <c r="WS139" s="7"/>
      <c r="WT139" s="7"/>
      <c r="WU139" s="7"/>
      <c r="WV139" s="7"/>
      <c r="WW139" s="7"/>
      <c r="WX139" s="7"/>
      <c r="WY139" s="7"/>
      <c r="WZ139" s="7"/>
      <c r="XA139" s="7"/>
      <c r="XB139" s="7"/>
      <c r="XC139" s="7"/>
      <c r="XD139" s="7"/>
      <c r="XE139" s="7"/>
      <c r="XF139" s="7"/>
      <c r="XG139" s="7"/>
      <c r="XH139" s="7"/>
      <c r="XI139" s="7"/>
      <c r="XJ139" s="7"/>
      <c r="XK139" s="7"/>
      <c r="XL139" s="7"/>
      <c r="XM139" s="7"/>
      <c r="XN139" s="7"/>
      <c r="XO139" s="7"/>
      <c r="XP139" s="7"/>
      <c r="XQ139" s="7"/>
      <c r="XR139" s="7"/>
      <c r="XS139" s="7"/>
      <c r="XT139" s="7"/>
      <c r="XU139" s="7"/>
      <c r="XV139" s="7"/>
      <c r="XW139" s="7"/>
      <c r="XX139" s="7"/>
      <c r="XY139" s="7"/>
      <c r="XZ139" s="7"/>
      <c r="YA139" s="7"/>
      <c r="YB139" s="7"/>
      <c r="YC139" s="7"/>
      <c r="YD139" s="7"/>
      <c r="YE139" s="7"/>
      <c r="YF139" s="7"/>
      <c r="YG139" s="7"/>
      <c r="YH139" s="7"/>
      <c r="YI139" s="7"/>
      <c r="YJ139" s="7"/>
      <c r="YK139" s="7"/>
      <c r="YL139" s="7"/>
      <c r="YM139" s="7"/>
      <c r="YN139" s="7"/>
      <c r="YO139" s="7"/>
      <c r="YP139" s="7"/>
      <c r="YQ139" s="7"/>
      <c r="YR139" s="7"/>
      <c r="YS139" s="7"/>
      <c r="YT139" s="7"/>
      <c r="YU139" s="7"/>
      <c r="YV139" s="7"/>
      <c r="YW139" s="7"/>
      <c r="YX139" s="7"/>
      <c r="YY139" s="7"/>
      <c r="YZ139" s="7"/>
      <c r="ZA139" s="7"/>
      <c r="ZB139" s="7"/>
      <c r="ZC139" s="7"/>
      <c r="ZD139" s="7"/>
      <c r="ZE139" s="7"/>
      <c r="ZF139" s="7"/>
      <c r="ZG139" s="7"/>
      <c r="ZH139" s="7"/>
      <c r="ZI139" s="7"/>
      <c r="ZJ139" s="7"/>
      <c r="ZK139" s="7"/>
      <c r="ZL139" s="7"/>
      <c r="ZM139" s="7"/>
      <c r="ZN139" s="7"/>
      <c r="ZO139" s="7"/>
      <c r="ZP139" s="7"/>
      <c r="ZQ139" s="7"/>
      <c r="ZR139" s="7"/>
      <c r="ZS139" s="7"/>
      <c r="ZT139" s="7"/>
      <c r="ZU139" s="7"/>
      <c r="ZV139" s="7"/>
      <c r="ZW139" s="7"/>
      <c r="ZX139" s="7"/>
      <c r="ZY139" s="7"/>
      <c r="ZZ139" s="7"/>
      <c r="AAA139" s="7"/>
      <c r="AAB139" s="7"/>
      <c r="AAC139" s="7"/>
      <c r="AAD139" s="7"/>
      <c r="AAE139" s="7"/>
      <c r="AAF139" s="7"/>
      <c r="AAG139" s="7"/>
      <c r="AAH139" s="7"/>
      <c r="AAI139" s="7"/>
      <c r="AAJ139" s="7"/>
      <c r="AAK139" s="7"/>
      <c r="AAL139" s="7"/>
      <c r="AAM139" s="7"/>
      <c r="AAN139" s="7"/>
      <c r="AAO139" s="7"/>
      <c r="AAP139" s="7"/>
      <c r="AAQ139" s="7"/>
      <c r="AAR139" s="7"/>
      <c r="AAS139" s="7"/>
      <c r="AAT139" s="7"/>
      <c r="AAU139" s="7"/>
      <c r="AAV139" s="7"/>
      <c r="AAW139" s="7"/>
      <c r="AAX139" s="7"/>
      <c r="AAY139" s="7"/>
      <c r="AAZ139" s="7"/>
      <c r="ABA139" s="7"/>
      <c r="ABB139" s="7"/>
      <c r="ABC139" s="7"/>
      <c r="ABD139" s="7"/>
      <c r="ABE139" s="7"/>
      <c r="ABF139" s="7"/>
      <c r="ABG139" s="7"/>
      <c r="ABH139" s="7"/>
      <c r="ABI139" s="7"/>
      <c r="ABJ139" s="7"/>
      <c r="ABK139" s="7"/>
      <c r="ABL139" s="7"/>
      <c r="ABM139" s="7"/>
      <c r="ABN139" s="7"/>
      <c r="ABO139" s="7"/>
      <c r="ABP139" s="7"/>
      <c r="ABQ139" s="7"/>
      <c r="ABR139" s="7"/>
      <c r="ABS139" s="7"/>
      <c r="ABT139" s="7"/>
      <c r="ABU139" s="7"/>
      <c r="ABV139" s="7"/>
      <c r="ABW139" s="7"/>
      <c r="ABX139" s="7"/>
      <c r="ABY139" s="7"/>
      <c r="ABZ139" s="7"/>
      <c r="ACA139" s="7"/>
      <c r="ACB139" s="7"/>
      <c r="ACC139" s="7"/>
      <c r="ACD139" s="7"/>
      <c r="ACE139" s="7"/>
      <c r="ACF139" s="7"/>
      <c r="ACG139" s="7"/>
      <c r="ACH139" s="7"/>
      <c r="ACI139" s="7"/>
      <c r="ACJ139" s="7"/>
      <c r="ACK139" s="7"/>
      <c r="ACL139" s="7"/>
      <c r="ACM139" s="7"/>
      <c r="ACN139" s="7"/>
      <c r="ACO139" s="7"/>
      <c r="ACP139" s="7"/>
      <c r="ACQ139" s="7"/>
      <c r="ACR139" s="7"/>
      <c r="ACS139" s="7"/>
      <c r="ACT139" s="7"/>
      <c r="ACU139" s="7"/>
      <c r="ACV139" s="7"/>
      <c r="ACW139" s="7"/>
      <c r="ACX139" s="7"/>
      <c r="ACY139" s="7"/>
      <c r="ACZ139" s="7"/>
      <c r="ADA139" s="7"/>
      <c r="ADB139" s="7"/>
      <c r="ADC139" s="7"/>
      <c r="ADD139" s="7"/>
      <c r="ADE139" s="7"/>
      <c r="ADF139" s="7"/>
      <c r="ADG139" s="7"/>
      <c r="ADH139" s="7"/>
      <c r="ADI139" s="7"/>
      <c r="ADJ139" s="7"/>
      <c r="ADK139" s="7"/>
      <c r="ADL139" s="7"/>
      <c r="ADM139" s="7"/>
      <c r="ADN139" s="7"/>
      <c r="ADO139" s="7"/>
      <c r="ADP139" s="7"/>
      <c r="ADQ139" s="7"/>
      <c r="ADR139" s="7"/>
      <c r="ADS139" s="7"/>
      <c r="ADT139" s="7"/>
      <c r="ADU139" s="7"/>
      <c r="ADV139" s="7"/>
      <c r="ADW139" s="7"/>
      <c r="ADX139" s="7"/>
      <c r="ADY139" s="7"/>
      <c r="ADZ139" s="7"/>
      <c r="AEA139" s="7"/>
      <c r="AEB139" s="7"/>
      <c r="AEC139" s="7"/>
      <c r="AED139" s="7"/>
      <c r="AEE139" s="7"/>
      <c r="AEF139" s="7"/>
      <c r="AEG139" s="7"/>
      <c r="AEH139" s="7"/>
      <c r="AEI139" s="7"/>
      <c r="AEJ139" s="7"/>
      <c r="AEK139" s="7"/>
      <c r="AEL139" s="7"/>
      <c r="AEM139" s="7"/>
      <c r="AEN139" s="7"/>
      <c r="AEO139" s="7"/>
      <c r="AEP139" s="7"/>
      <c r="AEQ139" s="7"/>
      <c r="AER139" s="7"/>
      <c r="AES139" s="7"/>
      <c r="AET139" s="7"/>
      <c r="AEU139" s="7"/>
      <c r="AEV139" s="7"/>
      <c r="AEW139" s="7"/>
      <c r="AEX139" s="7"/>
      <c r="AEY139" s="7"/>
      <c r="AEZ139" s="7"/>
      <c r="AFA139" s="7"/>
      <c r="AFB139" s="7"/>
      <c r="AFC139" s="7"/>
      <c r="AFD139" s="7"/>
      <c r="AFE139" s="7"/>
      <c r="AFF139" s="7"/>
      <c r="AFG139" s="7"/>
      <c r="AFH139" s="7"/>
      <c r="AFI139" s="7"/>
      <c r="AFJ139" s="7"/>
      <c r="AFK139" s="7"/>
      <c r="AFL139" s="7"/>
      <c r="AFM139" s="7"/>
      <c r="AFN139" s="7"/>
      <c r="AFO139" s="7"/>
      <c r="AFP139" s="7"/>
      <c r="AFQ139" s="7"/>
      <c r="AFR139" s="7"/>
      <c r="AFS139" s="7"/>
      <c r="AFT139" s="7"/>
      <c r="AFU139" s="7"/>
      <c r="AFV139" s="7"/>
      <c r="AFW139" s="7"/>
      <c r="AFX139" s="7"/>
      <c r="AFY139" s="7"/>
      <c r="AFZ139" s="7"/>
      <c r="AGA139" s="7"/>
      <c r="AGB139" s="7"/>
      <c r="AGC139" s="7"/>
      <c r="AGD139" s="7"/>
      <c r="AGE139" s="7"/>
      <c r="AGF139" s="7"/>
      <c r="AGG139" s="7"/>
      <c r="AGH139" s="7"/>
      <c r="AGI139" s="7"/>
      <c r="AGJ139" s="7"/>
      <c r="AGK139" s="7"/>
      <c r="AGL139" s="7"/>
      <c r="AGM139" s="7"/>
      <c r="AGN139" s="7"/>
      <c r="AGO139" s="7"/>
      <c r="AGP139" s="7"/>
      <c r="AGQ139" s="7"/>
      <c r="AGR139" s="7"/>
      <c r="AGS139" s="7"/>
      <c r="AGT139" s="7"/>
      <c r="AGU139" s="7"/>
      <c r="AGV139" s="7"/>
      <c r="AGW139" s="7"/>
      <c r="AGX139" s="7"/>
      <c r="AGY139" s="7"/>
      <c r="AGZ139" s="7"/>
      <c r="AHA139" s="7"/>
      <c r="AHB139" s="7"/>
      <c r="AHC139" s="7"/>
      <c r="AHD139" s="7"/>
      <c r="AHE139" s="7"/>
      <c r="AHF139" s="7"/>
      <c r="AHG139" s="7"/>
      <c r="AHH139" s="7"/>
      <c r="AHI139" s="7"/>
      <c r="AHJ139" s="7"/>
      <c r="AHK139" s="7"/>
      <c r="AHL139" s="7"/>
      <c r="AHM139" s="7"/>
      <c r="AHN139" s="7"/>
      <c r="AHO139" s="7"/>
      <c r="AHP139" s="7"/>
      <c r="AHQ139" s="7"/>
      <c r="AHR139" s="7"/>
      <c r="AHS139" s="7"/>
      <c r="AHT139" s="7"/>
      <c r="AHU139" s="7"/>
      <c r="AHV139" s="7"/>
      <c r="AHW139" s="7"/>
      <c r="AHX139" s="7"/>
      <c r="AHY139" s="7"/>
      <c r="AHZ139" s="7"/>
      <c r="AIA139" s="7"/>
      <c r="AIB139" s="7"/>
      <c r="AIC139" s="7"/>
      <c r="AID139" s="7"/>
      <c r="AIE139" s="7"/>
      <c r="AIF139" s="7"/>
      <c r="AIG139" s="7"/>
      <c r="AIH139" s="7"/>
      <c r="AII139" s="7"/>
      <c r="AIJ139" s="7"/>
      <c r="AIK139" s="7"/>
      <c r="AIL139" s="7"/>
      <c r="AIM139" s="7"/>
      <c r="AIN139" s="7"/>
      <c r="AIO139" s="7"/>
      <c r="AIP139" s="7"/>
      <c r="AIQ139" s="7"/>
      <c r="AIR139" s="7"/>
      <c r="AIS139" s="7"/>
      <c r="AIT139" s="7"/>
      <c r="AIU139" s="7"/>
      <c r="AIV139" s="7"/>
      <c r="AIW139" s="7"/>
      <c r="AIX139" s="7"/>
      <c r="AIY139" s="7"/>
      <c r="AIZ139" s="7"/>
      <c r="AJA139" s="7"/>
      <c r="AJB139" s="7"/>
      <c r="AJC139" s="7"/>
      <c r="AJD139" s="7"/>
      <c r="AJE139" s="7"/>
      <c r="AJF139" s="7"/>
      <c r="AJG139" s="7"/>
      <c r="AJH139" s="7"/>
      <c r="AJI139" s="7"/>
      <c r="AJJ139" s="7"/>
      <c r="AJK139" s="7"/>
      <c r="AJL139" s="7"/>
      <c r="AJM139" s="7"/>
      <c r="AJN139" s="7"/>
      <c r="AJO139" s="7"/>
      <c r="AJP139" s="7"/>
      <c r="AJQ139" s="7"/>
      <c r="AJR139" s="7"/>
      <c r="AJS139" s="7"/>
      <c r="AJT139" s="7"/>
      <c r="AJU139" s="7"/>
      <c r="AJV139" s="7"/>
      <c r="AJW139" s="7"/>
      <c r="AJX139" s="7"/>
      <c r="AJY139" s="7"/>
      <c r="AJZ139" s="7"/>
      <c r="AKA139" s="7"/>
      <c r="AKB139" s="7"/>
      <c r="AKC139" s="7"/>
      <c r="AKD139" s="7"/>
      <c r="AKE139" s="7"/>
      <c r="AKF139" s="7"/>
      <c r="AKG139" s="7"/>
      <c r="AKH139" s="7"/>
      <c r="AKI139" s="7"/>
      <c r="AKJ139" s="7"/>
      <c r="AKK139" s="7"/>
      <c r="AKL139" s="7"/>
      <c r="AKM139" s="7"/>
      <c r="AKN139" s="7"/>
      <c r="AKO139" s="7"/>
      <c r="AKP139" s="7"/>
      <c r="AKQ139" s="7"/>
      <c r="AKR139" s="7"/>
      <c r="AKS139" s="7"/>
      <c r="AKT139" s="7"/>
      <c r="AKU139" s="7"/>
      <c r="AKV139" s="7"/>
      <c r="AKW139" s="7"/>
      <c r="AKX139" s="7"/>
      <c r="AKY139" s="7"/>
      <c r="AKZ139" s="7"/>
      <c r="ALA139" s="7"/>
      <c r="ALB139" s="7"/>
      <c r="ALC139" s="7"/>
      <c r="ALD139" s="7"/>
      <c r="ALE139" s="7"/>
      <c r="ALF139" s="7"/>
      <c r="ALG139" s="7"/>
      <c r="ALH139" s="7"/>
      <c r="ALI139" s="7"/>
      <c r="ALJ139" s="7"/>
      <c r="ALK139" s="7"/>
      <c r="ALL139" s="7"/>
      <c r="ALM139" s="7"/>
      <c r="ALN139" s="7"/>
      <c r="ALO139" s="7"/>
      <c r="ALP139" s="7"/>
      <c r="ALQ139" s="7"/>
      <c r="ALR139" s="7"/>
      <c r="ALS139" s="7"/>
      <c r="ALT139" s="7"/>
      <c r="ALU139" s="7"/>
      <c r="ALV139" s="7"/>
      <c r="ALW139" s="7"/>
      <c r="ALX139" s="7"/>
      <c r="ALY139" s="7"/>
      <c r="ALZ139" s="7"/>
      <c r="AMA139" s="7"/>
      <c r="AMB139" s="7"/>
      <c r="AMC139" s="7"/>
      <c r="AMD139" s="7"/>
      <c r="AME139" s="7"/>
      <c r="AMF139" s="7"/>
      <c r="AMG139" s="7"/>
      <c r="AMH139" s="7"/>
      <c r="AMI139" s="7"/>
      <c r="AMJ139" s="7"/>
    </row>
    <row r="140" s="196" customFormat="true" ht="15.75" hidden="false" customHeight="true" outlineLevel="0" collapsed="false">
      <c r="A140" s="7"/>
      <c r="B140" s="41"/>
      <c r="C140" s="186" t="s">
        <v>129</v>
      </c>
      <c r="D140" s="133" t="n">
        <v>20</v>
      </c>
      <c r="E140" s="187" t="n">
        <v>1</v>
      </c>
      <c r="F140" s="43"/>
      <c r="G140" s="24"/>
      <c r="H140" s="41"/>
      <c r="I140" s="186" t="s">
        <v>183</v>
      </c>
      <c r="J140" s="133" t="n">
        <v>30</v>
      </c>
      <c r="K140" s="187" t="n">
        <v>3</v>
      </c>
      <c r="L140" s="9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  <c r="KS140" s="7"/>
      <c r="KT140" s="7"/>
      <c r="KU140" s="7"/>
      <c r="KV140" s="7"/>
      <c r="KW140" s="7"/>
      <c r="KX140" s="7"/>
      <c r="KY140" s="7"/>
      <c r="KZ140" s="7"/>
      <c r="LA140" s="7"/>
      <c r="LB140" s="7"/>
      <c r="LC140" s="7"/>
      <c r="LD140" s="7"/>
      <c r="LE140" s="7"/>
      <c r="LF140" s="7"/>
      <c r="LG140" s="7"/>
      <c r="LH140" s="7"/>
      <c r="LI140" s="7"/>
      <c r="LJ140" s="7"/>
      <c r="LK140" s="7"/>
      <c r="LL140" s="7"/>
      <c r="LM140" s="7"/>
      <c r="LN140" s="7"/>
      <c r="LO140" s="7"/>
      <c r="LP140" s="7"/>
      <c r="LQ140" s="7"/>
      <c r="LR140" s="7"/>
      <c r="LS140" s="7"/>
      <c r="LT140" s="7"/>
      <c r="LU140" s="7"/>
      <c r="LV140" s="7"/>
      <c r="LW140" s="7"/>
      <c r="LX140" s="7"/>
      <c r="LY140" s="7"/>
      <c r="LZ140" s="7"/>
      <c r="MA140" s="7"/>
      <c r="MB140" s="7"/>
      <c r="MC140" s="7"/>
      <c r="MD140" s="7"/>
      <c r="ME140" s="7"/>
      <c r="MF140" s="7"/>
      <c r="MG140" s="7"/>
      <c r="MH140" s="7"/>
      <c r="MI140" s="7"/>
      <c r="MJ140" s="7"/>
      <c r="MK140" s="7"/>
      <c r="ML140" s="7"/>
      <c r="MM140" s="7"/>
      <c r="MN140" s="7"/>
      <c r="MO140" s="7"/>
      <c r="MP140" s="7"/>
      <c r="MQ140" s="7"/>
      <c r="MR140" s="7"/>
      <c r="MS140" s="7"/>
      <c r="MT140" s="7"/>
      <c r="MU140" s="7"/>
      <c r="MV140" s="7"/>
      <c r="MW140" s="7"/>
      <c r="MX140" s="7"/>
      <c r="MY140" s="7"/>
      <c r="MZ140" s="7"/>
      <c r="NA140" s="7"/>
      <c r="NB140" s="7"/>
      <c r="NC140" s="7"/>
      <c r="ND140" s="7"/>
      <c r="NE140" s="7"/>
      <c r="NF140" s="7"/>
      <c r="NG140" s="7"/>
      <c r="NH140" s="7"/>
      <c r="NI140" s="7"/>
      <c r="NJ140" s="7"/>
      <c r="NK140" s="7"/>
      <c r="NL140" s="7"/>
      <c r="NM140" s="7"/>
      <c r="NN140" s="7"/>
      <c r="NO140" s="7"/>
      <c r="NP140" s="7"/>
      <c r="NQ140" s="7"/>
      <c r="NR140" s="7"/>
      <c r="NS140" s="7"/>
      <c r="NT140" s="7"/>
      <c r="NU140" s="7"/>
      <c r="NV140" s="7"/>
      <c r="NW140" s="7"/>
      <c r="NX140" s="7"/>
      <c r="NY140" s="7"/>
      <c r="NZ140" s="7"/>
      <c r="OA140" s="7"/>
      <c r="OB140" s="7"/>
      <c r="OC140" s="7"/>
      <c r="OD140" s="7"/>
      <c r="OE140" s="7"/>
      <c r="OF140" s="7"/>
      <c r="OG140" s="7"/>
      <c r="OH140" s="7"/>
      <c r="OI140" s="7"/>
      <c r="OJ140" s="7"/>
      <c r="OK140" s="7"/>
      <c r="OL140" s="7"/>
      <c r="OM140" s="7"/>
      <c r="ON140" s="7"/>
      <c r="OO140" s="7"/>
      <c r="OP140" s="7"/>
      <c r="OQ140" s="7"/>
      <c r="OR140" s="7"/>
      <c r="OS140" s="7"/>
      <c r="OT140" s="7"/>
      <c r="OU140" s="7"/>
      <c r="OV140" s="7"/>
      <c r="OW140" s="7"/>
      <c r="OX140" s="7"/>
      <c r="OY140" s="7"/>
      <c r="OZ140" s="7"/>
      <c r="PA140" s="7"/>
      <c r="PB140" s="7"/>
      <c r="PC140" s="7"/>
      <c r="PD140" s="7"/>
      <c r="PE140" s="7"/>
      <c r="PF140" s="7"/>
      <c r="PG140" s="7"/>
      <c r="PH140" s="7"/>
      <c r="PI140" s="7"/>
      <c r="PJ140" s="7"/>
      <c r="PK140" s="7"/>
      <c r="PL140" s="7"/>
      <c r="PM140" s="7"/>
      <c r="PN140" s="7"/>
      <c r="PO140" s="7"/>
      <c r="PP140" s="7"/>
      <c r="PQ140" s="7"/>
      <c r="PR140" s="7"/>
      <c r="PS140" s="7"/>
      <c r="PT140" s="7"/>
      <c r="PU140" s="7"/>
      <c r="PV140" s="7"/>
      <c r="PW140" s="7"/>
      <c r="PX140" s="7"/>
      <c r="PY140" s="7"/>
      <c r="PZ140" s="7"/>
      <c r="QA140" s="7"/>
      <c r="QB140" s="7"/>
      <c r="QC140" s="7"/>
      <c r="QD140" s="7"/>
      <c r="QE140" s="7"/>
      <c r="QF140" s="7"/>
      <c r="QG140" s="7"/>
      <c r="QH140" s="7"/>
      <c r="QI140" s="7"/>
      <c r="QJ140" s="7"/>
      <c r="QK140" s="7"/>
      <c r="QL140" s="7"/>
      <c r="QM140" s="7"/>
      <c r="QN140" s="7"/>
      <c r="QO140" s="7"/>
      <c r="QP140" s="7"/>
      <c r="QQ140" s="7"/>
      <c r="QR140" s="7"/>
      <c r="QS140" s="7"/>
      <c r="QT140" s="7"/>
      <c r="QU140" s="7"/>
      <c r="QV140" s="7"/>
      <c r="QW140" s="7"/>
      <c r="QX140" s="7"/>
      <c r="QY140" s="7"/>
      <c r="QZ140" s="7"/>
      <c r="RA140" s="7"/>
      <c r="RB140" s="7"/>
      <c r="RC140" s="7"/>
      <c r="RD140" s="7"/>
      <c r="RE140" s="7"/>
      <c r="RF140" s="7"/>
      <c r="RG140" s="7"/>
      <c r="RH140" s="7"/>
      <c r="RI140" s="7"/>
      <c r="RJ140" s="7"/>
      <c r="RK140" s="7"/>
      <c r="RL140" s="7"/>
      <c r="RM140" s="7"/>
      <c r="RN140" s="7"/>
      <c r="RO140" s="7"/>
      <c r="RP140" s="7"/>
      <c r="RQ140" s="7"/>
      <c r="RR140" s="7"/>
      <c r="RS140" s="7"/>
      <c r="RT140" s="7"/>
      <c r="RU140" s="7"/>
      <c r="RV140" s="7"/>
      <c r="RW140" s="7"/>
      <c r="RX140" s="7"/>
      <c r="RY140" s="7"/>
      <c r="RZ140" s="7"/>
      <c r="SA140" s="7"/>
      <c r="SB140" s="7"/>
      <c r="SC140" s="7"/>
      <c r="SD140" s="7"/>
      <c r="SE140" s="7"/>
      <c r="SF140" s="7"/>
      <c r="SG140" s="7"/>
      <c r="SH140" s="7"/>
      <c r="SI140" s="7"/>
      <c r="SJ140" s="7"/>
      <c r="SK140" s="7"/>
      <c r="SL140" s="7"/>
      <c r="SM140" s="7"/>
      <c r="SN140" s="7"/>
      <c r="SO140" s="7"/>
      <c r="SP140" s="7"/>
      <c r="SQ140" s="7"/>
      <c r="SR140" s="7"/>
      <c r="SS140" s="7"/>
      <c r="ST140" s="7"/>
      <c r="SU140" s="7"/>
      <c r="SV140" s="7"/>
      <c r="SW140" s="7"/>
      <c r="SX140" s="7"/>
      <c r="SY140" s="7"/>
      <c r="SZ140" s="7"/>
      <c r="TA140" s="7"/>
      <c r="TB140" s="7"/>
      <c r="TC140" s="7"/>
      <c r="TD140" s="7"/>
      <c r="TE140" s="7"/>
      <c r="TF140" s="7"/>
      <c r="TG140" s="7"/>
      <c r="TH140" s="7"/>
      <c r="TI140" s="7"/>
      <c r="TJ140" s="7"/>
      <c r="TK140" s="7"/>
      <c r="TL140" s="7"/>
      <c r="TM140" s="7"/>
      <c r="TN140" s="7"/>
      <c r="TO140" s="7"/>
      <c r="TP140" s="7"/>
      <c r="TQ140" s="7"/>
      <c r="TR140" s="7"/>
      <c r="TS140" s="7"/>
      <c r="TT140" s="7"/>
      <c r="TU140" s="7"/>
      <c r="TV140" s="7"/>
      <c r="TW140" s="7"/>
      <c r="TX140" s="7"/>
      <c r="TY140" s="7"/>
      <c r="TZ140" s="7"/>
      <c r="UA140" s="7"/>
      <c r="UB140" s="7"/>
      <c r="UC140" s="7"/>
      <c r="UD140" s="7"/>
      <c r="UE140" s="7"/>
      <c r="UF140" s="7"/>
      <c r="UG140" s="7"/>
      <c r="UH140" s="7"/>
      <c r="UI140" s="7"/>
      <c r="UJ140" s="7"/>
      <c r="UK140" s="7"/>
      <c r="UL140" s="7"/>
      <c r="UM140" s="7"/>
      <c r="UN140" s="7"/>
      <c r="UO140" s="7"/>
      <c r="UP140" s="7"/>
      <c r="UQ140" s="7"/>
      <c r="UR140" s="7"/>
      <c r="US140" s="7"/>
      <c r="UT140" s="7"/>
      <c r="UU140" s="7"/>
      <c r="UV140" s="7"/>
      <c r="UW140" s="7"/>
      <c r="UX140" s="7"/>
      <c r="UY140" s="7"/>
      <c r="UZ140" s="7"/>
      <c r="VA140" s="7"/>
      <c r="VB140" s="7"/>
      <c r="VC140" s="7"/>
      <c r="VD140" s="7"/>
      <c r="VE140" s="7"/>
      <c r="VF140" s="7"/>
      <c r="VG140" s="7"/>
      <c r="VH140" s="7"/>
      <c r="VI140" s="7"/>
      <c r="VJ140" s="7"/>
      <c r="VK140" s="7"/>
      <c r="VL140" s="7"/>
      <c r="VM140" s="7"/>
      <c r="VN140" s="7"/>
      <c r="VO140" s="7"/>
      <c r="VP140" s="7"/>
      <c r="VQ140" s="7"/>
      <c r="VR140" s="7"/>
      <c r="VS140" s="7"/>
      <c r="VT140" s="7"/>
      <c r="VU140" s="7"/>
      <c r="VV140" s="7"/>
      <c r="VW140" s="7"/>
      <c r="VX140" s="7"/>
      <c r="VY140" s="7"/>
      <c r="VZ140" s="7"/>
      <c r="WA140" s="7"/>
      <c r="WB140" s="7"/>
      <c r="WC140" s="7"/>
      <c r="WD140" s="7"/>
      <c r="WE140" s="7"/>
      <c r="WF140" s="7"/>
      <c r="WG140" s="7"/>
      <c r="WH140" s="7"/>
      <c r="WI140" s="7"/>
      <c r="WJ140" s="7"/>
      <c r="WK140" s="7"/>
      <c r="WL140" s="7"/>
      <c r="WM140" s="7"/>
      <c r="WN140" s="7"/>
      <c r="WO140" s="7"/>
      <c r="WP140" s="7"/>
      <c r="WQ140" s="7"/>
      <c r="WR140" s="7"/>
      <c r="WS140" s="7"/>
      <c r="WT140" s="7"/>
      <c r="WU140" s="7"/>
      <c r="WV140" s="7"/>
      <c r="WW140" s="7"/>
      <c r="WX140" s="7"/>
      <c r="WY140" s="7"/>
      <c r="WZ140" s="7"/>
      <c r="XA140" s="7"/>
      <c r="XB140" s="7"/>
      <c r="XC140" s="7"/>
      <c r="XD140" s="7"/>
      <c r="XE140" s="7"/>
      <c r="XF140" s="7"/>
      <c r="XG140" s="7"/>
      <c r="XH140" s="7"/>
      <c r="XI140" s="7"/>
      <c r="XJ140" s="7"/>
      <c r="XK140" s="7"/>
      <c r="XL140" s="7"/>
      <c r="XM140" s="7"/>
      <c r="XN140" s="7"/>
      <c r="XO140" s="7"/>
      <c r="XP140" s="7"/>
      <c r="XQ140" s="7"/>
      <c r="XR140" s="7"/>
      <c r="XS140" s="7"/>
      <c r="XT140" s="7"/>
      <c r="XU140" s="7"/>
      <c r="XV140" s="7"/>
      <c r="XW140" s="7"/>
      <c r="XX140" s="7"/>
      <c r="XY140" s="7"/>
      <c r="XZ140" s="7"/>
      <c r="YA140" s="7"/>
      <c r="YB140" s="7"/>
      <c r="YC140" s="7"/>
      <c r="YD140" s="7"/>
      <c r="YE140" s="7"/>
      <c r="YF140" s="7"/>
      <c r="YG140" s="7"/>
      <c r="YH140" s="7"/>
      <c r="YI140" s="7"/>
      <c r="YJ140" s="7"/>
      <c r="YK140" s="7"/>
      <c r="YL140" s="7"/>
      <c r="YM140" s="7"/>
      <c r="YN140" s="7"/>
      <c r="YO140" s="7"/>
      <c r="YP140" s="7"/>
      <c r="YQ140" s="7"/>
      <c r="YR140" s="7"/>
      <c r="YS140" s="7"/>
      <c r="YT140" s="7"/>
      <c r="YU140" s="7"/>
      <c r="YV140" s="7"/>
      <c r="YW140" s="7"/>
      <c r="YX140" s="7"/>
      <c r="YY140" s="7"/>
      <c r="YZ140" s="7"/>
      <c r="ZA140" s="7"/>
      <c r="ZB140" s="7"/>
      <c r="ZC140" s="7"/>
      <c r="ZD140" s="7"/>
      <c r="ZE140" s="7"/>
      <c r="ZF140" s="7"/>
      <c r="ZG140" s="7"/>
      <c r="ZH140" s="7"/>
      <c r="ZI140" s="7"/>
      <c r="ZJ140" s="7"/>
      <c r="ZK140" s="7"/>
      <c r="ZL140" s="7"/>
      <c r="ZM140" s="7"/>
      <c r="ZN140" s="7"/>
      <c r="ZO140" s="7"/>
      <c r="ZP140" s="7"/>
      <c r="ZQ140" s="7"/>
      <c r="ZR140" s="7"/>
      <c r="ZS140" s="7"/>
      <c r="ZT140" s="7"/>
      <c r="ZU140" s="7"/>
      <c r="ZV140" s="7"/>
      <c r="ZW140" s="7"/>
      <c r="ZX140" s="7"/>
      <c r="ZY140" s="7"/>
      <c r="ZZ140" s="7"/>
      <c r="AAA140" s="7"/>
      <c r="AAB140" s="7"/>
      <c r="AAC140" s="7"/>
      <c r="AAD140" s="7"/>
      <c r="AAE140" s="7"/>
      <c r="AAF140" s="7"/>
      <c r="AAG140" s="7"/>
      <c r="AAH140" s="7"/>
      <c r="AAI140" s="7"/>
      <c r="AAJ140" s="7"/>
      <c r="AAK140" s="7"/>
      <c r="AAL140" s="7"/>
      <c r="AAM140" s="7"/>
      <c r="AAN140" s="7"/>
      <c r="AAO140" s="7"/>
      <c r="AAP140" s="7"/>
      <c r="AAQ140" s="7"/>
      <c r="AAR140" s="7"/>
      <c r="AAS140" s="7"/>
      <c r="AAT140" s="7"/>
      <c r="AAU140" s="7"/>
      <c r="AAV140" s="7"/>
      <c r="AAW140" s="7"/>
      <c r="AAX140" s="7"/>
      <c r="AAY140" s="7"/>
      <c r="AAZ140" s="7"/>
      <c r="ABA140" s="7"/>
      <c r="ABB140" s="7"/>
      <c r="ABC140" s="7"/>
      <c r="ABD140" s="7"/>
      <c r="ABE140" s="7"/>
      <c r="ABF140" s="7"/>
      <c r="ABG140" s="7"/>
      <c r="ABH140" s="7"/>
      <c r="ABI140" s="7"/>
      <c r="ABJ140" s="7"/>
      <c r="ABK140" s="7"/>
      <c r="ABL140" s="7"/>
      <c r="ABM140" s="7"/>
      <c r="ABN140" s="7"/>
      <c r="ABO140" s="7"/>
      <c r="ABP140" s="7"/>
      <c r="ABQ140" s="7"/>
      <c r="ABR140" s="7"/>
      <c r="ABS140" s="7"/>
      <c r="ABT140" s="7"/>
      <c r="ABU140" s="7"/>
      <c r="ABV140" s="7"/>
      <c r="ABW140" s="7"/>
      <c r="ABX140" s="7"/>
      <c r="ABY140" s="7"/>
      <c r="ABZ140" s="7"/>
      <c r="ACA140" s="7"/>
      <c r="ACB140" s="7"/>
      <c r="ACC140" s="7"/>
      <c r="ACD140" s="7"/>
      <c r="ACE140" s="7"/>
      <c r="ACF140" s="7"/>
      <c r="ACG140" s="7"/>
      <c r="ACH140" s="7"/>
      <c r="ACI140" s="7"/>
      <c r="ACJ140" s="7"/>
      <c r="ACK140" s="7"/>
      <c r="ACL140" s="7"/>
      <c r="ACM140" s="7"/>
      <c r="ACN140" s="7"/>
      <c r="ACO140" s="7"/>
      <c r="ACP140" s="7"/>
      <c r="ACQ140" s="7"/>
      <c r="ACR140" s="7"/>
      <c r="ACS140" s="7"/>
      <c r="ACT140" s="7"/>
      <c r="ACU140" s="7"/>
      <c r="ACV140" s="7"/>
      <c r="ACW140" s="7"/>
      <c r="ACX140" s="7"/>
      <c r="ACY140" s="7"/>
      <c r="ACZ140" s="7"/>
      <c r="ADA140" s="7"/>
      <c r="ADB140" s="7"/>
      <c r="ADC140" s="7"/>
      <c r="ADD140" s="7"/>
      <c r="ADE140" s="7"/>
      <c r="ADF140" s="7"/>
      <c r="ADG140" s="7"/>
      <c r="ADH140" s="7"/>
      <c r="ADI140" s="7"/>
      <c r="ADJ140" s="7"/>
      <c r="ADK140" s="7"/>
      <c r="ADL140" s="7"/>
      <c r="ADM140" s="7"/>
      <c r="ADN140" s="7"/>
      <c r="ADO140" s="7"/>
      <c r="ADP140" s="7"/>
      <c r="ADQ140" s="7"/>
      <c r="ADR140" s="7"/>
      <c r="ADS140" s="7"/>
      <c r="ADT140" s="7"/>
      <c r="ADU140" s="7"/>
      <c r="ADV140" s="7"/>
      <c r="ADW140" s="7"/>
      <c r="ADX140" s="7"/>
      <c r="ADY140" s="7"/>
      <c r="ADZ140" s="7"/>
      <c r="AEA140" s="7"/>
      <c r="AEB140" s="7"/>
      <c r="AEC140" s="7"/>
      <c r="AED140" s="7"/>
      <c r="AEE140" s="7"/>
      <c r="AEF140" s="7"/>
      <c r="AEG140" s="7"/>
      <c r="AEH140" s="7"/>
      <c r="AEI140" s="7"/>
      <c r="AEJ140" s="7"/>
      <c r="AEK140" s="7"/>
      <c r="AEL140" s="7"/>
      <c r="AEM140" s="7"/>
      <c r="AEN140" s="7"/>
      <c r="AEO140" s="7"/>
      <c r="AEP140" s="7"/>
      <c r="AEQ140" s="7"/>
      <c r="AER140" s="7"/>
      <c r="AES140" s="7"/>
      <c r="AET140" s="7"/>
      <c r="AEU140" s="7"/>
      <c r="AEV140" s="7"/>
      <c r="AEW140" s="7"/>
      <c r="AEX140" s="7"/>
      <c r="AEY140" s="7"/>
      <c r="AEZ140" s="7"/>
      <c r="AFA140" s="7"/>
      <c r="AFB140" s="7"/>
      <c r="AFC140" s="7"/>
      <c r="AFD140" s="7"/>
      <c r="AFE140" s="7"/>
      <c r="AFF140" s="7"/>
      <c r="AFG140" s="7"/>
      <c r="AFH140" s="7"/>
      <c r="AFI140" s="7"/>
      <c r="AFJ140" s="7"/>
      <c r="AFK140" s="7"/>
      <c r="AFL140" s="7"/>
      <c r="AFM140" s="7"/>
      <c r="AFN140" s="7"/>
      <c r="AFO140" s="7"/>
      <c r="AFP140" s="7"/>
      <c r="AFQ140" s="7"/>
      <c r="AFR140" s="7"/>
      <c r="AFS140" s="7"/>
      <c r="AFT140" s="7"/>
      <c r="AFU140" s="7"/>
      <c r="AFV140" s="7"/>
      <c r="AFW140" s="7"/>
      <c r="AFX140" s="7"/>
      <c r="AFY140" s="7"/>
      <c r="AFZ140" s="7"/>
      <c r="AGA140" s="7"/>
      <c r="AGB140" s="7"/>
      <c r="AGC140" s="7"/>
      <c r="AGD140" s="7"/>
      <c r="AGE140" s="7"/>
      <c r="AGF140" s="7"/>
      <c r="AGG140" s="7"/>
      <c r="AGH140" s="7"/>
      <c r="AGI140" s="7"/>
      <c r="AGJ140" s="7"/>
      <c r="AGK140" s="7"/>
      <c r="AGL140" s="7"/>
      <c r="AGM140" s="7"/>
      <c r="AGN140" s="7"/>
      <c r="AGO140" s="7"/>
      <c r="AGP140" s="7"/>
      <c r="AGQ140" s="7"/>
      <c r="AGR140" s="7"/>
      <c r="AGS140" s="7"/>
      <c r="AGT140" s="7"/>
      <c r="AGU140" s="7"/>
      <c r="AGV140" s="7"/>
      <c r="AGW140" s="7"/>
      <c r="AGX140" s="7"/>
      <c r="AGY140" s="7"/>
      <c r="AGZ140" s="7"/>
      <c r="AHA140" s="7"/>
      <c r="AHB140" s="7"/>
      <c r="AHC140" s="7"/>
      <c r="AHD140" s="7"/>
      <c r="AHE140" s="7"/>
      <c r="AHF140" s="7"/>
      <c r="AHG140" s="7"/>
      <c r="AHH140" s="7"/>
      <c r="AHI140" s="7"/>
      <c r="AHJ140" s="7"/>
      <c r="AHK140" s="7"/>
      <c r="AHL140" s="7"/>
      <c r="AHM140" s="7"/>
      <c r="AHN140" s="7"/>
      <c r="AHO140" s="7"/>
      <c r="AHP140" s="7"/>
      <c r="AHQ140" s="7"/>
      <c r="AHR140" s="7"/>
      <c r="AHS140" s="7"/>
      <c r="AHT140" s="7"/>
      <c r="AHU140" s="7"/>
      <c r="AHV140" s="7"/>
      <c r="AHW140" s="7"/>
      <c r="AHX140" s="7"/>
      <c r="AHY140" s="7"/>
      <c r="AHZ140" s="7"/>
      <c r="AIA140" s="7"/>
      <c r="AIB140" s="7"/>
      <c r="AIC140" s="7"/>
      <c r="AID140" s="7"/>
      <c r="AIE140" s="7"/>
      <c r="AIF140" s="7"/>
      <c r="AIG140" s="7"/>
      <c r="AIH140" s="7"/>
      <c r="AII140" s="7"/>
      <c r="AIJ140" s="7"/>
      <c r="AIK140" s="7"/>
      <c r="AIL140" s="7"/>
      <c r="AIM140" s="7"/>
      <c r="AIN140" s="7"/>
      <c r="AIO140" s="7"/>
      <c r="AIP140" s="7"/>
      <c r="AIQ140" s="7"/>
      <c r="AIR140" s="7"/>
      <c r="AIS140" s="7"/>
      <c r="AIT140" s="7"/>
      <c r="AIU140" s="7"/>
      <c r="AIV140" s="7"/>
      <c r="AIW140" s="7"/>
      <c r="AIX140" s="7"/>
      <c r="AIY140" s="7"/>
      <c r="AIZ140" s="7"/>
      <c r="AJA140" s="7"/>
      <c r="AJB140" s="7"/>
      <c r="AJC140" s="7"/>
      <c r="AJD140" s="7"/>
      <c r="AJE140" s="7"/>
      <c r="AJF140" s="7"/>
      <c r="AJG140" s="7"/>
      <c r="AJH140" s="7"/>
      <c r="AJI140" s="7"/>
      <c r="AJJ140" s="7"/>
      <c r="AJK140" s="7"/>
      <c r="AJL140" s="7"/>
      <c r="AJM140" s="7"/>
      <c r="AJN140" s="7"/>
      <c r="AJO140" s="7"/>
      <c r="AJP140" s="7"/>
      <c r="AJQ140" s="7"/>
      <c r="AJR140" s="7"/>
      <c r="AJS140" s="7"/>
      <c r="AJT140" s="7"/>
      <c r="AJU140" s="7"/>
      <c r="AJV140" s="7"/>
      <c r="AJW140" s="7"/>
      <c r="AJX140" s="7"/>
      <c r="AJY140" s="7"/>
      <c r="AJZ140" s="7"/>
      <c r="AKA140" s="7"/>
      <c r="AKB140" s="7"/>
      <c r="AKC140" s="7"/>
      <c r="AKD140" s="7"/>
      <c r="AKE140" s="7"/>
      <c r="AKF140" s="7"/>
      <c r="AKG140" s="7"/>
      <c r="AKH140" s="7"/>
      <c r="AKI140" s="7"/>
      <c r="AKJ140" s="7"/>
      <c r="AKK140" s="7"/>
      <c r="AKL140" s="7"/>
      <c r="AKM140" s="7"/>
      <c r="AKN140" s="7"/>
      <c r="AKO140" s="7"/>
      <c r="AKP140" s="7"/>
      <c r="AKQ140" s="7"/>
      <c r="AKR140" s="7"/>
      <c r="AKS140" s="7"/>
      <c r="AKT140" s="7"/>
      <c r="AKU140" s="7"/>
      <c r="AKV140" s="7"/>
      <c r="AKW140" s="7"/>
      <c r="AKX140" s="7"/>
      <c r="AKY140" s="7"/>
      <c r="AKZ140" s="7"/>
      <c r="ALA140" s="7"/>
      <c r="ALB140" s="7"/>
      <c r="ALC140" s="7"/>
      <c r="ALD140" s="7"/>
      <c r="ALE140" s="7"/>
      <c r="ALF140" s="7"/>
      <c r="ALG140" s="7"/>
      <c r="ALH140" s="7"/>
      <c r="ALI140" s="7"/>
      <c r="ALJ140" s="7"/>
      <c r="ALK140" s="7"/>
      <c r="ALL140" s="7"/>
      <c r="ALM140" s="7"/>
      <c r="ALN140" s="7"/>
      <c r="ALO140" s="7"/>
      <c r="ALP140" s="7"/>
      <c r="ALQ140" s="7"/>
      <c r="ALR140" s="7"/>
      <c r="ALS140" s="7"/>
      <c r="ALT140" s="7"/>
      <c r="ALU140" s="7"/>
      <c r="ALV140" s="7"/>
      <c r="ALW140" s="7"/>
      <c r="ALX140" s="7"/>
      <c r="ALY140" s="7"/>
      <c r="ALZ140" s="7"/>
      <c r="AMA140" s="7"/>
      <c r="AMB140" s="7"/>
      <c r="AMC140" s="7"/>
      <c r="AMD140" s="7"/>
      <c r="AME140" s="7"/>
      <c r="AMF140" s="7"/>
      <c r="AMG140" s="7"/>
      <c r="AMH140" s="7"/>
      <c r="AMI140" s="7"/>
      <c r="AMJ140" s="7"/>
    </row>
    <row r="141" s="196" customFormat="true" ht="15.75" hidden="false" customHeight="true" outlineLevel="0" collapsed="false">
      <c r="A141" s="7"/>
      <c r="B141" s="41"/>
      <c r="C141" s="192" t="s">
        <v>130</v>
      </c>
      <c r="D141" s="136" t="n">
        <v>20</v>
      </c>
      <c r="E141" s="193" t="n">
        <v>1</v>
      </c>
      <c r="F141" s="43"/>
      <c r="G141" s="24"/>
      <c r="H141" s="41"/>
      <c r="I141" s="168" t="s">
        <v>184</v>
      </c>
      <c r="J141" s="47" t="n">
        <v>16</v>
      </c>
      <c r="K141" s="197" t="n">
        <v>2</v>
      </c>
      <c r="L141" s="9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  <c r="KS141" s="7"/>
      <c r="KT141" s="7"/>
      <c r="KU141" s="7"/>
      <c r="KV141" s="7"/>
      <c r="KW141" s="7"/>
      <c r="KX141" s="7"/>
      <c r="KY141" s="7"/>
      <c r="KZ141" s="7"/>
      <c r="LA141" s="7"/>
      <c r="LB141" s="7"/>
      <c r="LC141" s="7"/>
      <c r="LD141" s="7"/>
      <c r="LE141" s="7"/>
      <c r="LF141" s="7"/>
      <c r="LG141" s="7"/>
      <c r="LH141" s="7"/>
      <c r="LI141" s="7"/>
      <c r="LJ141" s="7"/>
      <c r="LK141" s="7"/>
      <c r="LL141" s="7"/>
      <c r="LM141" s="7"/>
      <c r="LN141" s="7"/>
      <c r="LO141" s="7"/>
      <c r="LP141" s="7"/>
      <c r="LQ141" s="7"/>
      <c r="LR141" s="7"/>
      <c r="LS141" s="7"/>
      <c r="LT141" s="7"/>
      <c r="LU141" s="7"/>
      <c r="LV141" s="7"/>
      <c r="LW141" s="7"/>
      <c r="LX141" s="7"/>
      <c r="LY141" s="7"/>
      <c r="LZ141" s="7"/>
      <c r="MA141" s="7"/>
      <c r="MB141" s="7"/>
      <c r="MC141" s="7"/>
      <c r="MD141" s="7"/>
      <c r="ME141" s="7"/>
      <c r="MF141" s="7"/>
      <c r="MG141" s="7"/>
      <c r="MH141" s="7"/>
      <c r="MI141" s="7"/>
      <c r="MJ141" s="7"/>
      <c r="MK141" s="7"/>
      <c r="ML141" s="7"/>
      <c r="MM141" s="7"/>
      <c r="MN141" s="7"/>
      <c r="MO141" s="7"/>
      <c r="MP141" s="7"/>
      <c r="MQ141" s="7"/>
      <c r="MR141" s="7"/>
      <c r="MS141" s="7"/>
      <c r="MT141" s="7"/>
      <c r="MU141" s="7"/>
      <c r="MV141" s="7"/>
      <c r="MW141" s="7"/>
      <c r="MX141" s="7"/>
      <c r="MY141" s="7"/>
      <c r="MZ141" s="7"/>
      <c r="NA141" s="7"/>
      <c r="NB141" s="7"/>
      <c r="NC141" s="7"/>
      <c r="ND141" s="7"/>
      <c r="NE141" s="7"/>
      <c r="NF141" s="7"/>
      <c r="NG141" s="7"/>
      <c r="NH141" s="7"/>
      <c r="NI141" s="7"/>
      <c r="NJ141" s="7"/>
      <c r="NK141" s="7"/>
      <c r="NL141" s="7"/>
      <c r="NM141" s="7"/>
      <c r="NN141" s="7"/>
      <c r="NO141" s="7"/>
      <c r="NP141" s="7"/>
      <c r="NQ141" s="7"/>
      <c r="NR141" s="7"/>
      <c r="NS141" s="7"/>
      <c r="NT141" s="7"/>
      <c r="NU141" s="7"/>
      <c r="NV141" s="7"/>
      <c r="NW141" s="7"/>
      <c r="NX141" s="7"/>
      <c r="NY141" s="7"/>
      <c r="NZ141" s="7"/>
      <c r="OA141" s="7"/>
      <c r="OB141" s="7"/>
      <c r="OC141" s="7"/>
      <c r="OD141" s="7"/>
      <c r="OE141" s="7"/>
      <c r="OF141" s="7"/>
      <c r="OG141" s="7"/>
      <c r="OH141" s="7"/>
      <c r="OI141" s="7"/>
      <c r="OJ141" s="7"/>
      <c r="OK141" s="7"/>
      <c r="OL141" s="7"/>
      <c r="OM141" s="7"/>
      <c r="ON141" s="7"/>
      <c r="OO141" s="7"/>
      <c r="OP141" s="7"/>
      <c r="OQ141" s="7"/>
      <c r="OR141" s="7"/>
      <c r="OS141" s="7"/>
      <c r="OT141" s="7"/>
      <c r="OU141" s="7"/>
      <c r="OV141" s="7"/>
      <c r="OW141" s="7"/>
      <c r="OX141" s="7"/>
      <c r="OY141" s="7"/>
      <c r="OZ141" s="7"/>
      <c r="PA141" s="7"/>
      <c r="PB141" s="7"/>
      <c r="PC141" s="7"/>
      <c r="PD141" s="7"/>
      <c r="PE141" s="7"/>
      <c r="PF141" s="7"/>
      <c r="PG141" s="7"/>
      <c r="PH141" s="7"/>
      <c r="PI141" s="7"/>
      <c r="PJ141" s="7"/>
      <c r="PK141" s="7"/>
      <c r="PL141" s="7"/>
      <c r="PM141" s="7"/>
      <c r="PN141" s="7"/>
      <c r="PO141" s="7"/>
      <c r="PP141" s="7"/>
      <c r="PQ141" s="7"/>
      <c r="PR141" s="7"/>
      <c r="PS141" s="7"/>
      <c r="PT141" s="7"/>
      <c r="PU141" s="7"/>
      <c r="PV141" s="7"/>
      <c r="PW141" s="7"/>
      <c r="PX141" s="7"/>
      <c r="PY141" s="7"/>
      <c r="PZ141" s="7"/>
      <c r="QA141" s="7"/>
      <c r="QB141" s="7"/>
      <c r="QC141" s="7"/>
      <c r="QD141" s="7"/>
      <c r="QE141" s="7"/>
      <c r="QF141" s="7"/>
      <c r="QG141" s="7"/>
      <c r="QH141" s="7"/>
      <c r="QI141" s="7"/>
      <c r="QJ141" s="7"/>
      <c r="QK141" s="7"/>
      <c r="QL141" s="7"/>
      <c r="QM141" s="7"/>
      <c r="QN141" s="7"/>
      <c r="QO141" s="7"/>
      <c r="QP141" s="7"/>
      <c r="QQ141" s="7"/>
      <c r="QR141" s="7"/>
      <c r="QS141" s="7"/>
      <c r="QT141" s="7"/>
      <c r="QU141" s="7"/>
      <c r="QV141" s="7"/>
      <c r="QW141" s="7"/>
      <c r="QX141" s="7"/>
      <c r="QY141" s="7"/>
      <c r="QZ141" s="7"/>
      <c r="RA141" s="7"/>
      <c r="RB141" s="7"/>
      <c r="RC141" s="7"/>
      <c r="RD141" s="7"/>
      <c r="RE141" s="7"/>
      <c r="RF141" s="7"/>
      <c r="RG141" s="7"/>
      <c r="RH141" s="7"/>
      <c r="RI141" s="7"/>
      <c r="RJ141" s="7"/>
      <c r="RK141" s="7"/>
      <c r="RL141" s="7"/>
      <c r="RM141" s="7"/>
      <c r="RN141" s="7"/>
      <c r="RO141" s="7"/>
      <c r="RP141" s="7"/>
      <c r="RQ141" s="7"/>
      <c r="RR141" s="7"/>
      <c r="RS141" s="7"/>
      <c r="RT141" s="7"/>
      <c r="RU141" s="7"/>
      <c r="RV141" s="7"/>
      <c r="RW141" s="7"/>
      <c r="RX141" s="7"/>
      <c r="RY141" s="7"/>
      <c r="RZ141" s="7"/>
      <c r="SA141" s="7"/>
      <c r="SB141" s="7"/>
      <c r="SC141" s="7"/>
      <c r="SD141" s="7"/>
      <c r="SE141" s="7"/>
      <c r="SF141" s="7"/>
      <c r="SG141" s="7"/>
      <c r="SH141" s="7"/>
      <c r="SI141" s="7"/>
      <c r="SJ141" s="7"/>
      <c r="SK141" s="7"/>
      <c r="SL141" s="7"/>
      <c r="SM141" s="7"/>
      <c r="SN141" s="7"/>
      <c r="SO141" s="7"/>
      <c r="SP141" s="7"/>
      <c r="SQ141" s="7"/>
      <c r="SR141" s="7"/>
      <c r="SS141" s="7"/>
      <c r="ST141" s="7"/>
      <c r="SU141" s="7"/>
      <c r="SV141" s="7"/>
      <c r="SW141" s="7"/>
      <c r="SX141" s="7"/>
      <c r="SY141" s="7"/>
      <c r="SZ141" s="7"/>
      <c r="TA141" s="7"/>
      <c r="TB141" s="7"/>
      <c r="TC141" s="7"/>
      <c r="TD141" s="7"/>
      <c r="TE141" s="7"/>
      <c r="TF141" s="7"/>
      <c r="TG141" s="7"/>
      <c r="TH141" s="7"/>
      <c r="TI141" s="7"/>
      <c r="TJ141" s="7"/>
      <c r="TK141" s="7"/>
      <c r="TL141" s="7"/>
      <c r="TM141" s="7"/>
      <c r="TN141" s="7"/>
      <c r="TO141" s="7"/>
      <c r="TP141" s="7"/>
      <c r="TQ141" s="7"/>
      <c r="TR141" s="7"/>
      <c r="TS141" s="7"/>
      <c r="TT141" s="7"/>
      <c r="TU141" s="7"/>
      <c r="TV141" s="7"/>
      <c r="TW141" s="7"/>
      <c r="TX141" s="7"/>
      <c r="TY141" s="7"/>
      <c r="TZ141" s="7"/>
      <c r="UA141" s="7"/>
      <c r="UB141" s="7"/>
      <c r="UC141" s="7"/>
      <c r="UD141" s="7"/>
      <c r="UE141" s="7"/>
      <c r="UF141" s="7"/>
      <c r="UG141" s="7"/>
      <c r="UH141" s="7"/>
      <c r="UI141" s="7"/>
      <c r="UJ141" s="7"/>
      <c r="UK141" s="7"/>
      <c r="UL141" s="7"/>
      <c r="UM141" s="7"/>
      <c r="UN141" s="7"/>
      <c r="UO141" s="7"/>
      <c r="UP141" s="7"/>
      <c r="UQ141" s="7"/>
      <c r="UR141" s="7"/>
      <c r="US141" s="7"/>
      <c r="UT141" s="7"/>
      <c r="UU141" s="7"/>
      <c r="UV141" s="7"/>
      <c r="UW141" s="7"/>
      <c r="UX141" s="7"/>
      <c r="UY141" s="7"/>
      <c r="UZ141" s="7"/>
      <c r="VA141" s="7"/>
      <c r="VB141" s="7"/>
      <c r="VC141" s="7"/>
      <c r="VD141" s="7"/>
      <c r="VE141" s="7"/>
      <c r="VF141" s="7"/>
      <c r="VG141" s="7"/>
      <c r="VH141" s="7"/>
      <c r="VI141" s="7"/>
      <c r="VJ141" s="7"/>
      <c r="VK141" s="7"/>
      <c r="VL141" s="7"/>
      <c r="VM141" s="7"/>
      <c r="VN141" s="7"/>
      <c r="VO141" s="7"/>
      <c r="VP141" s="7"/>
      <c r="VQ141" s="7"/>
      <c r="VR141" s="7"/>
      <c r="VS141" s="7"/>
      <c r="VT141" s="7"/>
      <c r="VU141" s="7"/>
      <c r="VV141" s="7"/>
      <c r="VW141" s="7"/>
      <c r="VX141" s="7"/>
      <c r="VY141" s="7"/>
      <c r="VZ141" s="7"/>
      <c r="WA141" s="7"/>
      <c r="WB141" s="7"/>
      <c r="WC141" s="7"/>
      <c r="WD141" s="7"/>
      <c r="WE141" s="7"/>
      <c r="WF141" s="7"/>
      <c r="WG141" s="7"/>
      <c r="WH141" s="7"/>
      <c r="WI141" s="7"/>
      <c r="WJ141" s="7"/>
      <c r="WK141" s="7"/>
      <c r="WL141" s="7"/>
      <c r="WM141" s="7"/>
      <c r="WN141" s="7"/>
      <c r="WO141" s="7"/>
      <c r="WP141" s="7"/>
      <c r="WQ141" s="7"/>
      <c r="WR141" s="7"/>
      <c r="WS141" s="7"/>
      <c r="WT141" s="7"/>
      <c r="WU141" s="7"/>
      <c r="WV141" s="7"/>
      <c r="WW141" s="7"/>
      <c r="WX141" s="7"/>
      <c r="WY141" s="7"/>
      <c r="WZ141" s="7"/>
      <c r="XA141" s="7"/>
      <c r="XB141" s="7"/>
      <c r="XC141" s="7"/>
      <c r="XD141" s="7"/>
      <c r="XE141" s="7"/>
      <c r="XF141" s="7"/>
      <c r="XG141" s="7"/>
      <c r="XH141" s="7"/>
      <c r="XI141" s="7"/>
      <c r="XJ141" s="7"/>
      <c r="XK141" s="7"/>
      <c r="XL141" s="7"/>
      <c r="XM141" s="7"/>
      <c r="XN141" s="7"/>
      <c r="XO141" s="7"/>
      <c r="XP141" s="7"/>
      <c r="XQ141" s="7"/>
      <c r="XR141" s="7"/>
      <c r="XS141" s="7"/>
      <c r="XT141" s="7"/>
      <c r="XU141" s="7"/>
      <c r="XV141" s="7"/>
      <c r="XW141" s="7"/>
      <c r="XX141" s="7"/>
      <c r="XY141" s="7"/>
      <c r="XZ141" s="7"/>
      <c r="YA141" s="7"/>
      <c r="YB141" s="7"/>
      <c r="YC141" s="7"/>
      <c r="YD141" s="7"/>
      <c r="YE141" s="7"/>
      <c r="YF141" s="7"/>
      <c r="YG141" s="7"/>
      <c r="YH141" s="7"/>
      <c r="YI141" s="7"/>
      <c r="YJ141" s="7"/>
      <c r="YK141" s="7"/>
      <c r="YL141" s="7"/>
      <c r="YM141" s="7"/>
      <c r="YN141" s="7"/>
      <c r="YO141" s="7"/>
      <c r="YP141" s="7"/>
      <c r="YQ141" s="7"/>
      <c r="YR141" s="7"/>
      <c r="YS141" s="7"/>
      <c r="YT141" s="7"/>
      <c r="YU141" s="7"/>
      <c r="YV141" s="7"/>
      <c r="YW141" s="7"/>
      <c r="YX141" s="7"/>
      <c r="YY141" s="7"/>
      <c r="YZ141" s="7"/>
      <c r="ZA141" s="7"/>
      <c r="ZB141" s="7"/>
      <c r="ZC141" s="7"/>
      <c r="ZD141" s="7"/>
      <c r="ZE141" s="7"/>
      <c r="ZF141" s="7"/>
      <c r="ZG141" s="7"/>
      <c r="ZH141" s="7"/>
      <c r="ZI141" s="7"/>
      <c r="ZJ141" s="7"/>
      <c r="ZK141" s="7"/>
      <c r="ZL141" s="7"/>
      <c r="ZM141" s="7"/>
      <c r="ZN141" s="7"/>
      <c r="ZO141" s="7"/>
      <c r="ZP141" s="7"/>
      <c r="ZQ141" s="7"/>
      <c r="ZR141" s="7"/>
      <c r="ZS141" s="7"/>
      <c r="ZT141" s="7"/>
      <c r="ZU141" s="7"/>
      <c r="ZV141" s="7"/>
      <c r="ZW141" s="7"/>
      <c r="ZX141" s="7"/>
      <c r="ZY141" s="7"/>
      <c r="ZZ141" s="7"/>
      <c r="AAA141" s="7"/>
      <c r="AAB141" s="7"/>
      <c r="AAC141" s="7"/>
      <c r="AAD141" s="7"/>
      <c r="AAE141" s="7"/>
      <c r="AAF141" s="7"/>
      <c r="AAG141" s="7"/>
      <c r="AAH141" s="7"/>
      <c r="AAI141" s="7"/>
      <c r="AAJ141" s="7"/>
      <c r="AAK141" s="7"/>
      <c r="AAL141" s="7"/>
      <c r="AAM141" s="7"/>
      <c r="AAN141" s="7"/>
      <c r="AAO141" s="7"/>
      <c r="AAP141" s="7"/>
      <c r="AAQ141" s="7"/>
      <c r="AAR141" s="7"/>
      <c r="AAS141" s="7"/>
      <c r="AAT141" s="7"/>
      <c r="AAU141" s="7"/>
      <c r="AAV141" s="7"/>
      <c r="AAW141" s="7"/>
      <c r="AAX141" s="7"/>
      <c r="AAY141" s="7"/>
      <c r="AAZ141" s="7"/>
      <c r="ABA141" s="7"/>
      <c r="ABB141" s="7"/>
      <c r="ABC141" s="7"/>
      <c r="ABD141" s="7"/>
      <c r="ABE141" s="7"/>
      <c r="ABF141" s="7"/>
      <c r="ABG141" s="7"/>
      <c r="ABH141" s="7"/>
      <c r="ABI141" s="7"/>
      <c r="ABJ141" s="7"/>
      <c r="ABK141" s="7"/>
      <c r="ABL141" s="7"/>
      <c r="ABM141" s="7"/>
      <c r="ABN141" s="7"/>
      <c r="ABO141" s="7"/>
      <c r="ABP141" s="7"/>
      <c r="ABQ141" s="7"/>
      <c r="ABR141" s="7"/>
      <c r="ABS141" s="7"/>
      <c r="ABT141" s="7"/>
      <c r="ABU141" s="7"/>
      <c r="ABV141" s="7"/>
      <c r="ABW141" s="7"/>
      <c r="ABX141" s="7"/>
      <c r="ABY141" s="7"/>
      <c r="ABZ141" s="7"/>
      <c r="ACA141" s="7"/>
      <c r="ACB141" s="7"/>
      <c r="ACC141" s="7"/>
      <c r="ACD141" s="7"/>
      <c r="ACE141" s="7"/>
      <c r="ACF141" s="7"/>
      <c r="ACG141" s="7"/>
      <c r="ACH141" s="7"/>
      <c r="ACI141" s="7"/>
      <c r="ACJ141" s="7"/>
      <c r="ACK141" s="7"/>
      <c r="ACL141" s="7"/>
      <c r="ACM141" s="7"/>
      <c r="ACN141" s="7"/>
      <c r="ACO141" s="7"/>
      <c r="ACP141" s="7"/>
      <c r="ACQ141" s="7"/>
      <c r="ACR141" s="7"/>
      <c r="ACS141" s="7"/>
      <c r="ACT141" s="7"/>
      <c r="ACU141" s="7"/>
      <c r="ACV141" s="7"/>
      <c r="ACW141" s="7"/>
      <c r="ACX141" s="7"/>
      <c r="ACY141" s="7"/>
      <c r="ACZ141" s="7"/>
      <c r="ADA141" s="7"/>
      <c r="ADB141" s="7"/>
      <c r="ADC141" s="7"/>
      <c r="ADD141" s="7"/>
      <c r="ADE141" s="7"/>
      <c r="ADF141" s="7"/>
      <c r="ADG141" s="7"/>
      <c r="ADH141" s="7"/>
      <c r="ADI141" s="7"/>
      <c r="ADJ141" s="7"/>
      <c r="ADK141" s="7"/>
      <c r="ADL141" s="7"/>
      <c r="ADM141" s="7"/>
      <c r="ADN141" s="7"/>
      <c r="ADO141" s="7"/>
      <c r="ADP141" s="7"/>
      <c r="ADQ141" s="7"/>
      <c r="ADR141" s="7"/>
      <c r="ADS141" s="7"/>
      <c r="ADT141" s="7"/>
      <c r="ADU141" s="7"/>
      <c r="ADV141" s="7"/>
      <c r="ADW141" s="7"/>
      <c r="ADX141" s="7"/>
      <c r="ADY141" s="7"/>
      <c r="ADZ141" s="7"/>
      <c r="AEA141" s="7"/>
      <c r="AEB141" s="7"/>
      <c r="AEC141" s="7"/>
      <c r="AED141" s="7"/>
      <c r="AEE141" s="7"/>
      <c r="AEF141" s="7"/>
      <c r="AEG141" s="7"/>
      <c r="AEH141" s="7"/>
      <c r="AEI141" s="7"/>
      <c r="AEJ141" s="7"/>
      <c r="AEK141" s="7"/>
      <c r="AEL141" s="7"/>
      <c r="AEM141" s="7"/>
      <c r="AEN141" s="7"/>
      <c r="AEO141" s="7"/>
      <c r="AEP141" s="7"/>
      <c r="AEQ141" s="7"/>
      <c r="AER141" s="7"/>
      <c r="AES141" s="7"/>
      <c r="AET141" s="7"/>
      <c r="AEU141" s="7"/>
      <c r="AEV141" s="7"/>
      <c r="AEW141" s="7"/>
      <c r="AEX141" s="7"/>
      <c r="AEY141" s="7"/>
      <c r="AEZ141" s="7"/>
      <c r="AFA141" s="7"/>
      <c r="AFB141" s="7"/>
      <c r="AFC141" s="7"/>
      <c r="AFD141" s="7"/>
      <c r="AFE141" s="7"/>
      <c r="AFF141" s="7"/>
      <c r="AFG141" s="7"/>
      <c r="AFH141" s="7"/>
      <c r="AFI141" s="7"/>
      <c r="AFJ141" s="7"/>
      <c r="AFK141" s="7"/>
      <c r="AFL141" s="7"/>
      <c r="AFM141" s="7"/>
      <c r="AFN141" s="7"/>
      <c r="AFO141" s="7"/>
      <c r="AFP141" s="7"/>
      <c r="AFQ141" s="7"/>
      <c r="AFR141" s="7"/>
      <c r="AFS141" s="7"/>
      <c r="AFT141" s="7"/>
      <c r="AFU141" s="7"/>
      <c r="AFV141" s="7"/>
      <c r="AFW141" s="7"/>
      <c r="AFX141" s="7"/>
      <c r="AFY141" s="7"/>
      <c r="AFZ141" s="7"/>
      <c r="AGA141" s="7"/>
      <c r="AGB141" s="7"/>
      <c r="AGC141" s="7"/>
      <c r="AGD141" s="7"/>
      <c r="AGE141" s="7"/>
      <c r="AGF141" s="7"/>
      <c r="AGG141" s="7"/>
      <c r="AGH141" s="7"/>
      <c r="AGI141" s="7"/>
      <c r="AGJ141" s="7"/>
      <c r="AGK141" s="7"/>
      <c r="AGL141" s="7"/>
      <c r="AGM141" s="7"/>
      <c r="AGN141" s="7"/>
      <c r="AGO141" s="7"/>
      <c r="AGP141" s="7"/>
      <c r="AGQ141" s="7"/>
      <c r="AGR141" s="7"/>
      <c r="AGS141" s="7"/>
      <c r="AGT141" s="7"/>
      <c r="AGU141" s="7"/>
      <c r="AGV141" s="7"/>
      <c r="AGW141" s="7"/>
      <c r="AGX141" s="7"/>
      <c r="AGY141" s="7"/>
      <c r="AGZ141" s="7"/>
      <c r="AHA141" s="7"/>
      <c r="AHB141" s="7"/>
      <c r="AHC141" s="7"/>
      <c r="AHD141" s="7"/>
      <c r="AHE141" s="7"/>
      <c r="AHF141" s="7"/>
      <c r="AHG141" s="7"/>
      <c r="AHH141" s="7"/>
      <c r="AHI141" s="7"/>
      <c r="AHJ141" s="7"/>
      <c r="AHK141" s="7"/>
      <c r="AHL141" s="7"/>
      <c r="AHM141" s="7"/>
      <c r="AHN141" s="7"/>
      <c r="AHO141" s="7"/>
      <c r="AHP141" s="7"/>
      <c r="AHQ141" s="7"/>
      <c r="AHR141" s="7"/>
      <c r="AHS141" s="7"/>
      <c r="AHT141" s="7"/>
      <c r="AHU141" s="7"/>
      <c r="AHV141" s="7"/>
      <c r="AHW141" s="7"/>
      <c r="AHX141" s="7"/>
      <c r="AHY141" s="7"/>
      <c r="AHZ141" s="7"/>
      <c r="AIA141" s="7"/>
      <c r="AIB141" s="7"/>
      <c r="AIC141" s="7"/>
      <c r="AID141" s="7"/>
      <c r="AIE141" s="7"/>
      <c r="AIF141" s="7"/>
      <c r="AIG141" s="7"/>
      <c r="AIH141" s="7"/>
      <c r="AII141" s="7"/>
      <c r="AIJ141" s="7"/>
      <c r="AIK141" s="7"/>
      <c r="AIL141" s="7"/>
      <c r="AIM141" s="7"/>
      <c r="AIN141" s="7"/>
      <c r="AIO141" s="7"/>
      <c r="AIP141" s="7"/>
      <c r="AIQ141" s="7"/>
      <c r="AIR141" s="7"/>
      <c r="AIS141" s="7"/>
      <c r="AIT141" s="7"/>
      <c r="AIU141" s="7"/>
      <c r="AIV141" s="7"/>
      <c r="AIW141" s="7"/>
      <c r="AIX141" s="7"/>
      <c r="AIY141" s="7"/>
      <c r="AIZ141" s="7"/>
      <c r="AJA141" s="7"/>
      <c r="AJB141" s="7"/>
      <c r="AJC141" s="7"/>
      <c r="AJD141" s="7"/>
      <c r="AJE141" s="7"/>
      <c r="AJF141" s="7"/>
      <c r="AJG141" s="7"/>
      <c r="AJH141" s="7"/>
      <c r="AJI141" s="7"/>
      <c r="AJJ141" s="7"/>
      <c r="AJK141" s="7"/>
      <c r="AJL141" s="7"/>
      <c r="AJM141" s="7"/>
      <c r="AJN141" s="7"/>
      <c r="AJO141" s="7"/>
      <c r="AJP141" s="7"/>
      <c r="AJQ141" s="7"/>
      <c r="AJR141" s="7"/>
      <c r="AJS141" s="7"/>
      <c r="AJT141" s="7"/>
      <c r="AJU141" s="7"/>
      <c r="AJV141" s="7"/>
      <c r="AJW141" s="7"/>
      <c r="AJX141" s="7"/>
      <c r="AJY141" s="7"/>
      <c r="AJZ141" s="7"/>
      <c r="AKA141" s="7"/>
      <c r="AKB141" s="7"/>
      <c r="AKC141" s="7"/>
      <c r="AKD141" s="7"/>
      <c r="AKE141" s="7"/>
      <c r="AKF141" s="7"/>
      <c r="AKG141" s="7"/>
      <c r="AKH141" s="7"/>
      <c r="AKI141" s="7"/>
      <c r="AKJ141" s="7"/>
      <c r="AKK141" s="7"/>
      <c r="AKL141" s="7"/>
      <c r="AKM141" s="7"/>
      <c r="AKN141" s="7"/>
      <c r="AKO141" s="7"/>
      <c r="AKP141" s="7"/>
      <c r="AKQ141" s="7"/>
      <c r="AKR141" s="7"/>
      <c r="AKS141" s="7"/>
      <c r="AKT141" s="7"/>
      <c r="AKU141" s="7"/>
      <c r="AKV141" s="7"/>
      <c r="AKW141" s="7"/>
      <c r="AKX141" s="7"/>
      <c r="AKY141" s="7"/>
      <c r="AKZ141" s="7"/>
      <c r="ALA141" s="7"/>
      <c r="ALB141" s="7"/>
      <c r="ALC141" s="7"/>
      <c r="ALD141" s="7"/>
      <c r="ALE141" s="7"/>
      <c r="ALF141" s="7"/>
      <c r="ALG141" s="7"/>
      <c r="ALH141" s="7"/>
      <c r="ALI141" s="7"/>
      <c r="ALJ141" s="7"/>
      <c r="ALK141" s="7"/>
      <c r="ALL141" s="7"/>
      <c r="ALM141" s="7"/>
      <c r="ALN141" s="7"/>
      <c r="ALO141" s="7"/>
      <c r="ALP141" s="7"/>
      <c r="ALQ141" s="7"/>
      <c r="ALR141" s="7"/>
      <c r="ALS141" s="7"/>
      <c r="ALT141" s="7"/>
      <c r="ALU141" s="7"/>
      <c r="ALV141" s="7"/>
      <c r="ALW141" s="7"/>
      <c r="ALX141" s="7"/>
      <c r="ALY141" s="7"/>
      <c r="ALZ141" s="7"/>
      <c r="AMA141" s="7"/>
      <c r="AMB141" s="7"/>
      <c r="AMC141" s="7"/>
      <c r="AMD141" s="7"/>
      <c r="AME141" s="7"/>
      <c r="AMF141" s="7"/>
      <c r="AMG141" s="7"/>
      <c r="AMH141" s="7"/>
      <c r="AMI141" s="7"/>
      <c r="AMJ141" s="7"/>
    </row>
    <row r="142" s="196" customFormat="true" ht="15.75" hidden="false" customHeight="true" outlineLevel="0" collapsed="false">
      <c r="A142" s="7"/>
      <c r="B142" s="41" t="s">
        <v>131</v>
      </c>
      <c r="C142" s="42" t="s">
        <v>101</v>
      </c>
      <c r="D142" s="42"/>
      <c r="E142" s="42"/>
      <c r="F142" s="97" t="n">
        <f aca="false">6+1</f>
        <v>7</v>
      </c>
      <c r="G142" s="24"/>
      <c r="H142" s="41" t="s">
        <v>131</v>
      </c>
      <c r="I142" s="42" t="s">
        <v>101</v>
      </c>
      <c r="J142" s="42"/>
      <c r="K142" s="42"/>
      <c r="L142" s="97" t="n">
        <f aca="false">6+1</f>
        <v>7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  <c r="KS142" s="7"/>
      <c r="KT142" s="7"/>
      <c r="KU142" s="7"/>
      <c r="KV142" s="7"/>
      <c r="KW142" s="7"/>
      <c r="KX142" s="7"/>
      <c r="KY142" s="7"/>
      <c r="KZ142" s="7"/>
      <c r="LA142" s="7"/>
      <c r="LB142" s="7"/>
      <c r="LC142" s="7"/>
      <c r="LD142" s="7"/>
      <c r="LE142" s="7"/>
      <c r="LF142" s="7"/>
      <c r="LG142" s="7"/>
      <c r="LH142" s="7"/>
      <c r="LI142" s="7"/>
      <c r="LJ142" s="7"/>
      <c r="LK142" s="7"/>
      <c r="LL142" s="7"/>
      <c r="LM142" s="7"/>
      <c r="LN142" s="7"/>
      <c r="LO142" s="7"/>
      <c r="LP142" s="7"/>
      <c r="LQ142" s="7"/>
      <c r="LR142" s="7"/>
      <c r="LS142" s="7"/>
      <c r="LT142" s="7"/>
      <c r="LU142" s="7"/>
      <c r="LV142" s="7"/>
      <c r="LW142" s="7"/>
      <c r="LX142" s="7"/>
      <c r="LY142" s="7"/>
      <c r="LZ142" s="7"/>
      <c r="MA142" s="7"/>
      <c r="MB142" s="7"/>
      <c r="MC142" s="7"/>
      <c r="MD142" s="7"/>
      <c r="ME142" s="7"/>
      <c r="MF142" s="7"/>
      <c r="MG142" s="7"/>
      <c r="MH142" s="7"/>
      <c r="MI142" s="7"/>
      <c r="MJ142" s="7"/>
      <c r="MK142" s="7"/>
      <c r="ML142" s="7"/>
      <c r="MM142" s="7"/>
      <c r="MN142" s="7"/>
      <c r="MO142" s="7"/>
      <c r="MP142" s="7"/>
      <c r="MQ142" s="7"/>
      <c r="MR142" s="7"/>
      <c r="MS142" s="7"/>
      <c r="MT142" s="7"/>
      <c r="MU142" s="7"/>
      <c r="MV142" s="7"/>
      <c r="MW142" s="7"/>
      <c r="MX142" s="7"/>
      <c r="MY142" s="7"/>
      <c r="MZ142" s="7"/>
      <c r="NA142" s="7"/>
      <c r="NB142" s="7"/>
      <c r="NC142" s="7"/>
      <c r="ND142" s="7"/>
      <c r="NE142" s="7"/>
      <c r="NF142" s="7"/>
      <c r="NG142" s="7"/>
      <c r="NH142" s="7"/>
      <c r="NI142" s="7"/>
      <c r="NJ142" s="7"/>
      <c r="NK142" s="7"/>
      <c r="NL142" s="7"/>
      <c r="NM142" s="7"/>
      <c r="NN142" s="7"/>
      <c r="NO142" s="7"/>
      <c r="NP142" s="7"/>
      <c r="NQ142" s="7"/>
      <c r="NR142" s="7"/>
      <c r="NS142" s="7"/>
      <c r="NT142" s="7"/>
      <c r="NU142" s="7"/>
      <c r="NV142" s="7"/>
      <c r="NW142" s="7"/>
      <c r="NX142" s="7"/>
      <c r="NY142" s="7"/>
      <c r="NZ142" s="7"/>
      <c r="OA142" s="7"/>
      <c r="OB142" s="7"/>
      <c r="OC142" s="7"/>
      <c r="OD142" s="7"/>
      <c r="OE142" s="7"/>
      <c r="OF142" s="7"/>
      <c r="OG142" s="7"/>
      <c r="OH142" s="7"/>
      <c r="OI142" s="7"/>
      <c r="OJ142" s="7"/>
      <c r="OK142" s="7"/>
      <c r="OL142" s="7"/>
      <c r="OM142" s="7"/>
      <c r="ON142" s="7"/>
      <c r="OO142" s="7"/>
      <c r="OP142" s="7"/>
      <c r="OQ142" s="7"/>
      <c r="OR142" s="7"/>
      <c r="OS142" s="7"/>
      <c r="OT142" s="7"/>
      <c r="OU142" s="7"/>
      <c r="OV142" s="7"/>
      <c r="OW142" s="7"/>
      <c r="OX142" s="7"/>
      <c r="OY142" s="7"/>
      <c r="OZ142" s="7"/>
      <c r="PA142" s="7"/>
      <c r="PB142" s="7"/>
      <c r="PC142" s="7"/>
      <c r="PD142" s="7"/>
      <c r="PE142" s="7"/>
      <c r="PF142" s="7"/>
      <c r="PG142" s="7"/>
      <c r="PH142" s="7"/>
      <c r="PI142" s="7"/>
      <c r="PJ142" s="7"/>
      <c r="PK142" s="7"/>
      <c r="PL142" s="7"/>
      <c r="PM142" s="7"/>
      <c r="PN142" s="7"/>
      <c r="PO142" s="7"/>
      <c r="PP142" s="7"/>
      <c r="PQ142" s="7"/>
      <c r="PR142" s="7"/>
      <c r="PS142" s="7"/>
      <c r="PT142" s="7"/>
      <c r="PU142" s="7"/>
      <c r="PV142" s="7"/>
      <c r="PW142" s="7"/>
      <c r="PX142" s="7"/>
      <c r="PY142" s="7"/>
      <c r="PZ142" s="7"/>
      <c r="QA142" s="7"/>
      <c r="QB142" s="7"/>
      <c r="QC142" s="7"/>
      <c r="QD142" s="7"/>
      <c r="QE142" s="7"/>
      <c r="QF142" s="7"/>
      <c r="QG142" s="7"/>
      <c r="QH142" s="7"/>
      <c r="QI142" s="7"/>
      <c r="QJ142" s="7"/>
      <c r="QK142" s="7"/>
      <c r="QL142" s="7"/>
      <c r="QM142" s="7"/>
      <c r="QN142" s="7"/>
      <c r="QO142" s="7"/>
      <c r="QP142" s="7"/>
      <c r="QQ142" s="7"/>
      <c r="QR142" s="7"/>
      <c r="QS142" s="7"/>
      <c r="QT142" s="7"/>
      <c r="QU142" s="7"/>
      <c r="QV142" s="7"/>
      <c r="QW142" s="7"/>
      <c r="QX142" s="7"/>
      <c r="QY142" s="7"/>
      <c r="QZ142" s="7"/>
      <c r="RA142" s="7"/>
      <c r="RB142" s="7"/>
      <c r="RC142" s="7"/>
      <c r="RD142" s="7"/>
      <c r="RE142" s="7"/>
      <c r="RF142" s="7"/>
      <c r="RG142" s="7"/>
      <c r="RH142" s="7"/>
      <c r="RI142" s="7"/>
      <c r="RJ142" s="7"/>
      <c r="RK142" s="7"/>
      <c r="RL142" s="7"/>
      <c r="RM142" s="7"/>
      <c r="RN142" s="7"/>
      <c r="RO142" s="7"/>
      <c r="RP142" s="7"/>
      <c r="RQ142" s="7"/>
      <c r="RR142" s="7"/>
      <c r="RS142" s="7"/>
      <c r="RT142" s="7"/>
      <c r="RU142" s="7"/>
      <c r="RV142" s="7"/>
      <c r="RW142" s="7"/>
      <c r="RX142" s="7"/>
      <c r="RY142" s="7"/>
      <c r="RZ142" s="7"/>
      <c r="SA142" s="7"/>
      <c r="SB142" s="7"/>
      <c r="SC142" s="7"/>
      <c r="SD142" s="7"/>
      <c r="SE142" s="7"/>
      <c r="SF142" s="7"/>
      <c r="SG142" s="7"/>
      <c r="SH142" s="7"/>
      <c r="SI142" s="7"/>
      <c r="SJ142" s="7"/>
      <c r="SK142" s="7"/>
      <c r="SL142" s="7"/>
      <c r="SM142" s="7"/>
      <c r="SN142" s="7"/>
      <c r="SO142" s="7"/>
      <c r="SP142" s="7"/>
      <c r="SQ142" s="7"/>
      <c r="SR142" s="7"/>
      <c r="SS142" s="7"/>
      <c r="ST142" s="7"/>
      <c r="SU142" s="7"/>
      <c r="SV142" s="7"/>
      <c r="SW142" s="7"/>
      <c r="SX142" s="7"/>
      <c r="SY142" s="7"/>
      <c r="SZ142" s="7"/>
      <c r="TA142" s="7"/>
      <c r="TB142" s="7"/>
      <c r="TC142" s="7"/>
      <c r="TD142" s="7"/>
      <c r="TE142" s="7"/>
      <c r="TF142" s="7"/>
      <c r="TG142" s="7"/>
      <c r="TH142" s="7"/>
      <c r="TI142" s="7"/>
      <c r="TJ142" s="7"/>
      <c r="TK142" s="7"/>
      <c r="TL142" s="7"/>
      <c r="TM142" s="7"/>
      <c r="TN142" s="7"/>
      <c r="TO142" s="7"/>
      <c r="TP142" s="7"/>
      <c r="TQ142" s="7"/>
      <c r="TR142" s="7"/>
      <c r="TS142" s="7"/>
      <c r="TT142" s="7"/>
      <c r="TU142" s="7"/>
      <c r="TV142" s="7"/>
      <c r="TW142" s="7"/>
      <c r="TX142" s="7"/>
      <c r="TY142" s="7"/>
      <c r="TZ142" s="7"/>
      <c r="UA142" s="7"/>
      <c r="UB142" s="7"/>
      <c r="UC142" s="7"/>
      <c r="UD142" s="7"/>
      <c r="UE142" s="7"/>
      <c r="UF142" s="7"/>
      <c r="UG142" s="7"/>
      <c r="UH142" s="7"/>
      <c r="UI142" s="7"/>
      <c r="UJ142" s="7"/>
      <c r="UK142" s="7"/>
      <c r="UL142" s="7"/>
      <c r="UM142" s="7"/>
      <c r="UN142" s="7"/>
      <c r="UO142" s="7"/>
      <c r="UP142" s="7"/>
      <c r="UQ142" s="7"/>
      <c r="UR142" s="7"/>
      <c r="US142" s="7"/>
      <c r="UT142" s="7"/>
      <c r="UU142" s="7"/>
      <c r="UV142" s="7"/>
      <c r="UW142" s="7"/>
      <c r="UX142" s="7"/>
      <c r="UY142" s="7"/>
      <c r="UZ142" s="7"/>
      <c r="VA142" s="7"/>
      <c r="VB142" s="7"/>
      <c r="VC142" s="7"/>
      <c r="VD142" s="7"/>
      <c r="VE142" s="7"/>
      <c r="VF142" s="7"/>
      <c r="VG142" s="7"/>
      <c r="VH142" s="7"/>
      <c r="VI142" s="7"/>
      <c r="VJ142" s="7"/>
      <c r="VK142" s="7"/>
      <c r="VL142" s="7"/>
      <c r="VM142" s="7"/>
      <c r="VN142" s="7"/>
      <c r="VO142" s="7"/>
      <c r="VP142" s="7"/>
      <c r="VQ142" s="7"/>
      <c r="VR142" s="7"/>
      <c r="VS142" s="7"/>
      <c r="VT142" s="7"/>
      <c r="VU142" s="7"/>
      <c r="VV142" s="7"/>
      <c r="VW142" s="7"/>
      <c r="VX142" s="7"/>
      <c r="VY142" s="7"/>
      <c r="VZ142" s="7"/>
      <c r="WA142" s="7"/>
      <c r="WB142" s="7"/>
      <c r="WC142" s="7"/>
      <c r="WD142" s="7"/>
      <c r="WE142" s="7"/>
      <c r="WF142" s="7"/>
      <c r="WG142" s="7"/>
      <c r="WH142" s="7"/>
      <c r="WI142" s="7"/>
      <c r="WJ142" s="7"/>
      <c r="WK142" s="7"/>
      <c r="WL142" s="7"/>
      <c r="WM142" s="7"/>
      <c r="WN142" s="7"/>
      <c r="WO142" s="7"/>
      <c r="WP142" s="7"/>
      <c r="WQ142" s="7"/>
      <c r="WR142" s="7"/>
      <c r="WS142" s="7"/>
      <c r="WT142" s="7"/>
      <c r="WU142" s="7"/>
      <c r="WV142" s="7"/>
      <c r="WW142" s="7"/>
      <c r="WX142" s="7"/>
      <c r="WY142" s="7"/>
      <c r="WZ142" s="7"/>
      <c r="XA142" s="7"/>
      <c r="XB142" s="7"/>
      <c r="XC142" s="7"/>
      <c r="XD142" s="7"/>
      <c r="XE142" s="7"/>
      <c r="XF142" s="7"/>
      <c r="XG142" s="7"/>
      <c r="XH142" s="7"/>
      <c r="XI142" s="7"/>
      <c r="XJ142" s="7"/>
      <c r="XK142" s="7"/>
      <c r="XL142" s="7"/>
      <c r="XM142" s="7"/>
      <c r="XN142" s="7"/>
      <c r="XO142" s="7"/>
      <c r="XP142" s="7"/>
      <c r="XQ142" s="7"/>
      <c r="XR142" s="7"/>
      <c r="XS142" s="7"/>
      <c r="XT142" s="7"/>
      <c r="XU142" s="7"/>
      <c r="XV142" s="7"/>
      <c r="XW142" s="7"/>
      <c r="XX142" s="7"/>
      <c r="XY142" s="7"/>
      <c r="XZ142" s="7"/>
      <c r="YA142" s="7"/>
      <c r="YB142" s="7"/>
      <c r="YC142" s="7"/>
      <c r="YD142" s="7"/>
      <c r="YE142" s="7"/>
      <c r="YF142" s="7"/>
      <c r="YG142" s="7"/>
      <c r="YH142" s="7"/>
      <c r="YI142" s="7"/>
      <c r="YJ142" s="7"/>
      <c r="YK142" s="7"/>
      <c r="YL142" s="7"/>
      <c r="YM142" s="7"/>
      <c r="YN142" s="7"/>
      <c r="YO142" s="7"/>
      <c r="YP142" s="7"/>
      <c r="YQ142" s="7"/>
      <c r="YR142" s="7"/>
      <c r="YS142" s="7"/>
      <c r="YT142" s="7"/>
      <c r="YU142" s="7"/>
      <c r="YV142" s="7"/>
      <c r="YW142" s="7"/>
      <c r="YX142" s="7"/>
      <c r="YY142" s="7"/>
      <c r="YZ142" s="7"/>
      <c r="ZA142" s="7"/>
      <c r="ZB142" s="7"/>
      <c r="ZC142" s="7"/>
      <c r="ZD142" s="7"/>
      <c r="ZE142" s="7"/>
      <c r="ZF142" s="7"/>
      <c r="ZG142" s="7"/>
      <c r="ZH142" s="7"/>
      <c r="ZI142" s="7"/>
      <c r="ZJ142" s="7"/>
      <c r="ZK142" s="7"/>
      <c r="ZL142" s="7"/>
      <c r="ZM142" s="7"/>
      <c r="ZN142" s="7"/>
      <c r="ZO142" s="7"/>
      <c r="ZP142" s="7"/>
      <c r="ZQ142" s="7"/>
      <c r="ZR142" s="7"/>
      <c r="ZS142" s="7"/>
      <c r="ZT142" s="7"/>
      <c r="ZU142" s="7"/>
      <c r="ZV142" s="7"/>
      <c r="ZW142" s="7"/>
      <c r="ZX142" s="7"/>
      <c r="ZY142" s="7"/>
      <c r="ZZ142" s="7"/>
      <c r="AAA142" s="7"/>
      <c r="AAB142" s="7"/>
      <c r="AAC142" s="7"/>
      <c r="AAD142" s="7"/>
      <c r="AAE142" s="7"/>
      <c r="AAF142" s="7"/>
      <c r="AAG142" s="7"/>
      <c r="AAH142" s="7"/>
      <c r="AAI142" s="7"/>
      <c r="AAJ142" s="7"/>
      <c r="AAK142" s="7"/>
      <c r="AAL142" s="7"/>
      <c r="AAM142" s="7"/>
      <c r="AAN142" s="7"/>
      <c r="AAO142" s="7"/>
      <c r="AAP142" s="7"/>
      <c r="AAQ142" s="7"/>
      <c r="AAR142" s="7"/>
      <c r="AAS142" s="7"/>
      <c r="AAT142" s="7"/>
      <c r="AAU142" s="7"/>
      <c r="AAV142" s="7"/>
      <c r="AAW142" s="7"/>
      <c r="AAX142" s="7"/>
      <c r="AAY142" s="7"/>
      <c r="AAZ142" s="7"/>
      <c r="ABA142" s="7"/>
      <c r="ABB142" s="7"/>
      <c r="ABC142" s="7"/>
      <c r="ABD142" s="7"/>
      <c r="ABE142" s="7"/>
      <c r="ABF142" s="7"/>
      <c r="ABG142" s="7"/>
      <c r="ABH142" s="7"/>
      <c r="ABI142" s="7"/>
      <c r="ABJ142" s="7"/>
      <c r="ABK142" s="7"/>
      <c r="ABL142" s="7"/>
      <c r="ABM142" s="7"/>
      <c r="ABN142" s="7"/>
      <c r="ABO142" s="7"/>
      <c r="ABP142" s="7"/>
      <c r="ABQ142" s="7"/>
      <c r="ABR142" s="7"/>
      <c r="ABS142" s="7"/>
      <c r="ABT142" s="7"/>
      <c r="ABU142" s="7"/>
      <c r="ABV142" s="7"/>
      <c r="ABW142" s="7"/>
      <c r="ABX142" s="7"/>
      <c r="ABY142" s="7"/>
      <c r="ABZ142" s="7"/>
      <c r="ACA142" s="7"/>
      <c r="ACB142" s="7"/>
      <c r="ACC142" s="7"/>
      <c r="ACD142" s="7"/>
      <c r="ACE142" s="7"/>
      <c r="ACF142" s="7"/>
      <c r="ACG142" s="7"/>
      <c r="ACH142" s="7"/>
      <c r="ACI142" s="7"/>
      <c r="ACJ142" s="7"/>
      <c r="ACK142" s="7"/>
      <c r="ACL142" s="7"/>
      <c r="ACM142" s="7"/>
      <c r="ACN142" s="7"/>
      <c r="ACO142" s="7"/>
      <c r="ACP142" s="7"/>
      <c r="ACQ142" s="7"/>
      <c r="ACR142" s="7"/>
      <c r="ACS142" s="7"/>
      <c r="ACT142" s="7"/>
      <c r="ACU142" s="7"/>
      <c r="ACV142" s="7"/>
      <c r="ACW142" s="7"/>
      <c r="ACX142" s="7"/>
      <c r="ACY142" s="7"/>
      <c r="ACZ142" s="7"/>
      <c r="ADA142" s="7"/>
      <c r="ADB142" s="7"/>
      <c r="ADC142" s="7"/>
      <c r="ADD142" s="7"/>
      <c r="ADE142" s="7"/>
      <c r="ADF142" s="7"/>
      <c r="ADG142" s="7"/>
      <c r="ADH142" s="7"/>
      <c r="ADI142" s="7"/>
      <c r="ADJ142" s="7"/>
      <c r="ADK142" s="7"/>
      <c r="ADL142" s="7"/>
      <c r="ADM142" s="7"/>
      <c r="ADN142" s="7"/>
      <c r="ADO142" s="7"/>
      <c r="ADP142" s="7"/>
      <c r="ADQ142" s="7"/>
      <c r="ADR142" s="7"/>
      <c r="ADS142" s="7"/>
      <c r="ADT142" s="7"/>
      <c r="ADU142" s="7"/>
      <c r="ADV142" s="7"/>
      <c r="ADW142" s="7"/>
      <c r="ADX142" s="7"/>
      <c r="ADY142" s="7"/>
      <c r="ADZ142" s="7"/>
      <c r="AEA142" s="7"/>
      <c r="AEB142" s="7"/>
      <c r="AEC142" s="7"/>
      <c r="AED142" s="7"/>
      <c r="AEE142" s="7"/>
      <c r="AEF142" s="7"/>
      <c r="AEG142" s="7"/>
      <c r="AEH142" s="7"/>
      <c r="AEI142" s="7"/>
      <c r="AEJ142" s="7"/>
      <c r="AEK142" s="7"/>
      <c r="AEL142" s="7"/>
      <c r="AEM142" s="7"/>
      <c r="AEN142" s="7"/>
      <c r="AEO142" s="7"/>
      <c r="AEP142" s="7"/>
      <c r="AEQ142" s="7"/>
      <c r="AER142" s="7"/>
      <c r="AES142" s="7"/>
      <c r="AET142" s="7"/>
      <c r="AEU142" s="7"/>
      <c r="AEV142" s="7"/>
      <c r="AEW142" s="7"/>
      <c r="AEX142" s="7"/>
      <c r="AEY142" s="7"/>
      <c r="AEZ142" s="7"/>
      <c r="AFA142" s="7"/>
      <c r="AFB142" s="7"/>
      <c r="AFC142" s="7"/>
      <c r="AFD142" s="7"/>
      <c r="AFE142" s="7"/>
      <c r="AFF142" s="7"/>
      <c r="AFG142" s="7"/>
      <c r="AFH142" s="7"/>
      <c r="AFI142" s="7"/>
      <c r="AFJ142" s="7"/>
      <c r="AFK142" s="7"/>
      <c r="AFL142" s="7"/>
      <c r="AFM142" s="7"/>
      <c r="AFN142" s="7"/>
      <c r="AFO142" s="7"/>
      <c r="AFP142" s="7"/>
      <c r="AFQ142" s="7"/>
      <c r="AFR142" s="7"/>
      <c r="AFS142" s="7"/>
      <c r="AFT142" s="7"/>
      <c r="AFU142" s="7"/>
      <c r="AFV142" s="7"/>
      <c r="AFW142" s="7"/>
      <c r="AFX142" s="7"/>
      <c r="AFY142" s="7"/>
      <c r="AFZ142" s="7"/>
      <c r="AGA142" s="7"/>
      <c r="AGB142" s="7"/>
      <c r="AGC142" s="7"/>
      <c r="AGD142" s="7"/>
      <c r="AGE142" s="7"/>
      <c r="AGF142" s="7"/>
      <c r="AGG142" s="7"/>
      <c r="AGH142" s="7"/>
      <c r="AGI142" s="7"/>
      <c r="AGJ142" s="7"/>
      <c r="AGK142" s="7"/>
      <c r="AGL142" s="7"/>
      <c r="AGM142" s="7"/>
      <c r="AGN142" s="7"/>
      <c r="AGO142" s="7"/>
      <c r="AGP142" s="7"/>
      <c r="AGQ142" s="7"/>
      <c r="AGR142" s="7"/>
      <c r="AGS142" s="7"/>
      <c r="AGT142" s="7"/>
      <c r="AGU142" s="7"/>
      <c r="AGV142" s="7"/>
      <c r="AGW142" s="7"/>
      <c r="AGX142" s="7"/>
      <c r="AGY142" s="7"/>
      <c r="AGZ142" s="7"/>
      <c r="AHA142" s="7"/>
      <c r="AHB142" s="7"/>
      <c r="AHC142" s="7"/>
      <c r="AHD142" s="7"/>
      <c r="AHE142" s="7"/>
      <c r="AHF142" s="7"/>
      <c r="AHG142" s="7"/>
      <c r="AHH142" s="7"/>
      <c r="AHI142" s="7"/>
      <c r="AHJ142" s="7"/>
      <c r="AHK142" s="7"/>
      <c r="AHL142" s="7"/>
      <c r="AHM142" s="7"/>
      <c r="AHN142" s="7"/>
      <c r="AHO142" s="7"/>
      <c r="AHP142" s="7"/>
      <c r="AHQ142" s="7"/>
      <c r="AHR142" s="7"/>
      <c r="AHS142" s="7"/>
      <c r="AHT142" s="7"/>
      <c r="AHU142" s="7"/>
      <c r="AHV142" s="7"/>
      <c r="AHW142" s="7"/>
      <c r="AHX142" s="7"/>
      <c r="AHY142" s="7"/>
      <c r="AHZ142" s="7"/>
      <c r="AIA142" s="7"/>
      <c r="AIB142" s="7"/>
      <c r="AIC142" s="7"/>
      <c r="AID142" s="7"/>
      <c r="AIE142" s="7"/>
      <c r="AIF142" s="7"/>
      <c r="AIG142" s="7"/>
      <c r="AIH142" s="7"/>
      <c r="AII142" s="7"/>
      <c r="AIJ142" s="7"/>
      <c r="AIK142" s="7"/>
      <c r="AIL142" s="7"/>
      <c r="AIM142" s="7"/>
      <c r="AIN142" s="7"/>
      <c r="AIO142" s="7"/>
      <c r="AIP142" s="7"/>
      <c r="AIQ142" s="7"/>
      <c r="AIR142" s="7"/>
      <c r="AIS142" s="7"/>
      <c r="AIT142" s="7"/>
      <c r="AIU142" s="7"/>
      <c r="AIV142" s="7"/>
      <c r="AIW142" s="7"/>
      <c r="AIX142" s="7"/>
      <c r="AIY142" s="7"/>
      <c r="AIZ142" s="7"/>
      <c r="AJA142" s="7"/>
      <c r="AJB142" s="7"/>
      <c r="AJC142" s="7"/>
      <c r="AJD142" s="7"/>
      <c r="AJE142" s="7"/>
      <c r="AJF142" s="7"/>
      <c r="AJG142" s="7"/>
      <c r="AJH142" s="7"/>
      <c r="AJI142" s="7"/>
      <c r="AJJ142" s="7"/>
      <c r="AJK142" s="7"/>
      <c r="AJL142" s="7"/>
      <c r="AJM142" s="7"/>
      <c r="AJN142" s="7"/>
      <c r="AJO142" s="7"/>
      <c r="AJP142" s="7"/>
      <c r="AJQ142" s="7"/>
      <c r="AJR142" s="7"/>
      <c r="AJS142" s="7"/>
      <c r="AJT142" s="7"/>
      <c r="AJU142" s="7"/>
      <c r="AJV142" s="7"/>
      <c r="AJW142" s="7"/>
      <c r="AJX142" s="7"/>
      <c r="AJY142" s="7"/>
      <c r="AJZ142" s="7"/>
      <c r="AKA142" s="7"/>
      <c r="AKB142" s="7"/>
      <c r="AKC142" s="7"/>
      <c r="AKD142" s="7"/>
      <c r="AKE142" s="7"/>
      <c r="AKF142" s="7"/>
      <c r="AKG142" s="7"/>
      <c r="AKH142" s="7"/>
      <c r="AKI142" s="7"/>
      <c r="AKJ142" s="7"/>
      <c r="AKK142" s="7"/>
      <c r="AKL142" s="7"/>
      <c r="AKM142" s="7"/>
      <c r="AKN142" s="7"/>
      <c r="AKO142" s="7"/>
      <c r="AKP142" s="7"/>
      <c r="AKQ142" s="7"/>
      <c r="AKR142" s="7"/>
      <c r="AKS142" s="7"/>
      <c r="AKT142" s="7"/>
      <c r="AKU142" s="7"/>
      <c r="AKV142" s="7"/>
      <c r="AKW142" s="7"/>
      <c r="AKX142" s="7"/>
      <c r="AKY142" s="7"/>
      <c r="AKZ142" s="7"/>
      <c r="ALA142" s="7"/>
      <c r="ALB142" s="7"/>
      <c r="ALC142" s="7"/>
      <c r="ALD142" s="7"/>
      <c r="ALE142" s="7"/>
      <c r="ALF142" s="7"/>
      <c r="ALG142" s="7"/>
      <c r="ALH142" s="7"/>
      <c r="ALI142" s="7"/>
      <c r="ALJ142" s="7"/>
      <c r="ALK142" s="7"/>
      <c r="ALL142" s="7"/>
      <c r="ALM142" s="7"/>
      <c r="ALN142" s="7"/>
      <c r="ALO142" s="7"/>
      <c r="ALP142" s="7"/>
      <c r="ALQ142" s="7"/>
      <c r="ALR142" s="7"/>
      <c r="ALS142" s="7"/>
      <c r="ALT142" s="7"/>
      <c r="ALU142" s="7"/>
      <c r="ALV142" s="7"/>
      <c r="ALW142" s="7"/>
      <c r="ALX142" s="7"/>
      <c r="ALY142" s="7"/>
      <c r="ALZ142" s="7"/>
      <c r="AMA142" s="7"/>
      <c r="AMB142" s="7"/>
      <c r="AMC142" s="7"/>
      <c r="AMD142" s="7"/>
      <c r="AME142" s="7"/>
      <c r="AMF142" s="7"/>
      <c r="AMG142" s="7"/>
      <c r="AMH142" s="7"/>
      <c r="AMI142" s="7"/>
      <c r="AMJ142" s="7"/>
    </row>
    <row r="143" s="196" customFormat="true" ht="15.75" hidden="false" customHeight="true" outlineLevel="0" collapsed="false">
      <c r="A143" s="7"/>
      <c r="B143" s="41"/>
      <c r="C143" s="194" t="s">
        <v>132</v>
      </c>
      <c r="D143" s="195" t="n">
        <v>20</v>
      </c>
      <c r="E143" s="195" t="n">
        <v>2</v>
      </c>
      <c r="F143" s="97"/>
      <c r="G143" s="24"/>
      <c r="H143" s="41"/>
      <c r="I143" s="194" t="s">
        <v>132</v>
      </c>
      <c r="J143" s="195" t="n">
        <v>20</v>
      </c>
      <c r="K143" s="195" t="n">
        <v>2</v>
      </c>
      <c r="L143" s="9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  <c r="KS143" s="7"/>
      <c r="KT143" s="7"/>
      <c r="KU143" s="7"/>
      <c r="KV143" s="7"/>
      <c r="KW143" s="7"/>
      <c r="KX143" s="7"/>
      <c r="KY143" s="7"/>
      <c r="KZ143" s="7"/>
      <c r="LA143" s="7"/>
      <c r="LB143" s="7"/>
      <c r="LC143" s="7"/>
      <c r="LD143" s="7"/>
      <c r="LE143" s="7"/>
      <c r="LF143" s="7"/>
      <c r="LG143" s="7"/>
      <c r="LH143" s="7"/>
      <c r="LI143" s="7"/>
      <c r="LJ143" s="7"/>
      <c r="LK143" s="7"/>
      <c r="LL143" s="7"/>
      <c r="LM143" s="7"/>
      <c r="LN143" s="7"/>
      <c r="LO143" s="7"/>
      <c r="LP143" s="7"/>
      <c r="LQ143" s="7"/>
      <c r="LR143" s="7"/>
      <c r="LS143" s="7"/>
      <c r="LT143" s="7"/>
      <c r="LU143" s="7"/>
      <c r="LV143" s="7"/>
      <c r="LW143" s="7"/>
      <c r="LX143" s="7"/>
      <c r="LY143" s="7"/>
      <c r="LZ143" s="7"/>
      <c r="MA143" s="7"/>
      <c r="MB143" s="7"/>
      <c r="MC143" s="7"/>
      <c r="MD143" s="7"/>
      <c r="ME143" s="7"/>
      <c r="MF143" s="7"/>
      <c r="MG143" s="7"/>
      <c r="MH143" s="7"/>
      <c r="MI143" s="7"/>
      <c r="MJ143" s="7"/>
      <c r="MK143" s="7"/>
      <c r="ML143" s="7"/>
      <c r="MM143" s="7"/>
      <c r="MN143" s="7"/>
      <c r="MO143" s="7"/>
      <c r="MP143" s="7"/>
      <c r="MQ143" s="7"/>
      <c r="MR143" s="7"/>
      <c r="MS143" s="7"/>
      <c r="MT143" s="7"/>
      <c r="MU143" s="7"/>
      <c r="MV143" s="7"/>
      <c r="MW143" s="7"/>
      <c r="MX143" s="7"/>
      <c r="MY143" s="7"/>
      <c r="MZ143" s="7"/>
      <c r="NA143" s="7"/>
      <c r="NB143" s="7"/>
      <c r="NC143" s="7"/>
      <c r="ND143" s="7"/>
      <c r="NE143" s="7"/>
      <c r="NF143" s="7"/>
      <c r="NG143" s="7"/>
      <c r="NH143" s="7"/>
      <c r="NI143" s="7"/>
      <c r="NJ143" s="7"/>
      <c r="NK143" s="7"/>
      <c r="NL143" s="7"/>
      <c r="NM143" s="7"/>
      <c r="NN143" s="7"/>
      <c r="NO143" s="7"/>
      <c r="NP143" s="7"/>
      <c r="NQ143" s="7"/>
      <c r="NR143" s="7"/>
      <c r="NS143" s="7"/>
      <c r="NT143" s="7"/>
      <c r="NU143" s="7"/>
      <c r="NV143" s="7"/>
      <c r="NW143" s="7"/>
      <c r="NX143" s="7"/>
      <c r="NY143" s="7"/>
      <c r="NZ143" s="7"/>
      <c r="OA143" s="7"/>
      <c r="OB143" s="7"/>
      <c r="OC143" s="7"/>
      <c r="OD143" s="7"/>
      <c r="OE143" s="7"/>
      <c r="OF143" s="7"/>
      <c r="OG143" s="7"/>
      <c r="OH143" s="7"/>
      <c r="OI143" s="7"/>
      <c r="OJ143" s="7"/>
      <c r="OK143" s="7"/>
      <c r="OL143" s="7"/>
      <c r="OM143" s="7"/>
      <c r="ON143" s="7"/>
      <c r="OO143" s="7"/>
      <c r="OP143" s="7"/>
      <c r="OQ143" s="7"/>
      <c r="OR143" s="7"/>
      <c r="OS143" s="7"/>
      <c r="OT143" s="7"/>
      <c r="OU143" s="7"/>
      <c r="OV143" s="7"/>
      <c r="OW143" s="7"/>
      <c r="OX143" s="7"/>
      <c r="OY143" s="7"/>
      <c r="OZ143" s="7"/>
      <c r="PA143" s="7"/>
      <c r="PB143" s="7"/>
      <c r="PC143" s="7"/>
      <c r="PD143" s="7"/>
      <c r="PE143" s="7"/>
      <c r="PF143" s="7"/>
      <c r="PG143" s="7"/>
      <c r="PH143" s="7"/>
      <c r="PI143" s="7"/>
      <c r="PJ143" s="7"/>
      <c r="PK143" s="7"/>
      <c r="PL143" s="7"/>
      <c r="PM143" s="7"/>
      <c r="PN143" s="7"/>
      <c r="PO143" s="7"/>
      <c r="PP143" s="7"/>
      <c r="PQ143" s="7"/>
      <c r="PR143" s="7"/>
      <c r="PS143" s="7"/>
      <c r="PT143" s="7"/>
      <c r="PU143" s="7"/>
      <c r="PV143" s="7"/>
      <c r="PW143" s="7"/>
      <c r="PX143" s="7"/>
      <c r="PY143" s="7"/>
      <c r="PZ143" s="7"/>
      <c r="QA143" s="7"/>
      <c r="QB143" s="7"/>
      <c r="QC143" s="7"/>
      <c r="QD143" s="7"/>
      <c r="QE143" s="7"/>
      <c r="QF143" s="7"/>
      <c r="QG143" s="7"/>
      <c r="QH143" s="7"/>
      <c r="QI143" s="7"/>
      <c r="QJ143" s="7"/>
      <c r="QK143" s="7"/>
      <c r="QL143" s="7"/>
      <c r="QM143" s="7"/>
      <c r="QN143" s="7"/>
      <c r="QO143" s="7"/>
      <c r="QP143" s="7"/>
      <c r="QQ143" s="7"/>
      <c r="QR143" s="7"/>
      <c r="QS143" s="7"/>
      <c r="QT143" s="7"/>
      <c r="QU143" s="7"/>
      <c r="QV143" s="7"/>
      <c r="QW143" s="7"/>
      <c r="QX143" s="7"/>
      <c r="QY143" s="7"/>
      <c r="QZ143" s="7"/>
      <c r="RA143" s="7"/>
      <c r="RB143" s="7"/>
      <c r="RC143" s="7"/>
      <c r="RD143" s="7"/>
      <c r="RE143" s="7"/>
      <c r="RF143" s="7"/>
      <c r="RG143" s="7"/>
      <c r="RH143" s="7"/>
      <c r="RI143" s="7"/>
      <c r="RJ143" s="7"/>
      <c r="RK143" s="7"/>
      <c r="RL143" s="7"/>
      <c r="RM143" s="7"/>
      <c r="RN143" s="7"/>
      <c r="RO143" s="7"/>
      <c r="RP143" s="7"/>
      <c r="RQ143" s="7"/>
      <c r="RR143" s="7"/>
      <c r="RS143" s="7"/>
      <c r="RT143" s="7"/>
      <c r="RU143" s="7"/>
      <c r="RV143" s="7"/>
      <c r="RW143" s="7"/>
      <c r="RX143" s="7"/>
      <c r="RY143" s="7"/>
      <c r="RZ143" s="7"/>
      <c r="SA143" s="7"/>
      <c r="SB143" s="7"/>
      <c r="SC143" s="7"/>
      <c r="SD143" s="7"/>
      <c r="SE143" s="7"/>
      <c r="SF143" s="7"/>
      <c r="SG143" s="7"/>
      <c r="SH143" s="7"/>
      <c r="SI143" s="7"/>
      <c r="SJ143" s="7"/>
      <c r="SK143" s="7"/>
      <c r="SL143" s="7"/>
      <c r="SM143" s="7"/>
      <c r="SN143" s="7"/>
      <c r="SO143" s="7"/>
      <c r="SP143" s="7"/>
      <c r="SQ143" s="7"/>
      <c r="SR143" s="7"/>
      <c r="SS143" s="7"/>
      <c r="ST143" s="7"/>
      <c r="SU143" s="7"/>
      <c r="SV143" s="7"/>
      <c r="SW143" s="7"/>
      <c r="SX143" s="7"/>
      <c r="SY143" s="7"/>
      <c r="SZ143" s="7"/>
      <c r="TA143" s="7"/>
      <c r="TB143" s="7"/>
      <c r="TC143" s="7"/>
      <c r="TD143" s="7"/>
      <c r="TE143" s="7"/>
      <c r="TF143" s="7"/>
      <c r="TG143" s="7"/>
      <c r="TH143" s="7"/>
      <c r="TI143" s="7"/>
      <c r="TJ143" s="7"/>
      <c r="TK143" s="7"/>
      <c r="TL143" s="7"/>
      <c r="TM143" s="7"/>
      <c r="TN143" s="7"/>
      <c r="TO143" s="7"/>
      <c r="TP143" s="7"/>
      <c r="TQ143" s="7"/>
      <c r="TR143" s="7"/>
      <c r="TS143" s="7"/>
      <c r="TT143" s="7"/>
      <c r="TU143" s="7"/>
      <c r="TV143" s="7"/>
      <c r="TW143" s="7"/>
      <c r="TX143" s="7"/>
      <c r="TY143" s="7"/>
      <c r="TZ143" s="7"/>
      <c r="UA143" s="7"/>
      <c r="UB143" s="7"/>
      <c r="UC143" s="7"/>
      <c r="UD143" s="7"/>
      <c r="UE143" s="7"/>
      <c r="UF143" s="7"/>
      <c r="UG143" s="7"/>
      <c r="UH143" s="7"/>
      <c r="UI143" s="7"/>
      <c r="UJ143" s="7"/>
      <c r="UK143" s="7"/>
      <c r="UL143" s="7"/>
      <c r="UM143" s="7"/>
      <c r="UN143" s="7"/>
      <c r="UO143" s="7"/>
      <c r="UP143" s="7"/>
      <c r="UQ143" s="7"/>
      <c r="UR143" s="7"/>
      <c r="US143" s="7"/>
      <c r="UT143" s="7"/>
      <c r="UU143" s="7"/>
      <c r="UV143" s="7"/>
      <c r="UW143" s="7"/>
      <c r="UX143" s="7"/>
      <c r="UY143" s="7"/>
      <c r="UZ143" s="7"/>
      <c r="VA143" s="7"/>
      <c r="VB143" s="7"/>
      <c r="VC143" s="7"/>
      <c r="VD143" s="7"/>
      <c r="VE143" s="7"/>
      <c r="VF143" s="7"/>
      <c r="VG143" s="7"/>
      <c r="VH143" s="7"/>
      <c r="VI143" s="7"/>
      <c r="VJ143" s="7"/>
      <c r="VK143" s="7"/>
      <c r="VL143" s="7"/>
      <c r="VM143" s="7"/>
      <c r="VN143" s="7"/>
      <c r="VO143" s="7"/>
      <c r="VP143" s="7"/>
      <c r="VQ143" s="7"/>
      <c r="VR143" s="7"/>
      <c r="VS143" s="7"/>
      <c r="VT143" s="7"/>
      <c r="VU143" s="7"/>
      <c r="VV143" s="7"/>
      <c r="VW143" s="7"/>
      <c r="VX143" s="7"/>
      <c r="VY143" s="7"/>
      <c r="VZ143" s="7"/>
      <c r="WA143" s="7"/>
      <c r="WB143" s="7"/>
      <c r="WC143" s="7"/>
      <c r="WD143" s="7"/>
      <c r="WE143" s="7"/>
      <c r="WF143" s="7"/>
      <c r="WG143" s="7"/>
      <c r="WH143" s="7"/>
      <c r="WI143" s="7"/>
      <c r="WJ143" s="7"/>
      <c r="WK143" s="7"/>
      <c r="WL143" s="7"/>
      <c r="WM143" s="7"/>
      <c r="WN143" s="7"/>
      <c r="WO143" s="7"/>
      <c r="WP143" s="7"/>
      <c r="WQ143" s="7"/>
      <c r="WR143" s="7"/>
      <c r="WS143" s="7"/>
      <c r="WT143" s="7"/>
      <c r="WU143" s="7"/>
      <c r="WV143" s="7"/>
      <c r="WW143" s="7"/>
      <c r="WX143" s="7"/>
      <c r="WY143" s="7"/>
      <c r="WZ143" s="7"/>
      <c r="XA143" s="7"/>
      <c r="XB143" s="7"/>
      <c r="XC143" s="7"/>
      <c r="XD143" s="7"/>
      <c r="XE143" s="7"/>
      <c r="XF143" s="7"/>
      <c r="XG143" s="7"/>
      <c r="XH143" s="7"/>
      <c r="XI143" s="7"/>
      <c r="XJ143" s="7"/>
      <c r="XK143" s="7"/>
      <c r="XL143" s="7"/>
      <c r="XM143" s="7"/>
      <c r="XN143" s="7"/>
      <c r="XO143" s="7"/>
      <c r="XP143" s="7"/>
      <c r="XQ143" s="7"/>
      <c r="XR143" s="7"/>
      <c r="XS143" s="7"/>
      <c r="XT143" s="7"/>
      <c r="XU143" s="7"/>
      <c r="XV143" s="7"/>
      <c r="XW143" s="7"/>
      <c r="XX143" s="7"/>
      <c r="XY143" s="7"/>
      <c r="XZ143" s="7"/>
      <c r="YA143" s="7"/>
      <c r="YB143" s="7"/>
      <c r="YC143" s="7"/>
      <c r="YD143" s="7"/>
      <c r="YE143" s="7"/>
      <c r="YF143" s="7"/>
      <c r="YG143" s="7"/>
      <c r="YH143" s="7"/>
      <c r="YI143" s="7"/>
      <c r="YJ143" s="7"/>
      <c r="YK143" s="7"/>
      <c r="YL143" s="7"/>
      <c r="YM143" s="7"/>
      <c r="YN143" s="7"/>
      <c r="YO143" s="7"/>
      <c r="YP143" s="7"/>
      <c r="YQ143" s="7"/>
      <c r="YR143" s="7"/>
      <c r="YS143" s="7"/>
      <c r="YT143" s="7"/>
      <c r="YU143" s="7"/>
      <c r="YV143" s="7"/>
      <c r="YW143" s="7"/>
      <c r="YX143" s="7"/>
      <c r="YY143" s="7"/>
      <c r="YZ143" s="7"/>
      <c r="ZA143" s="7"/>
      <c r="ZB143" s="7"/>
      <c r="ZC143" s="7"/>
      <c r="ZD143" s="7"/>
      <c r="ZE143" s="7"/>
      <c r="ZF143" s="7"/>
      <c r="ZG143" s="7"/>
      <c r="ZH143" s="7"/>
      <c r="ZI143" s="7"/>
      <c r="ZJ143" s="7"/>
      <c r="ZK143" s="7"/>
      <c r="ZL143" s="7"/>
      <c r="ZM143" s="7"/>
      <c r="ZN143" s="7"/>
      <c r="ZO143" s="7"/>
      <c r="ZP143" s="7"/>
      <c r="ZQ143" s="7"/>
      <c r="ZR143" s="7"/>
      <c r="ZS143" s="7"/>
      <c r="ZT143" s="7"/>
      <c r="ZU143" s="7"/>
      <c r="ZV143" s="7"/>
      <c r="ZW143" s="7"/>
      <c r="ZX143" s="7"/>
      <c r="ZY143" s="7"/>
      <c r="ZZ143" s="7"/>
      <c r="AAA143" s="7"/>
      <c r="AAB143" s="7"/>
      <c r="AAC143" s="7"/>
      <c r="AAD143" s="7"/>
      <c r="AAE143" s="7"/>
      <c r="AAF143" s="7"/>
      <c r="AAG143" s="7"/>
      <c r="AAH143" s="7"/>
      <c r="AAI143" s="7"/>
      <c r="AAJ143" s="7"/>
      <c r="AAK143" s="7"/>
      <c r="AAL143" s="7"/>
      <c r="AAM143" s="7"/>
      <c r="AAN143" s="7"/>
      <c r="AAO143" s="7"/>
      <c r="AAP143" s="7"/>
      <c r="AAQ143" s="7"/>
      <c r="AAR143" s="7"/>
      <c r="AAS143" s="7"/>
      <c r="AAT143" s="7"/>
      <c r="AAU143" s="7"/>
      <c r="AAV143" s="7"/>
      <c r="AAW143" s="7"/>
      <c r="AAX143" s="7"/>
      <c r="AAY143" s="7"/>
      <c r="AAZ143" s="7"/>
      <c r="ABA143" s="7"/>
      <c r="ABB143" s="7"/>
      <c r="ABC143" s="7"/>
      <c r="ABD143" s="7"/>
      <c r="ABE143" s="7"/>
      <c r="ABF143" s="7"/>
      <c r="ABG143" s="7"/>
      <c r="ABH143" s="7"/>
      <c r="ABI143" s="7"/>
      <c r="ABJ143" s="7"/>
      <c r="ABK143" s="7"/>
      <c r="ABL143" s="7"/>
      <c r="ABM143" s="7"/>
      <c r="ABN143" s="7"/>
      <c r="ABO143" s="7"/>
      <c r="ABP143" s="7"/>
      <c r="ABQ143" s="7"/>
      <c r="ABR143" s="7"/>
      <c r="ABS143" s="7"/>
      <c r="ABT143" s="7"/>
      <c r="ABU143" s="7"/>
      <c r="ABV143" s="7"/>
      <c r="ABW143" s="7"/>
      <c r="ABX143" s="7"/>
      <c r="ABY143" s="7"/>
      <c r="ABZ143" s="7"/>
      <c r="ACA143" s="7"/>
      <c r="ACB143" s="7"/>
      <c r="ACC143" s="7"/>
      <c r="ACD143" s="7"/>
      <c r="ACE143" s="7"/>
      <c r="ACF143" s="7"/>
      <c r="ACG143" s="7"/>
      <c r="ACH143" s="7"/>
      <c r="ACI143" s="7"/>
      <c r="ACJ143" s="7"/>
      <c r="ACK143" s="7"/>
      <c r="ACL143" s="7"/>
      <c r="ACM143" s="7"/>
      <c r="ACN143" s="7"/>
      <c r="ACO143" s="7"/>
      <c r="ACP143" s="7"/>
      <c r="ACQ143" s="7"/>
      <c r="ACR143" s="7"/>
      <c r="ACS143" s="7"/>
      <c r="ACT143" s="7"/>
      <c r="ACU143" s="7"/>
      <c r="ACV143" s="7"/>
      <c r="ACW143" s="7"/>
      <c r="ACX143" s="7"/>
      <c r="ACY143" s="7"/>
      <c r="ACZ143" s="7"/>
      <c r="ADA143" s="7"/>
      <c r="ADB143" s="7"/>
      <c r="ADC143" s="7"/>
      <c r="ADD143" s="7"/>
      <c r="ADE143" s="7"/>
      <c r="ADF143" s="7"/>
      <c r="ADG143" s="7"/>
      <c r="ADH143" s="7"/>
      <c r="ADI143" s="7"/>
      <c r="ADJ143" s="7"/>
      <c r="ADK143" s="7"/>
      <c r="ADL143" s="7"/>
      <c r="ADM143" s="7"/>
      <c r="ADN143" s="7"/>
      <c r="ADO143" s="7"/>
      <c r="ADP143" s="7"/>
      <c r="ADQ143" s="7"/>
      <c r="ADR143" s="7"/>
      <c r="ADS143" s="7"/>
      <c r="ADT143" s="7"/>
      <c r="ADU143" s="7"/>
      <c r="ADV143" s="7"/>
      <c r="ADW143" s="7"/>
      <c r="ADX143" s="7"/>
      <c r="ADY143" s="7"/>
      <c r="ADZ143" s="7"/>
      <c r="AEA143" s="7"/>
      <c r="AEB143" s="7"/>
      <c r="AEC143" s="7"/>
      <c r="AED143" s="7"/>
      <c r="AEE143" s="7"/>
      <c r="AEF143" s="7"/>
      <c r="AEG143" s="7"/>
      <c r="AEH143" s="7"/>
      <c r="AEI143" s="7"/>
      <c r="AEJ143" s="7"/>
      <c r="AEK143" s="7"/>
      <c r="AEL143" s="7"/>
      <c r="AEM143" s="7"/>
      <c r="AEN143" s="7"/>
      <c r="AEO143" s="7"/>
      <c r="AEP143" s="7"/>
      <c r="AEQ143" s="7"/>
      <c r="AER143" s="7"/>
      <c r="AES143" s="7"/>
      <c r="AET143" s="7"/>
      <c r="AEU143" s="7"/>
      <c r="AEV143" s="7"/>
      <c r="AEW143" s="7"/>
      <c r="AEX143" s="7"/>
      <c r="AEY143" s="7"/>
      <c r="AEZ143" s="7"/>
      <c r="AFA143" s="7"/>
      <c r="AFB143" s="7"/>
      <c r="AFC143" s="7"/>
      <c r="AFD143" s="7"/>
      <c r="AFE143" s="7"/>
      <c r="AFF143" s="7"/>
      <c r="AFG143" s="7"/>
      <c r="AFH143" s="7"/>
      <c r="AFI143" s="7"/>
      <c r="AFJ143" s="7"/>
      <c r="AFK143" s="7"/>
      <c r="AFL143" s="7"/>
      <c r="AFM143" s="7"/>
      <c r="AFN143" s="7"/>
      <c r="AFO143" s="7"/>
      <c r="AFP143" s="7"/>
      <c r="AFQ143" s="7"/>
      <c r="AFR143" s="7"/>
      <c r="AFS143" s="7"/>
      <c r="AFT143" s="7"/>
      <c r="AFU143" s="7"/>
      <c r="AFV143" s="7"/>
      <c r="AFW143" s="7"/>
      <c r="AFX143" s="7"/>
      <c r="AFY143" s="7"/>
      <c r="AFZ143" s="7"/>
      <c r="AGA143" s="7"/>
      <c r="AGB143" s="7"/>
      <c r="AGC143" s="7"/>
      <c r="AGD143" s="7"/>
      <c r="AGE143" s="7"/>
      <c r="AGF143" s="7"/>
      <c r="AGG143" s="7"/>
      <c r="AGH143" s="7"/>
      <c r="AGI143" s="7"/>
      <c r="AGJ143" s="7"/>
      <c r="AGK143" s="7"/>
      <c r="AGL143" s="7"/>
      <c r="AGM143" s="7"/>
      <c r="AGN143" s="7"/>
      <c r="AGO143" s="7"/>
      <c r="AGP143" s="7"/>
      <c r="AGQ143" s="7"/>
      <c r="AGR143" s="7"/>
      <c r="AGS143" s="7"/>
      <c r="AGT143" s="7"/>
      <c r="AGU143" s="7"/>
      <c r="AGV143" s="7"/>
      <c r="AGW143" s="7"/>
      <c r="AGX143" s="7"/>
      <c r="AGY143" s="7"/>
      <c r="AGZ143" s="7"/>
      <c r="AHA143" s="7"/>
      <c r="AHB143" s="7"/>
      <c r="AHC143" s="7"/>
      <c r="AHD143" s="7"/>
      <c r="AHE143" s="7"/>
      <c r="AHF143" s="7"/>
      <c r="AHG143" s="7"/>
      <c r="AHH143" s="7"/>
      <c r="AHI143" s="7"/>
      <c r="AHJ143" s="7"/>
      <c r="AHK143" s="7"/>
      <c r="AHL143" s="7"/>
      <c r="AHM143" s="7"/>
      <c r="AHN143" s="7"/>
      <c r="AHO143" s="7"/>
      <c r="AHP143" s="7"/>
      <c r="AHQ143" s="7"/>
      <c r="AHR143" s="7"/>
      <c r="AHS143" s="7"/>
      <c r="AHT143" s="7"/>
      <c r="AHU143" s="7"/>
      <c r="AHV143" s="7"/>
      <c r="AHW143" s="7"/>
      <c r="AHX143" s="7"/>
      <c r="AHY143" s="7"/>
      <c r="AHZ143" s="7"/>
      <c r="AIA143" s="7"/>
      <c r="AIB143" s="7"/>
      <c r="AIC143" s="7"/>
      <c r="AID143" s="7"/>
      <c r="AIE143" s="7"/>
      <c r="AIF143" s="7"/>
      <c r="AIG143" s="7"/>
      <c r="AIH143" s="7"/>
      <c r="AII143" s="7"/>
      <c r="AIJ143" s="7"/>
      <c r="AIK143" s="7"/>
      <c r="AIL143" s="7"/>
      <c r="AIM143" s="7"/>
      <c r="AIN143" s="7"/>
      <c r="AIO143" s="7"/>
      <c r="AIP143" s="7"/>
      <c r="AIQ143" s="7"/>
      <c r="AIR143" s="7"/>
      <c r="AIS143" s="7"/>
      <c r="AIT143" s="7"/>
      <c r="AIU143" s="7"/>
      <c r="AIV143" s="7"/>
      <c r="AIW143" s="7"/>
      <c r="AIX143" s="7"/>
      <c r="AIY143" s="7"/>
      <c r="AIZ143" s="7"/>
      <c r="AJA143" s="7"/>
      <c r="AJB143" s="7"/>
      <c r="AJC143" s="7"/>
      <c r="AJD143" s="7"/>
      <c r="AJE143" s="7"/>
      <c r="AJF143" s="7"/>
      <c r="AJG143" s="7"/>
      <c r="AJH143" s="7"/>
      <c r="AJI143" s="7"/>
      <c r="AJJ143" s="7"/>
      <c r="AJK143" s="7"/>
      <c r="AJL143" s="7"/>
      <c r="AJM143" s="7"/>
      <c r="AJN143" s="7"/>
      <c r="AJO143" s="7"/>
      <c r="AJP143" s="7"/>
      <c r="AJQ143" s="7"/>
      <c r="AJR143" s="7"/>
      <c r="AJS143" s="7"/>
      <c r="AJT143" s="7"/>
      <c r="AJU143" s="7"/>
      <c r="AJV143" s="7"/>
      <c r="AJW143" s="7"/>
      <c r="AJX143" s="7"/>
      <c r="AJY143" s="7"/>
      <c r="AJZ143" s="7"/>
      <c r="AKA143" s="7"/>
      <c r="AKB143" s="7"/>
      <c r="AKC143" s="7"/>
      <c r="AKD143" s="7"/>
      <c r="AKE143" s="7"/>
      <c r="AKF143" s="7"/>
      <c r="AKG143" s="7"/>
      <c r="AKH143" s="7"/>
      <c r="AKI143" s="7"/>
      <c r="AKJ143" s="7"/>
      <c r="AKK143" s="7"/>
      <c r="AKL143" s="7"/>
      <c r="AKM143" s="7"/>
      <c r="AKN143" s="7"/>
      <c r="AKO143" s="7"/>
      <c r="AKP143" s="7"/>
      <c r="AKQ143" s="7"/>
      <c r="AKR143" s="7"/>
      <c r="AKS143" s="7"/>
      <c r="AKT143" s="7"/>
      <c r="AKU143" s="7"/>
      <c r="AKV143" s="7"/>
      <c r="AKW143" s="7"/>
      <c r="AKX143" s="7"/>
      <c r="AKY143" s="7"/>
      <c r="AKZ143" s="7"/>
      <c r="ALA143" s="7"/>
      <c r="ALB143" s="7"/>
      <c r="ALC143" s="7"/>
      <c r="ALD143" s="7"/>
      <c r="ALE143" s="7"/>
      <c r="ALF143" s="7"/>
      <c r="ALG143" s="7"/>
      <c r="ALH143" s="7"/>
      <c r="ALI143" s="7"/>
      <c r="ALJ143" s="7"/>
      <c r="ALK143" s="7"/>
      <c r="ALL143" s="7"/>
      <c r="ALM143" s="7"/>
      <c r="ALN143" s="7"/>
      <c r="ALO143" s="7"/>
      <c r="ALP143" s="7"/>
      <c r="ALQ143" s="7"/>
      <c r="ALR143" s="7"/>
      <c r="ALS143" s="7"/>
      <c r="ALT143" s="7"/>
      <c r="ALU143" s="7"/>
      <c r="ALV143" s="7"/>
      <c r="ALW143" s="7"/>
      <c r="ALX143" s="7"/>
      <c r="ALY143" s="7"/>
      <c r="ALZ143" s="7"/>
      <c r="AMA143" s="7"/>
      <c r="AMB143" s="7"/>
      <c r="AMC143" s="7"/>
      <c r="AMD143" s="7"/>
      <c r="AME143" s="7"/>
      <c r="AMF143" s="7"/>
      <c r="AMG143" s="7"/>
      <c r="AMH143" s="7"/>
      <c r="AMI143" s="7"/>
      <c r="AMJ143" s="7"/>
    </row>
    <row r="144" s="196" customFormat="true" ht="15.75" hidden="false" customHeight="true" outlineLevel="0" collapsed="false">
      <c r="A144" s="7"/>
      <c r="B144" s="41"/>
      <c r="C144" s="186" t="s">
        <v>133</v>
      </c>
      <c r="D144" s="133" t="n">
        <v>18</v>
      </c>
      <c r="E144" s="187" t="n">
        <v>2</v>
      </c>
      <c r="F144" s="97"/>
      <c r="G144" s="24"/>
      <c r="H144" s="41"/>
      <c r="I144" s="186" t="s">
        <v>133</v>
      </c>
      <c r="J144" s="133" t="n">
        <v>18</v>
      </c>
      <c r="K144" s="187" t="n">
        <v>2</v>
      </c>
      <c r="L144" s="9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  <c r="KS144" s="7"/>
      <c r="KT144" s="7"/>
      <c r="KU144" s="7"/>
      <c r="KV144" s="7"/>
      <c r="KW144" s="7"/>
      <c r="KX144" s="7"/>
      <c r="KY144" s="7"/>
      <c r="KZ144" s="7"/>
      <c r="LA144" s="7"/>
      <c r="LB144" s="7"/>
      <c r="LC144" s="7"/>
      <c r="LD144" s="7"/>
      <c r="LE144" s="7"/>
      <c r="LF144" s="7"/>
      <c r="LG144" s="7"/>
      <c r="LH144" s="7"/>
      <c r="LI144" s="7"/>
      <c r="LJ144" s="7"/>
      <c r="LK144" s="7"/>
      <c r="LL144" s="7"/>
      <c r="LM144" s="7"/>
      <c r="LN144" s="7"/>
      <c r="LO144" s="7"/>
      <c r="LP144" s="7"/>
      <c r="LQ144" s="7"/>
      <c r="LR144" s="7"/>
      <c r="LS144" s="7"/>
      <c r="LT144" s="7"/>
      <c r="LU144" s="7"/>
      <c r="LV144" s="7"/>
      <c r="LW144" s="7"/>
      <c r="LX144" s="7"/>
      <c r="LY144" s="7"/>
      <c r="LZ144" s="7"/>
      <c r="MA144" s="7"/>
      <c r="MB144" s="7"/>
      <c r="MC144" s="7"/>
      <c r="MD144" s="7"/>
      <c r="ME144" s="7"/>
      <c r="MF144" s="7"/>
      <c r="MG144" s="7"/>
      <c r="MH144" s="7"/>
      <c r="MI144" s="7"/>
      <c r="MJ144" s="7"/>
      <c r="MK144" s="7"/>
      <c r="ML144" s="7"/>
      <c r="MM144" s="7"/>
      <c r="MN144" s="7"/>
      <c r="MO144" s="7"/>
      <c r="MP144" s="7"/>
      <c r="MQ144" s="7"/>
      <c r="MR144" s="7"/>
      <c r="MS144" s="7"/>
      <c r="MT144" s="7"/>
      <c r="MU144" s="7"/>
      <c r="MV144" s="7"/>
      <c r="MW144" s="7"/>
      <c r="MX144" s="7"/>
      <c r="MY144" s="7"/>
      <c r="MZ144" s="7"/>
      <c r="NA144" s="7"/>
      <c r="NB144" s="7"/>
      <c r="NC144" s="7"/>
      <c r="ND144" s="7"/>
      <c r="NE144" s="7"/>
      <c r="NF144" s="7"/>
      <c r="NG144" s="7"/>
      <c r="NH144" s="7"/>
      <c r="NI144" s="7"/>
      <c r="NJ144" s="7"/>
      <c r="NK144" s="7"/>
      <c r="NL144" s="7"/>
      <c r="NM144" s="7"/>
      <c r="NN144" s="7"/>
      <c r="NO144" s="7"/>
      <c r="NP144" s="7"/>
      <c r="NQ144" s="7"/>
      <c r="NR144" s="7"/>
      <c r="NS144" s="7"/>
      <c r="NT144" s="7"/>
      <c r="NU144" s="7"/>
      <c r="NV144" s="7"/>
      <c r="NW144" s="7"/>
      <c r="NX144" s="7"/>
      <c r="NY144" s="7"/>
      <c r="NZ144" s="7"/>
      <c r="OA144" s="7"/>
      <c r="OB144" s="7"/>
      <c r="OC144" s="7"/>
      <c r="OD144" s="7"/>
      <c r="OE144" s="7"/>
      <c r="OF144" s="7"/>
      <c r="OG144" s="7"/>
      <c r="OH144" s="7"/>
      <c r="OI144" s="7"/>
      <c r="OJ144" s="7"/>
      <c r="OK144" s="7"/>
      <c r="OL144" s="7"/>
      <c r="OM144" s="7"/>
      <c r="ON144" s="7"/>
      <c r="OO144" s="7"/>
      <c r="OP144" s="7"/>
      <c r="OQ144" s="7"/>
      <c r="OR144" s="7"/>
      <c r="OS144" s="7"/>
      <c r="OT144" s="7"/>
      <c r="OU144" s="7"/>
      <c r="OV144" s="7"/>
      <c r="OW144" s="7"/>
      <c r="OX144" s="7"/>
      <c r="OY144" s="7"/>
      <c r="OZ144" s="7"/>
      <c r="PA144" s="7"/>
      <c r="PB144" s="7"/>
      <c r="PC144" s="7"/>
      <c r="PD144" s="7"/>
      <c r="PE144" s="7"/>
      <c r="PF144" s="7"/>
      <c r="PG144" s="7"/>
      <c r="PH144" s="7"/>
      <c r="PI144" s="7"/>
      <c r="PJ144" s="7"/>
      <c r="PK144" s="7"/>
      <c r="PL144" s="7"/>
      <c r="PM144" s="7"/>
      <c r="PN144" s="7"/>
      <c r="PO144" s="7"/>
      <c r="PP144" s="7"/>
      <c r="PQ144" s="7"/>
      <c r="PR144" s="7"/>
      <c r="PS144" s="7"/>
      <c r="PT144" s="7"/>
      <c r="PU144" s="7"/>
      <c r="PV144" s="7"/>
      <c r="PW144" s="7"/>
      <c r="PX144" s="7"/>
      <c r="PY144" s="7"/>
      <c r="PZ144" s="7"/>
      <c r="QA144" s="7"/>
      <c r="QB144" s="7"/>
      <c r="QC144" s="7"/>
      <c r="QD144" s="7"/>
      <c r="QE144" s="7"/>
      <c r="QF144" s="7"/>
      <c r="QG144" s="7"/>
      <c r="QH144" s="7"/>
      <c r="QI144" s="7"/>
      <c r="QJ144" s="7"/>
      <c r="QK144" s="7"/>
      <c r="QL144" s="7"/>
      <c r="QM144" s="7"/>
      <c r="QN144" s="7"/>
      <c r="QO144" s="7"/>
      <c r="QP144" s="7"/>
      <c r="QQ144" s="7"/>
      <c r="QR144" s="7"/>
      <c r="QS144" s="7"/>
      <c r="QT144" s="7"/>
      <c r="QU144" s="7"/>
      <c r="QV144" s="7"/>
      <c r="QW144" s="7"/>
      <c r="QX144" s="7"/>
      <c r="QY144" s="7"/>
      <c r="QZ144" s="7"/>
      <c r="RA144" s="7"/>
      <c r="RB144" s="7"/>
      <c r="RC144" s="7"/>
      <c r="RD144" s="7"/>
      <c r="RE144" s="7"/>
      <c r="RF144" s="7"/>
      <c r="RG144" s="7"/>
      <c r="RH144" s="7"/>
      <c r="RI144" s="7"/>
      <c r="RJ144" s="7"/>
      <c r="RK144" s="7"/>
      <c r="RL144" s="7"/>
      <c r="RM144" s="7"/>
      <c r="RN144" s="7"/>
      <c r="RO144" s="7"/>
      <c r="RP144" s="7"/>
      <c r="RQ144" s="7"/>
      <c r="RR144" s="7"/>
      <c r="RS144" s="7"/>
      <c r="RT144" s="7"/>
      <c r="RU144" s="7"/>
      <c r="RV144" s="7"/>
      <c r="RW144" s="7"/>
      <c r="RX144" s="7"/>
      <c r="RY144" s="7"/>
      <c r="RZ144" s="7"/>
      <c r="SA144" s="7"/>
      <c r="SB144" s="7"/>
      <c r="SC144" s="7"/>
      <c r="SD144" s="7"/>
      <c r="SE144" s="7"/>
      <c r="SF144" s="7"/>
      <c r="SG144" s="7"/>
      <c r="SH144" s="7"/>
      <c r="SI144" s="7"/>
      <c r="SJ144" s="7"/>
      <c r="SK144" s="7"/>
      <c r="SL144" s="7"/>
      <c r="SM144" s="7"/>
      <c r="SN144" s="7"/>
      <c r="SO144" s="7"/>
      <c r="SP144" s="7"/>
      <c r="SQ144" s="7"/>
      <c r="SR144" s="7"/>
      <c r="SS144" s="7"/>
      <c r="ST144" s="7"/>
      <c r="SU144" s="7"/>
      <c r="SV144" s="7"/>
      <c r="SW144" s="7"/>
      <c r="SX144" s="7"/>
      <c r="SY144" s="7"/>
      <c r="SZ144" s="7"/>
      <c r="TA144" s="7"/>
      <c r="TB144" s="7"/>
      <c r="TC144" s="7"/>
      <c r="TD144" s="7"/>
      <c r="TE144" s="7"/>
      <c r="TF144" s="7"/>
      <c r="TG144" s="7"/>
      <c r="TH144" s="7"/>
      <c r="TI144" s="7"/>
      <c r="TJ144" s="7"/>
      <c r="TK144" s="7"/>
      <c r="TL144" s="7"/>
      <c r="TM144" s="7"/>
      <c r="TN144" s="7"/>
      <c r="TO144" s="7"/>
      <c r="TP144" s="7"/>
      <c r="TQ144" s="7"/>
      <c r="TR144" s="7"/>
      <c r="TS144" s="7"/>
      <c r="TT144" s="7"/>
      <c r="TU144" s="7"/>
      <c r="TV144" s="7"/>
      <c r="TW144" s="7"/>
      <c r="TX144" s="7"/>
      <c r="TY144" s="7"/>
      <c r="TZ144" s="7"/>
      <c r="UA144" s="7"/>
      <c r="UB144" s="7"/>
      <c r="UC144" s="7"/>
      <c r="UD144" s="7"/>
      <c r="UE144" s="7"/>
      <c r="UF144" s="7"/>
      <c r="UG144" s="7"/>
      <c r="UH144" s="7"/>
      <c r="UI144" s="7"/>
      <c r="UJ144" s="7"/>
      <c r="UK144" s="7"/>
      <c r="UL144" s="7"/>
      <c r="UM144" s="7"/>
      <c r="UN144" s="7"/>
      <c r="UO144" s="7"/>
      <c r="UP144" s="7"/>
      <c r="UQ144" s="7"/>
      <c r="UR144" s="7"/>
      <c r="US144" s="7"/>
      <c r="UT144" s="7"/>
      <c r="UU144" s="7"/>
      <c r="UV144" s="7"/>
      <c r="UW144" s="7"/>
      <c r="UX144" s="7"/>
      <c r="UY144" s="7"/>
      <c r="UZ144" s="7"/>
      <c r="VA144" s="7"/>
      <c r="VB144" s="7"/>
      <c r="VC144" s="7"/>
      <c r="VD144" s="7"/>
      <c r="VE144" s="7"/>
      <c r="VF144" s="7"/>
      <c r="VG144" s="7"/>
      <c r="VH144" s="7"/>
      <c r="VI144" s="7"/>
      <c r="VJ144" s="7"/>
      <c r="VK144" s="7"/>
      <c r="VL144" s="7"/>
      <c r="VM144" s="7"/>
      <c r="VN144" s="7"/>
      <c r="VO144" s="7"/>
      <c r="VP144" s="7"/>
      <c r="VQ144" s="7"/>
      <c r="VR144" s="7"/>
      <c r="VS144" s="7"/>
      <c r="VT144" s="7"/>
      <c r="VU144" s="7"/>
      <c r="VV144" s="7"/>
      <c r="VW144" s="7"/>
      <c r="VX144" s="7"/>
      <c r="VY144" s="7"/>
      <c r="VZ144" s="7"/>
      <c r="WA144" s="7"/>
      <c r="WB144" s="7"/>
      <c r="WC144" s="7"/>
      <c r="WD144" s="7"/>
      <c r="WE144" s="7"/>
      <c r="WF144" s="7"/>
      <c r="WG144" s="7"/>
      <c r="WH144" s="7"/>
      <c r="WI144" s="7"/>
      <c r="WJ144" s="7"/>
      <c r="WK144" s="7"/>
      <c r="WL144" s="7"/>
      <c r="WM144" s="7"/>
      <c r="WN144" s="7"/>
      <c r="WO144" s="7"/>
      <c r="WP144" s="7"/>
      <c r="WQ144" s="7"/>
      <c r="WR144" s="7"/>
      <c r="WS144" s="7"/>
      <c r="WT144" s="7"/>
      <c r="WU144" s="7"/>
      <c r="WV144" s="7"/>
      <c r="WW144" s="7"/>
      <c r="WX144" s="7"/>
      <c r="WY144" s="7"/>
      <c r="WZ144" s="7"/>
      <c r="XA144" s="7"/>
      <c r="XB144" s="7"/>
      <c r="XC144" s="7"/>
      <c r="XD144" s="7"/>
      <c r="XE144" s="7"/>
      <c r="XF144" s="7"/>
      <c r="XG144" s="7"/>
      <c r="XH144" s="7"/>
      <c r="XI144" s="7"/>
      <c r="XJ144" s="7"/>
      <c r="XK144" s="7"/>
      <c r="XL144" s="7"/>
      <c r="XM144" s="7"/>
      <c r="XN144" s="7"/>
      <c r="XO144" s="7"/>
      <c r="XP144" s="7"/>
      <c r="XQ144" s="7"/>
      <c r="XR144" s="7"/>
      <c r="XS144" s="7"/>
      <c r="XT144" s="7"/>
      <c r="XU144" s="7"/>
      <c r="XV144" s="7"/>
      <c r="XW144" s="7"/>
      <c r="XX144" s="7"/>
      <c r="XY144" s="7"/>
      <c r="XZ144" s="7"/>
      <c r="YA144" s="7"/>
      <c r="YB144" s="7"/>
      <c r="YC144" s="7"/>
      <c r="YD144" s="7"/>
      <c r="YE144" s="7"/>
      <c r="YF144" s="7"/>
      <c r="YG144" s="7"/>
      <c r="YH144" s="7"/>
      <c r="YI144" s="7"/>
      <c r="YJ144" s="7"/>
      <c r="YK144" s="7"/>
      <c r="YL144" s="7"/>
      <c r="YM144" s="7"/>
      <c r="YN144" s="7"/>
      <c r="YO144" s="7"/>
      <c r="YP144" s="7"/>
      <c r="YQ144" s="7"/>
      <c r="YR144" s="7"/>
      <c r="YS144" s="7"/>
      <c r="YT144" s="7"/>
      <c r="YU144" s="7"/>
      <c r="YV144" s="7"/>
      <c r="YW144" s="7"/>
      <c r="YX144" s="7"/>
      <c r="YY144" s="7"/>
      <c r="YZ144" s="7"/>
      <c r="ZA144" s="7"/>
      <c r="ZB144" s="7"/>
      <c r="ZC144" s="7"/>
      <c r="ZD144" s="7"/>
      <c r="ZE144" s="7"/>
      <c r="ZF144" s="7"/>
      <c r="ZG144" s="7"/>
      <c r="ZH144" s="7"/>
      <c r="ZI144" s="7"/>
      <c r="ZJ144" s="7"/>
      <c r="ZK144" s="7"/>
      <c r="ZL144" s="7"/>
      <c r="ZM144" s="7"/>
      <c r="ZN144" s="7"/>
      <c r="ZO144" s="7"/>
      <c r="ZP144" s="7"/>
      <c r="ZQ144" s="7"/>
      <c r="ZR144" s="7"/>
      <c r="ZS144" s="7"/>
      <c r="ZT144" s="7"/>
      <c r="ZU144" s="7"/>
      <c r="ZV144" s="7"/>
      <c r="ZW144" s="7"/>
      <c r="ZX144" s="7"/>
      <c r="ZY144" s="7"/>
      <c r="ZZ144" s="7"/>
      <c r="AAA144" s="7"/>
      <c r="AAB144" s="7"/>
      <c r="AAC144" s="7"/>
      <c r="AAD144" s="7"/>
      <c r="AAE144" s="7"/>
      <c r="AAF144" s="7"/>
      <c r="AAG144" s="7"/>
      <c r="AAH144" s="7"/>
      <c r="AAI144" s="7"/>
      <c r="AAJ144" s="7"/>
      <c r="AAK144" s="7"/>
      <c r="AAL144" s="7"/>
      <c r="AAM144" s="7"/>
      <c r="AAN144" s="7"/>
      <c r="AAO144" s="7"/>
      <c r="AAP144" s="7"/>
      <c r="AAQ144" s="7"/>
      <c r="AAR144" s="7"/>
      <c r="AAS144" s="7"/>
      <c r="AAT144" s="7"/>
      <c r="AAU144" s="7"/>
      <c r="AAV144" s="7"/>
      <c r="AAW144" s="7"/>
      <c r="AAX144" s="7"/>
      <c r="AAY144" s="7"/>
      <c r="AAZ144" s="7"/>
      <c r="ABA144" s="7"/>
      <c r="ABB144" s="7"/>
      <c r="ABC144" s="7"/>
      <c r="ABD144" s="7"/>
      <c r="ABE144" s="7"/>
      <c r="ABF144" s="7"/>
      <c r="ABG144" s="7"/>
      <c r="ABH144" s="7"/>
      <c r="ABI144" s="7"/>
      <c r="ABJ144" s="7"/>
      <c r="ABK144" s="7"/>
      <c r="ABL144" s="7"/>
      <c r="ABM144" s="7"/>
      <c r="ABN144" s="7"/>
      <c r="ABO144" s="7"/>
      <c r="ABP144" s="7"/>
      <c r="ABQ144" s="7"/>
      <c r="ABR144" s="7"/>
      <c r="ABS144" s="7"/>
      <c r="ABT144" s="7"/>
      <c r="ABU144" s="7"/>
      <c r="ABV144" s="7"/>
      <c r="ABW144" s="7"/>
      <c r="ABX144" s="7"/>
      <c r="ABY144" s="7"/>
      <c r="ABZ144" s="7"/>
      <c r="ACA144" s="7"/>
      <c r="ACB144" s="7"/>
      <c r="ACC144" s="7"/>
      <c r="ACD144" s="7"/>
      <c r="ACE144" s="7"/>
      <c r="ACF144" s="7"/>
      <c r="ACG144" s="7"/>
      <c r="ACH144" s="7"/>
      <c r="ACI144" s="7"/>
      <c r="ACJ144" s="7"/>
      <c r="ACK144" s="7"/>
      <c r="ACL144" s="7"/>
      <c r="ACM144" s="7"/>
      <c r="ACN144" s="7"/>
      <c r="ACO144" s="7"/>
      <c r="ACP144" s="7"/>
      <c r="ACQ144" s="7"/>
      <c r="ACR144" s="7"/>
      <c r="ACS144" s="7"/>
      <c r="ACT144" s="7"/>
      <c r="ACU144" s="7"/>
      <c r="ACV144" s="7"/>
      <c r="ACW144" s="7"/>
      <c r="ACX144" s="7"/>
      <c r="ACY144" s="7"/>
      <c r="ACZ144" s="7"/>
      <c r="ADA144" s="7"/>
      <c r="ADB144" s="7"/>
      <c r="ADC144" s="7"/>
      <c r="ADD144" s="7"/>
      <c r="ADE144" s="7"/>
      <c r="ADF144" s="7"/>
      <c r="ADG144" s="7"/>
      <c r="ADH144" s="7"/>
      <c r="ADI144" s="7"/>
      <c r="ADJ144" s="7"/>
      <c r="ADK144" s="7"/>
      <c r="ADL144" s="7"/>
      <c r="ADM144" s="7"/>
      <c r="ADN144" s="7"/>
      <c r="ADO144" s="7"/>
      <c r="ADP144" s="7"/>
      <c r="ADQ144" s="7"/>
      <c r="ADR144" s="7"/>
      <c r="ADS144" s="7"/>
      <c r="ADT144" s="7"/>
      <c r="ADU144" s="7"/>
      <c r="ADV144" s="7"/>
      <c r="ADW144" s="7"/>
      <c r="ADX144" s="7"/>
      <c r="ADY144" s="7"/>
      <c r="ADZ144" s="7"/>
      <c r="AEA144" s="7"/>
      <c r="AEB144" s="7"/>
      <c r="AEC144" s="7"/>
      <c r="AED144" s="7"/>
      <c r="AEE144" s="7"/>
      <c r="AEF144" s="7"/>
      <c r="AEG144" s="7"/>
      <c r="AEH144" s="7"/>
      <c r="AEI144" s="7"/>
      <c r="AEJ144" s="7"/>
      <c r="AEK144" s="7"/>
      <c r="AEL144" s="7"/>
      <c r="AEM144" s="7"/>
      <c r="AEN144" s="7"/>
      <c r="AEO144" s="7"/>
      <c r="AEP144" s="7"/>
      <c r="AEQ144" s="7"/>
      <c r="AER144" s="7"/>
      <c r="AES144" s="7"/>
      <c r="AET144" s="7"/>
      <c r="AEU144" s="7"/>
      <c r="AEV144" s="7"/>
      <c r="AEW144" s="7"/>
      <c r="AEX144" s="7"/>
      <c r="AEY144" s="7"/>
      <c r="AEZ144" s="7"/>
      <c r="AFA144" s="7"/>
      <c r="AFB144" s="7"/>
      <c r="AFC144" s="7"/>
      <c r="AFD144" s="7"/>
      <c r="AFE144" s="7"/>
      <c r="AFF144" s="7"/>
      <c r="AFG144" s="7"/>
      <c r="AFH144" s="7"/>
      <c r="AFI144" s="7"/>
      <c r="AFJ144" s="7"/>
      <c r="AFK144" s="7"/>
      <c r="AFL144" s="7"/>
      <c r="AFM144" s="7"/>
      <c r="AFN144" s="7"/>
      <c r="AFO144" s="7"/>
      <c r="AFP144" s="7"/>
      <c r="AFQ144" s="7"/>
      <c r="AFR144" s="7"/>
      <c r="AFS144" s="7"/>
      <c r="AFT144" s="7"/>
      <c r="AFU144" s="7"/>
      <c r="AFV144" s="7"/>
      <c r="AFW144" s="7"/>
      <c r="AFX144" s="7"/>
      <c r="AFY144" s="7"/>
      <c r="AFZ144" s="7"/>
      <c r="AGA144" s="7"/>
      <c r="AGB144" s="7"/>
      <c r="AGC144" s="7"/>
      <c r="AGD144" s="7"/>
      <c r="AGE144" s="7"/>
      <c r="AGF144" s="7"/>
      <c r="AGG144" s="7"/>
      <c r="AGH144" s="7"/>
      <c r="AGI144" s="7"/>
      <c r="AGJ144" s="7"/>
      <c r="AGK144" s="7"/>
      <c r="AGL144" s="7"/>
      <c r="AGM144" s="7"/>
      <c r="AGN144" s="7"/>
      <c r="AGO144" s="7"/>
      <c r="AGP144" s="7"/>
      <c r="AGQ144" s="7"/>
      <c r="AGR144" s="7"/>
      <c r="AGS144" s="7"/>
      <c r="AGT144" s="7"/>
      <c r="AGU144" s="7"/>
      <c r="AGV144" s="7"/>
      <c r="AGW144" s="7"/>
      <c r="AGX144" s="7"/>
      <c r="AGY144" s="7"/>
      <c r="AGZ144" s="7"/>
      <c r="AHA144" s="7"/>
      <c r="AHB144" s="7"/>
      <c r="AHC144" s="7"/>
      <c r="AHD144" s="7"/>
      <c r="AHE144" s="7"/>
      <c r="AHF144" s="7"/>
      <c r="AHG144" s="7"/>
      <c r="AHH144" s="7"/>
      <c r="AHI144" s="7"/>
      <c r="AHJ144" s="7"/>
      <c r="AHK144" s="7"/>
      <c r="AHL144" s="7"/>
      <c r="AHM144" s="7"/>
      <c r="AHN144" s="7"/>
      <c r="AHO144" s="7"/>
      <c r="AHP144" s="7"/>
      <c r="AHQ144" s="7"/>
      <c r="AHR144" s="7"/>
      <c r="AHS144" s="7"/>
      <c r="AHT144" s="7"/>
      <c r="AHU144" s="7"/>
      <c r="AHV144" s="7"/>
      <c r="AHW144" s="7"/>
      <c r="AHX144" s="7"/>
      <c r="AHY144" s="7"/>
      <c r="AHZ144" s="7"/>
      <c r="AIA144" s="7"/>
      <c r="AIB144" s="7"/>
      <c r="AIC144" s="7"/>
      <c r="AID144" s="7"/>
      <c r="AIE144" s="7"/>
      <c r="AIF144" s="7"/>
      <c r="AIG144" s="7"/>
      <c r="AIH144" s="7"/>
      <c r="AII144" s="7"/>
      <c r="AIJ144" s="7"/>
      <c r="AIK144" s="7"/>
      <c r="AIL144" s="7"/>
      <c r="AIM144" s="7"/>
      <c r="AIN144" s="7"/>
      <c r="AIO144" s="7"/>
      <c r="AIP144" s="7"/>
      <c r="AIQ144" s="7"/>
      <c r="AIR144" s="7"/>
      <c r="AIS144" s="7"/>
      <c r="AIT144" s="7"/>
      <c r="AIU144" s="7"/>
      <c r="AIV144" s="7"/>
      <c r="AIW144" s="7"/>
      <c r="AIX144" s="7"/>
      <c r="AIY144" s="7"/>
      <c r="AIZ144" s="7"/>
      <c r="AJA144" s="7"/>
      <c r="AJB144" s="7"/>
      <c r="AJC144" s="7"/>
      <c r="AJD144" s="7"/>
      <c r="AJE144" s="7"/>
      <c r="AJF144" s="7"/>
      <c r="AJG144" s="7"/>
      <c r="AJH144" s="7"/>
      <c r="AJI144" s="7"/>
      <c r="AJJ144" s="7"/>
      <c r="AJK144" s="7"/>
      <c r="AJL144" s="7"/>
      <c r="AJM144" s="7"/>
      <c r="AJN144" s="7"/>
      <c r="AJO144" s="7"/>
      <c r="AJP144" s="7"/>
      <c r="AJQ144" s="7"/>
      <c r="AJR144" s="7"/>
      <c r="AJS144" s="7"/>
      <c r="AJT144" s="7"/>
      <c r="AJU144" s="7"/>
      <c r="AJV144" s="7"/>
      <c r="AJW144" s="7"/>
      <c r="AJX144" s="7"/>
      <c r="AJY144" s="7"/>
      <c r="AJZ144" s="7"/>
      <c r="AKA144" s="7"/>
      <c r="AKB144" s="7"/>
      <c r="AKC144" s="7"/>
      <c r="AKD144" s="7"/>
      <c r="AKE144" s="7"/>
      <c r="AKF144" s="7"/>
      <c r="AKG144" s="7"/>
      <c r="AKH144" s="7"/>
      <c r="AKI144" s="7"/>
      <c r="AKJ144" s="7"/>
      <c r="AKK144" s="7"/>
      <c r="AKL144" s="7"/>
      <c r="AKM144" s="7"/>
      <c r="AKN144" s="7"/>
      <c r="AKO144" s="7"/>
      <c r="AKP144" s="7"/>
      <c r="AKQ144" s="7"/>
      <c r="AKR144" s="7"/>
      <c r="AKS144" s="7"/>
      <c r="AKT144" s="7"/>
      <c r="AKU144" s="7"/>
      <c r="AKV144" s="7"/>
      <c r="AKW144" s="7"/>
      <c r="AKX144" s="7"/>
      <c r="AKY144" s="7"/>
      <c r="AKZ144" s="7"/>
      <c r="ALA144" s="7"/>
      <c r="ALB144" s="7"/>
      <c r="ALC144" s="7"/>
      <c r="ALD144" s="7"/>
      <c r="ALE144" s="7"/>
      <c r="ALF144" s="7"/>
      <c r="ALG144" s="7"/>
      <c r="ALH144" s="7"/>
      <c r="ALI144" s="7"/>
      <c r="ALJ144" s="7"/>
      <c r="ALK144" s="7"/>
      <c r="ALL144" s="7"/>
      <c r="ALM144" s="7"/>
      <c r="ALN144" s="7"/>
      <c r="ALO144" s="7"/>
      <c r="ALP144" s="7"/>
      <c r="ALQ144" s="7"/>
      <c r="ALR144" s="7"/>
      <c r="ALS144" s="7"/>
      <c r="ALT144" s="7"/>
      <c r="ALU144" s="7"/>
      <c r="ALV144" s="7"/>
      <c r="ALW144" s="7"/>
      <c r="ALX144" s="7"/>
      <c r="ALY144" s="7"/>
      <c r="ALZ144" s="7"/>
      <c r="AMA144" s="7"/>
      <c r="AMB144" s="7"/>
      <c r="AMC144" s="7"/>
      <c r="AMD144" s="7"/>
      <c r="AME144" s="7"/>
      <c r="AMF144" s="7"/>
      <c r="AMG144" s="7"/>
      <c r="AMH144" s="7"/>
      <c r="AMI144" s="7"/>
      <c r="AMJ144" s="7"/>
    </row>
    <row r="145" s="196" customFormat="true" ht="15.75" hidden="false" customHeight="true" outlineLevel="0" collapsed="false">
      <c r="B145" s="41"/>
      <c r="C145" s="168" t="s">
        <v>104</v>
      </c>
      <c r="D145" s="47" t="n">
        <f aca="false">105+24</f>
        <v>129</v>
      </c>
      <c r="E145" s="197" t="n">
        <v>8</v>
      </c>
      <c r="F145" s="97"/>
      <c r="G145" s="24"/>
      <c r="H145" s="41"/>
      <c r="I145" s="168" t="s">
        <v>104</v>
      </c>
      <c r="J145" s="47" t="n">
        <f aca="false">105+24</f>
        <v>129</v>
      </c>
      <c r="K145" s="197" t="n">
        <v>8</v>
      </c>
      <c r="L145" s="97"/>
    </row>
    <row r="146" s="196" customFormat="true" ht="15.75" hidden="false" customHeight="true" outlineLevel="0" collapsed="false">
      <c r="A146" s="198"/>
      <c r="B146" s="18" t="s">
        <v>134</v>
      </c>
      <c r="C146" s="61" t="s">
        <v>36</v>
      </c>
      <c r="D146" s="61"/>
      <c r="E146" s="61"/>
      <c r="F146" s="20" t="n">
        <v>1</v>
      </c>
      <c r="G146" s="125"/>
      <c r="H146" s="18" t="s">
        <v>185</v>
      </c>
      <c r="I146" s="61" t="s">
        <v>36</v>
      </c>
      <c r="J146" s="61"/>
      <c r="K146" s="61"/>
      <c r="L146" s="20" t="n">
        <v>1</v>
      </c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  <c r="AS146" s="198"/>
      <c r="AT146" s="198"/>
      <c r="AU146" s="198"/>
      <c r="AV146" s="198"/>
      <c r="AW146" s="198"/>
      <c r="AX146" s="198"/>
      <c r="AY146" s="198"/>
      <c r="AZ146" s="198"/>
      <c r="BA146" s="198"/>
      <c r="BB146" s="198"/>
      <c r="BC146" s="198"/>
      <c r="BD146" s="198"/>
      <c r="BE146" s="198"/>
      <c r="BF146" s="198"/>
      <c r="BG146" s="198"/>
      <c r="BH146" s="198"/>
      <c r="BI146" s="198"/>
      <c r="BJ146" s="198"/>
      <c r="BK146" s="198"/>
      <c r="BL146" s="198"/>
      <c r="BM146" s="198"/>
      <c r="BN146" s="198"/>
      <c r="BO146" s="198"/>
      <c r="BP146" s="198"/>
      <c r="BQ146" s="198"/>
      <c r="BR146" s="198"/>
      <c r="BS146" s="198"/>
      <c r="BT146" s="198"/>
      <c r="BU146" s="198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198"/>
      <c r="CF146" s="198"/>
      <c r="CG146" s="198"/>
      <c r="CH146" s="198"/>
      <c r="CI146" s="198"/>
      <c r="CJ146" s="198"/>
      <c r="CK146" s="198"/>
      <c r="CL146" s="198"/>
      <c r="CM146" s="198"/>
      <c r="CN146" s="198"/>
      <c r="CO146" s="198"/>
      <c r="CP146" s="198"/>
      <c r="CQ146" s="198"/>
      <c r="CR146" s="198"/>
      <c r="CS146" s="198"/>
      <c r="CT146" s="198"/>
      <c r="CU146" s="198"/>
      <c r="CV146" s="198"/>
      <c r="CW146" s="198"/>
      <c r="CX146" s="198"/>
      <c r="CY146" s="198"/>
      <c r="CZ146" s="198"/>
      <c r="DA146" s="198"/>
      <c r="DB146" s="198"/>
      <c r="DC146" s="198"/>
      <c r="DD146" s="198"/>
      <c r="DE146" s="198"/>
      <c r="DF146" s="198"/>
      <c r="DG146" s="198"/>
      <c r="DH146" s="198"/>
      <c r="DI146" s="198"/>
      <c r="DJ146" s="198"/>
      <c r="DK146" s="198"/>
      <c r="DL146" s="198"/>
      <c r="DM146" s="198"/>
      <c r="DN146" s="198"/>
      <c r="DO146" s="198"/>
      <c r="DP146" s="198"/>
      <c r="DQ146" s="198"/>
      <c r="DR146" s="198"/>
      <c r="DS146" s="198"/>
      <c r="DT146" s="198"/>
      <c r="DU146" s="198"/>
      <c r="DV146" s="198"/>
      <c r="DW146" s="198"/>
      <c r="DX146" s="198"/>
      <c r="DY146" s="198"/>
      <c r="DZ146" s="198"/>
      <c r="EA146" s="198"/>
      <c r="EB146" s="198"/>
      <c r="EC146" s="198"/>
      <c r="ED146" s="198"/>
      <c r="EE146" s="198"/>
      <c r="EF146" s="198"/>
      <c r="EG146" s="198"/>
      <c r="EH146" s="198"/>
      <c r="EI146" s="198"/>
      <c r="EJ146" s="198"/>
      <c r="EK146" s="198"/>
      <c r="EL146" s="198"/>
      <c r="EM146" s="198"/>
      <c r="EN146" s="198"/>
      <c r="EO146" s="198"/>
      <c r="EP146" s="198"/>
      <c r="EQ146" s="198"/>
      <c r="ER146" s="198"/>
      <c r="ES146" s="198"/>
      <c r="ET146" s="198"/>
      <c r="EU146" s="198"/>
      <c r="EV146" s="198"/>
      <c r="EW146" s="198"/>
      <c r="EX146" s="198"/>
      <c r="EY146" s="198"/>
      <c r="EZ146" s="198"/>
      <c r="FA146" s="198"/>
      <c r="FB146" s="198"/>
      <c r="FC146" s="198"/>
      <c r="FD146" s="198"/>
      <c r="FE146" s="198"/>
      <c r="FF146" s="198"/>
      <c r="FG146" s="198"/>
      <c r="FH146" s="198"/>
      <c r="FI146" s="198"/>
      <c r="FJ146" s="198"/>
      <c r="FK146" s="198"/>
      <c r="FL146" s="198"/>
      <c r="FM146" s="198"/>
      <c r="FN146" s="198"/>
      <c r="FO146" s="198"/>
      <c r="FP146" s="198"/>
      <c r="FQ146" s="198"/>
      <c r="FR146" s="198"/>
      <c r="FS146" s="198"/>
      <c r="FT146" s="198"/>
      <c r="FU146" s="198"/>
      <c r="FV146" s="198"/>
      <c r="FW146" s="198"/>
      <c r="FX146" s="198"/>
      <c r="FY146" s="198"/>
      <c r="FZ146" s="198"/>
      <c r="GA146" s="198"/>
      <c r="GB146" s="198"/>
      <c r="GC146" s="198"/>
      <c r="GD146" s="198"/>
      <c r="GE146" s="198"/>
      <c r="GF146" s="198"/>
      <c r="GG146" s="198"/>
      <c r="GH146" s="198"/>
      <c r="GI146" s="198"/>
      <c r="GJ146" s="198"/>
      <c r="GK146" s="198"/>
      <c r="GL146" s="198"/>
      <c r="GM146" s="198"/>
      <c r="GN146" s="198"/>
      <c r="GO146" s="198"/>
      <c r="GP146" s="198"/>
      <c r="GQ146" s="198"/>
      <c r="GR146" s="198"/>
      <c r="GS146" s="198"/>
      <c r="GT146" s="198"/>
      <c r="GU146" s="198"/>
      <c r="GV146" s="198"/>
      <c r="GW146" s="198"/>
      <c r="GX146" s="198"/>
      <c r="GY146" s="198"/>
      <c r="GZ146" s="198"/>
      <c r="HA146" s="198"/>
      <c r="HB146" s="198"/>
      <c r="HC146" s="198"/>
      <c r="HD146" s="198"/>
      <c r="HE146" s="198"/>
      <c r="HF146" s="198"/>
      <c r="HG146" s="198"/>
      <c r="HH146" s="198"/>
      <c r="HI146" s="198"/>
      <c r="HJ146" s="198"/>
      <c r="HK146" s="198"/>
      <c r="HL146" s="198"/>
      <c r="HM146" s="198"/>
      <c r="HN146" s="198"/>
      <c r="HO146" s="198"/>
      <c r="HP146" s="198"/>
      <c r="HQ146" s="198"/>
      <c r="HR146" s="198"/>
      <c r="HS146" s="198"/>
      <c r="HT146" s="198"/>
      <c r="HU146" s="198"/>
      <c r="HV146" s="198"/>
      <c r="HW146" s="198"/>
      <c r="HX146" s="198"/>
      <c r="HY146" s="198"/>
      <c r="HZ146" s="198"/>
      <c r="IA146" s="198"/>
      <c r="IB146" s="198"/>
      <c r="IC146" s="198"/>
      <c r="ID146" s="198"/>
      <c r="IE146" s="198"/>
      <c r="IF146" s="198"/>
      <c r="IG146" s="198"/>
      <c r="IH146" s="198"/>
      <c r="II146" s="198"/>
      <c r="IJ146" s="198"/>
      <c r="IK146" s="198"/>
      <c r="IL146" s="198"/>
      <c r="IM146" s="198"/>
      <c r="IN146" s="198"/>
      <c r="IO146" s="198"/>
      <c r="IP146" s="198"/>
      <c r="IQ146" s="198"/>
      <c r="IR146" s="198"/>
      <c r="IS146" s="198"/>
      <c r="IT146" s="198"/>
      <c r="IU146" s="198"/>
      <c r="IV146" s="198"/>
      <c r="IW146" s="198"/>
      <c r="IX146" s="198"/>
      <c r="IY146" s="198"/>
      <c r="IZ146" s="198"/>
      <c r="JA146" s="198"/>
      <c r="JB146" s="198"/>
      <c r="JC146" s="198"/>
      <c r="JD146" s="198"/>
      <c r="JE146" s="198"/>
      <c r="JF146" s="198"/>
      <c r="JG146" s="198"/>
      <c r="JH146" s="198"/>
      <c r="JI146" s="198"/>
      <c r="JJ146" s="198"/>
      <c r="JK146" s="198"/>
      <c r="JL146" s="198"/>
      <c r="JM146" s="198"/>
      <c r="JN146" s="198"/>
      <c r="JO146" s="198"/>
      <c r="JP146" s="198"/>
      <c r="JQ146" s="198"/>
      <c r="JR146" s="198"/>
      <c r="JS146" s="198"/>
      <c r="JT146" s="198"/>
      <c r="JU146" s="198"/>
      <c r="JV146" s="198"/>
      <c r="JW146" s="198"/>
      <c r="JX146" s="198"/>
      <c r="JY146" s="198"/>
      <c r="JZ146" s="198"/>
      <c r="KA146" s="198"/>
      <c r="KB146" s="198"/>
      <c r="KC146" s="198"/>
      <c r="KD146" s="198"/>
      <c r="KE146" s="198"/>
      <c r="KF146" s="198"/>
      <c r="KG146" s="198"/>
      <c r="KH146" s="198"/>
      <c r="KI146" s="198"/>
      <c r="KJ146" s="198"/>
      <c r="KK146" s="198"/>
      <c r="KL146" s="198"/>
      <c r="KM146" s="198"/>
      <c r="KN146" s="198"/>
      <c r="KO146" s="198"/>
      <c r="KP146" s="198"/>
      <c r="KQ146" s="198"/>
      <c r="KR146" s="198"/>
      <c r="KS146" s="198"/>
      <c r="KT146" s="198"/>
      <c r="KU146" s="198"/>
      <c r="KV146" s="198"/>
      <c r="KW146" s="198"/>
      <c r="KX146" s="198"/>
      <c r="KY146" s="198"/>
      <c r="KZ146" s="198"/>
      <c r="LA146" s="198"/>
      <c r="LB146" s="198"/>
      <c r="LC146" s="198"/>
      <c r="LD146" s="198"/>
      <c r="LE146" s="198"/>
      <c r="LF146" s="198"/>
      <c r="LG146" s="198"/>
      <c r="LH146" s="198"/>
      <c r="LI146" s="198"/>
      <c r="LJ146" s="198"/>
      <c r="LK146" s="198"/>
      <c r="LL146" s="198"/>
      <c r="LM146" s="198"/>
      <c r="LN146" s="198"/>
      <c r="LO146" s="198"/>
      <c r="LP146" s="198"/>
      <c r="LQ146" s="198"/>
      <c r="LR146" s="198"/>
      <c r="LS146" s="198"/>
      <c r="LT146" s="198"/>
      <c r="LU146" s="198"/>
      <c r="LV146" s="198"/>
      <c r="LW146" s="198"/>
      <c r="LX146" s="198"/>
      <c r="LY146" s="198"/>
      <c r="LZ146" s="198"/>
      <c r="MA146" s="198"/>
      <c r="MB146" s="198"/>
      <c r="MC146" s="198"/>
      <c r="MD146" s="198"/>
      <c r="ME146" s="198"/>
      <c r="MF146" s="198"/>
      <c r="MG146" s="198"/>
      <c r="MH146" s="198"/>
      <c r="MI146" s="198"/>
      <c r="MJ146" s="198"/>
      <c r="MK146" s="198"/>
      <c r="ML146" s="198"/>
      <c r="MM146" s="198"/>
      <c r="MN146" s="198"/>
      <c r="MO146" s="198"/>
      <c r="MP146" s="198"/>
      <c r="MQ146" s="198"/>
      <c r="MR146" s="198"/>
      <c r="MS146" s="198"/>
      <c r="MT146" s="198"/>
      <c r="MU146" s="198"/>
      <c r="MV146" s="198"/>
      <c r="MW146" s="198"/>
      <c r="MX146" s="198"/>
      <c r="MY146" s="198"/>
      <c r="MZ146" s="198"/>
      <c r="NA146" s="198"/>
      <c r="NB146" s="198"/>
      <c r="NC146" s="198"/>
      <c r="ND146" s="198"/>
      <c r="NE146" s="198"/>
      <c r="NF146" s="198"/>
      <c r="NG146" s="198"/>
      <c r="NH146" s="198"/>
      <c r="NI146" s="198"/>
      <c r="NJ146" s="198"/>
      <c r="NK146" s="198"/>
      <c r="NL146" s="198"/>
      <c r="NM146" s="198"/>
      <c r="NN146" s="198"/>
      <c r="NO146" s="198"/>
      <c r="NP146" s="198"/>
      <c r="NQ146" s="198"/>
      <c r="NR146" s="198"/>
      <c r="NS146" s="198"/>
      <c r="NT146" s="198"/>
      <c r="NU146" s="198"/>
      <c r="NV146" s="198"/>
      <c r="NW146" s="198"/>
      <c r="NX146" s="198"/>
      <c r="NY146" s="198"/>
      <c r="NZ146" s="198"/>
      <c r="OA146" s="198"/>
      <c r="OB146" s="198"/>
      <c r="OC146" s="198"/>
      <c r="OD146" s="198"/>
      <c r="OE146" s="198"/>
      <c r="OF146" s="198"/>
      <c r="OG146" s="198"/>
      <c r="OH146" s="198"/>
      <c r="OI146" s="198"/>
      <c r="OJ146" s="198"/>
      <c r="OK146" s="198"/>
      <c r="OL146" s="198"/>
      <c r="OM146" s="198"/>
      <c r="ON146" s="198"/>
      <c r="OO146" s="198"/>
      <c r="OP146" s="198"/>
      <c r="OQ146" s="198"/>
      <c r="OR146" s="198"/>
      <c r="OS146" s="198"/>
      <c r="OT146" s="198"/>
      <c r="OU146" s="198"/>
      <c r="OV146" s="198"/>
      <c r="OW146" s="198"/>
      <c r="OX146" s="198"/>
      <c r="OY146" s="198"/>
      <c r="OZ146" s="198"/>
      <c r="PA146" s="198"/>
      <c r="PB146" s="198"/>
      <c r="PC146" s="198"/>
      <c r="PD146" s="198"/>
      <c r="PE146" s="198"/>
      <c r="PF146" s="198"/>
      <c r="PG146" s="198"/>
      <c r="PH146" s="198"/>
      <c r="PI146" s="198"/>
      <c r="PJ146" s="198"/>
      <c r="PK146" s="198"/>
      <c r="PL146" s="198"/>
      <c r="PM146" s="198"/>
      <c r="PN146" s="198"/>
      <c r="PO146" s="198"/>
      <c r="PP146" s="198"/>
      <c r="PQ146" s="198"/>
      <c r="PR146" s="198"/>
      <c r="PS146" s="198"/>
      <c r="PT146" s="198"/>
      <c r="PU146" s="198"/>
      <c r="PV146" s="198"/>
      <c r="PW146" s="198"/>
      <c r="PX146" s="198"/>
      <c r="PY146" s="198"/>
      <c r="PZ146" s="198"/>
      <c r="QA146" s="198"/>
      <c r="QB146" s="198"/>
      <c r="QC146" s="198"/>
      <c r="QD146" s="198"/>
      <c r="QE146" s="198"/>
      <c r="QF146" s="198"/>
      <c r="QG146" s="198"/>
      <c r="QH146" s="198"/>
      <c r="QI146" s="198"/>
      <c r="QJ146" s="198"/>
      <c r="QK146" s="198"/>
      <c r="QL146" s="198"/>
      <c r="QM146" s="198"/>
      <c r="QN146" s="198"/>
      <c r="QO146" s="198"/>
      <c r="QP146" s="198"/>
      <c r="QQ146" s="198"/>
      <c r="QR146" s="198"/>
      <c r="QS146" s="198"/>
      <c r="QT146" s="198"/>
      <c r="QU146" s="198"/>
      <c r="QV146" s="198"/>
      <c r="QW146" s="198"/>
      <c r="QX146" s="198"/>
      <c r="QY146" s="198"/>
      <c r="QZ146" s="198"/>
      <c r="RA146" s="198"/>
      <c r="RB146" s="198"/>
      <c r="RC146" s="198"/>
      <c r="RD146" s="198"/>
      <c r="RE146" s="198"/>
      <c r="RF146" s="198"/>
      <c r="RG146" s="198"/>
      <c r="RH146" s="198"/>
      <c r="RI146" s="198"/>
      <c r="RJ146" s="198"/>
      <c r="RK146" s="198"/>
      <c r="RL146" s="198"/>
      <c r="RM146" s="198"/>
      <c r="RN146" s="198"/>
      <c r="RO146" s="198"/>
      <c r="RP146" s="198"/>
      <c r="RQ146" s="198"/>
      <c r="RR146" s="198"/>
      <c r="RS146" s="198"/>
      <c r="RT146" s="198"/>
      <c r="RU146" s="198"/>
      <c r="RV146" s="198"/>
      <c r="RW146" s="198"/>
      <c r="RX146" s="198"/>
      <c r="RY146" s="198"/>
      <c r="RZ146" s="198"/>
      <c r="SA146" s="198"/>
      <c r="SB146" s="198"/>
      <c r="SC146" s="198"/>
      <c r="SD146" s="198"/>
      <c r="SE146" s="198"/>
      <c r="SF146" s="198"/>
      <c r="SG146" s="198"/>
      <c r="SH146" s="198"/>
      <c r="SI146" s="198"/>
      <c r="SJ146" s="198"/>
      <c r="SK146" s="198"/>
      <c r="SL146" s="198"/>
      <c r="SM146" s="198"/>
      <c r="SN146" s="198"/>
      <c r="SO146" s="198"/>
      <c r="SP146" s="198"/>
      <c r="SQ146" s="198"/>
      <c r="SR146" s="198"/>
      <c r="SS146" s="198"/>
      <c r="ST146" s="198"/>
      <c r="SU146" s="198"/>
      <c r="SV146" s="198"/>
      <c r="SW146" s="198"/>
      <c r="SX146" s="198"/>
      <c r="SY146" s="198"/>
      <c r="SZ146" s="198"/>
      <c r="TA146" s="198"/>
      <c r="TB146" s="198"/>
      <c r="TC146" s="198"/>
      <c r="TD146" s="198"/>
      <c r="TE146" s="198"/>
      <c r="TF146" s="198"/>
      <c r="TG146" s="198"/>
      <c r="TH146" s="198"/>
      <c r="TI146" s="198"/>
      <c r="TJ146" s="198"/>
      <c r="TK146" s="198"/>
      <c r="TL146" s="198"/>
      <c r="TM146" s="198"/>
      <c r="TN146" s="198"/>
      <c r="TO146" s="198"/>
      <c r="TP146" s="198"/>
      <c r="TQ146" s="198"/>
      <c r="TR146" s="198"/>
      <c r="TS146" s="198"/>
      <c r="TT146" s="198"/>
      <c r="TU146" s="198"/>
      <c r="TV146" s="198"/>
      <c r="TW146" s="198"/>
      <c r="TX146" s="198"/>
      <c r="TY146" s="198"/>
      <c r="TZ146" s="198"/>
      <c r="UA146" s="198"/>
      <c r="UB146" s="198"/>
      <c r="UC146" s="198"/>
      <c r="UD146" s="198"/>
      <c r="UE146" s="198"/>
      <c r="UF146" s="198"/>
      <c r="UG146" s="198"/>
      <c r="UH146" s="198"/>
      <c r="UI146" s="198"/>
      <c r="UJ146" s="198"/>
      <c r="UK146" s="198"/>
      <c r="UL146" s="198"/>
      <c r="UM146" s="198"/>
      <c r="UN146" s="198"/>
      <c r="UO146" s="198"/>
      <c r="UP146" s="198"/>
      <c r="UQ146" s="198"/>
      <c r="UR146" s="198"/>
      <c r="US146" s="198"/>
      <c r="UT146" s="198"/>
      <c r="UU146" s="198"/>
      <c r="UV146" s="198"/>
      <c r="UW146" s="198"/>
      <c r="UX146" s="198"/>
      <c r="UY146" s="198"/>
      <c r="UZ146" s="198"/>
      <c r="VA146" s="198"/>
      <c r="VB146" s="198"/>
      <c r="VC146" s="198"/>
      <c r="VD146" s="198"/>
      <c r="VE146" s="198"/>
      <c r="VF146" s="198"/>
      <c r="VG146" s="198"/>
      <c r="VH146" s="198"/>
      <c r="VI146" s="198"/>
      <c r="VJ146" s="198"/>
      <c r="VK146" s="198"/>
      <c r="VL146" s="198"/>
      <c r="VM146" s="198"/>
      <c r="VN146" s="198"/>
      <c r="VO146" s="198"/>
      <c r="VP146" s="198"/>
      <c r="VQ146" s="198"/>
      <c r="VR146" s="198"/>
      <c r="VS146" s="198"/>
      <c r="VT146" s="198"/>
      <c r="VU146" s="198"/>
      <c r="VV146" s="198"/>
      <c r="VW146" s="198"/>
      <c r="VX146" s="198"/>
      <c r="VY146" s="198"/>
      <c r="VZ146" s="198"/>
      <c r="WA146" s="198"/>
      <c r="WB146" s="198"/>
      <c r="WC146" s="198"/>
      <c r="WD146" s="198"/>
      <c r="WE146" s="198"/>
      <c r="WF146" s="198"/>
      <c r="WG146" s="198"/>
      <c r="WH146" s="198"/>
      <c r="WI146" s="198"/>
      <c r="WJ146" s="198"/>
      <c r="WK146" s="198"/>
      <c r="WL146" s="198"/>
      <c r="WM146" s="198"/>
      <c r="WN146" s="198"/>
      <c r="WO146" s="198"/>
      <c r="WP146" s="198"/>
      <c r="WQ146" s="198"/>
      <c r="WR146" s="198"/>
      <c r="WS146" s="198"/>
      <c r="WT146" s="198"/>
      <c r="WU146" s="198"/>
      <c r="WV146" s="198"/>
      <c r="WW146" s="198"/>
      <c r="WX146" s="198"/>
      <c r="WY146" s="198"/>
      <c r="WZ146" s="198"/>
      <c r="XA146" s="198"/>
      <c r="XB146" s="198"/>
      <c r="XC146" s="198"/>
      <c r="XD146" s="198"/>
      <c r="XE146" s="198"/>
      <c r="XF146" s="198"/>
      <c r="XG146" s="198"/>
      <c r="XH146" s="198"/>
      <c r="XI146" s="198"/>
      <c r="XJ146" s="198"/>
      <c r="XK146" s="198"/>
      <c r="XL146" s="198"/>
      <c r="XM146" s="198"/>
      <c r="XN146" s="198"/>
      <c r="XO146" s="198"/>
      <c r="XP146" s="198"/>
      <c r="XQ146" s="198"/>
      <c r="XR146" s="198"/>
      <c r="XS146" s="198"/>
      <c r="XT146" s="198"/>
      <c r="XU146" s="198"/>
      <c r="XV146" s="198"/>
      <c r="XW146" s="198"/>
      <c r="XX146" s="198"/>
      <c r="XY146" s="198"/>
      <c r="XZ146" s="198"/>
      <c r="YA146" s="198"/>
      <c r="YB146" s="198"/>
      <c r="YC146" s="198"/>
      <c r="YD146" s="198"/>
      <c r="YE146" s="198"/>
      <c r="YF146" s="198"/>
      <c r="YG146" s="198"/>
      <c r="YH146" s="198"/>
      <c r="YI146" s="198"/>
      <c r="YJ146" s="198"/>
      <c r="YK146" s="198"/>
      <c r="YL146" s="198"/>
      <c r="YM146" s="198"/>
      <c r="YN146" s="198"/>
      <c r="YO146" s="198"/>
      <c r="YP146" s="198"/>
      <c r="YQ146" s="198"/>
      <c r="YR146" s="198"/>
      <c r="YS146" s="198"/>
      <c r="YT146" s="198"/>
      <c r="YU146" s="198"/>
      <c r="YV146" s="198"/>
      <c r="YW146" s="198"/>
      <c r="YX146" s="198"/>
      <c r="YY146" s="198"/>
      <c r="YZ146" s="198"/>
      <c r="ZA146" s="198"/>
      <c r="ZB146" s="198"/>
      <c r="ZC146" s="198"/>
      <c r="ZD146" s="198"/>
      <c r="ZE146" s="198"/>
      <c r="ZF146" s="198"/>
      <c r="ZG146" s="198"/>
      <c r="ZH146" s="198"/>
      <c r="ZI146" s="198"/>
      <c r="ZJ146" s="198"/>
      <c r="ZK146" s="198"/>
      <c r="ZL146" s="198"/>
      <c r="ZM146" s="198"/>
      <c r="ZN146" s="198"/>
      <c r="ZO146" s="198"/>
      <c r="ZP146" s="198"/>
      <c r="ZQ146" s="198"/>
      <c r="ZR146" s="198"/>
      <c r="ZS146" s="198"/>
      <c r="ZT146" s="198"/>
      <c r="ZU146" s="198"/>
      <c r="ZV146" s="198"/>
      <c r="ZW146" s="198"/>
      <c r="ZX146" s="198"/>
      <c r="ZY146" s="198"/>
      <c r="ZZ146" s="198"/>
      <c r="AAA146" s="198"/>
      <c r="AAB146" s="198"/>
      <c r="AAC146" s="198"/>
      <c r="AAD146" s="198"/>
      <c r="AAE146" s="198"/>
      <c r="AAF146" s="198"/>
      <c r="AAG146" s="198"/>
      <c r="AAH146" s="198"/>
      <c r="AAI146" s="198"/>
      <c r="AAJ146" s="198"/>
      <c r="AAK146" s="198"/>
      <c r="AAL146" s="198"/>
      <c r="AAM146" s="198"/>
      <c r="AAN146" s="198"/>
      <c r="AAO146" s="198"/>
      <c r="AAP146" s="198"/>
      <c r="AAQ146" s="198"/>
      <c r="AAR146" s="198"/>
      <c r="AAS146" s="198"/>
      <c r="AAT146" s="198"/>
      <c r="AAU146" s="198"/>
      <c r="AAV146" s="198"/>
      <c r="AAW146" s="198"/>
      <c r="AAX146" s="198"/>
      <c r="AAY146" s="198"/>
      <c r="AAZ146" s="198"/>
      <c r="ABA146" s="198"/>
      <c r="ABB146" s="198"/>
      <c r="ABC146" s="198"/>
      <c r="ABD146" s="198"/>
      <c r="ABE146" s="198"/>
      <c r="ABF146" s="198"/>
      <c r="ABG146" s="198"/>
      <c r="ABH146" s="198"/>
      <c r="ABI146" s="198"/>
      <c r="ABJ146" s="198"/>
      <c r="ABK146" s="198"/>
      <c r="ABL146" s="198"/>
      <c r="ABM146" s="198"/>
      <c r="ABN146" s="198"/>
      <c r="ABO146" s="198"/>
      <c r="ABP146" s="198"/>
      <c r="ABQ146" s="198"/>
      <c r="ABR146" s="198"/>
      <c r="ABS146" s="198"/>
      <c r="ABT146" s="198"/>
      <c r="ABU146" s="198"/>
      <c r="ABV146" s="198"/>
      <c r="ABW146" s="198"/>
      <c r="ABX146" s="198"/>
      <c r="ABY146" s="198"/>
      <c r="ABZ146" s="198"/>
      <c r="ACA146" s="198"/>
      <c r="ACB146" s="198"/>
      <c r="ACC146" s="198"/>
      <c r="ACD146" s="198"/>
      <c r="ACE146" s="198"/>
      <c r="ACF146" s="198"/>
      <c r="ACG146" s="198"/>
      <c r="ACH146" s="198"/>
      <c r="ACI146" s="198"/>
      <c r="ACJ146" s="198"/>
      <c r="ACK146" s="198"/>
      <c r="ACL146" s="198"/>
      <c r="ACM146" s="198"/>
      <c r="ACN146" s="198"/>
      <c r="ACO146" s="198"/>
      <c r="ACP146" s="198"/>
      <c r="ACQ146" s="198"/>
      <c r="ACR146" s="198"/>
      <c r="ACS146" s="198"/>
      <c r="ACT146" s="198"/>
      <c r="ACU146" s="198"/>
      <c r="ACV146" s="198"/>
      <c r="ACW146" s="198"/>
      <c r="ACX146" s="198"/>
      <c r="ACY146" s="198"/>
      <c r="ACZ146" s="198"/>
      <c r="ADA146" s="198"/>
      <c r="ADB146" s="198"/>
      <c r="ADC146" s="198"/>
      <c r="ADD146" s="198"/>
      <c r="ADE146" s="198"/>
      <c r="ADF146" s="198"/>
      <c r="ADG146" s="198"/>
      <c r="ADH146" s="198"/>
      <c r="ADI146" s="198"/>
      <c r="ADJ146" s="198"/>
      <c r="ADK146" s="198"/>
      <c r="ADL146" s="198"/>
      <c r="ADM146" s="198"/>
      <c r="ADN146" s="198"/>
      <c r="ADO146" s="198"/>
      <c r="ADP146" s="198"/>
      <c r="ADQ146" s="198"/>
      <c r="ADR146" s="198"/>
      <c r="ADS146" s="198"/>
      <c r="ADT146" s="198"/>
      <c r="ADU146" s="198"/>
      <c r="ADV146" s="198"/>
      <c r="ADW146" s="198"/>
      <c r="ADX146" s="198"/>
      <c r="ADY146" s="198"/>
      <c r="ADZ146" s="198"/>
      <c r="AEA146" s="198"/>
      <c r="AEB146" s="198"/>
      <c r="AEC146" s="198"/>
      <c r="AED146" s="198"/>
      <c r="AEE146" s="198"/>
      <c r="AEF146" s="198"/>
      <c r="AEG146" s="198"/>
      <c r="AEH146" s="198"/>
      <c r="AEI146" s="198"/>
      <c r="AEJ146" s="198"/>
      <c r="AEK146" s="198"/>
      <c r="AEL146" s="198"/>
      <c r="AEM146" s="198"/>
      <c r="AEN146" s="198"/>
      <c r="AEO146" s="198"/>
      <c r="AEP146" s="198"/>
      <c r="AEQ146" s="198"/>
      <c r="AER146" s="198"/>
      <c r="AES146" s="198"/>
      <c r="AET146" s="198"/>
      <c r="AEU146" s="198"/>
      <c r="AEV146" s="198"/>
      <c r="AEW146" s="198"/>
      <c r="AEX146" s="198"/>
      <c r="AEY146" s="198"/>
      <c r="AEZ146" s="198"/>
      <c r="AFA146" s="198"/>
      <c r="AFB146" s="198"/>
      <c r="AFC146" s="198"/>
      <c r="AFD146" s="198"/>
      <c r="AFE146" s="198"/>
      <c r="AFF146" s="198"/>
      <c r="AFG146" s="198"/>
      <c r="AFH146" s="198"/>
      <c r="AFI146" s="198"/>
      <c r="AFJ146" s="198"/>
      <c r="AFK146" s="198"/>
      <c r="AFL146" s="198"/>
      <c r="AFM146" s="198"/>
      <c r="AFN146" s="198"/>
      <c r="AFO146" s="198"/>
      <c r="AFP146" s="198"/>
      <c r="AFQ146" s="198"/>
      <c r="AFR146" s="198"/>
      <c r="AFS146" s="198"/>
      <c r="AFT146" s="198"/>
      <c r="AFU146" s="198"/>
      <c r="AFV146" s="198"/>
      <c r="AFW146" s="198"/>
      <c r="AFX146" s="198"/>
      <c r="AFY146" s="198"/>
      <c r="AFZ146" s="198"/>
      <c r="AGA146" s="198"/>
      <c r="AGB146" s="198"/>
      <c r="AGC146" s="198"/>
      <c r="AGD146" s="198"/>
      <c r="AGE146" s="198"/>
      <c r="AGF146" s="198"/>
      <c r="AGG146" s="198"/>
      <c r="AGH146" s="198"/>
      <c r="AGI146" s="198"/>
      <c r="AGJ146" s="198"/>
      <c r="AGK146" s="198"/>
      <c r="AGL146" s="198"/>
      <c r="AGM146" s="198"/>
      <c r="AGN146" s="198"/>
      <c r="AGO146" s="198"/>
      <c r="AGP146" s="198"/>
      <c r="AGQ146" s="198"/>
      <c r="AGR146" s="198"/>
      <c r="AGS146" s="198"/>
      <c r="AGT146" s="198"/>
      <c r="AGU146" s="198"/>
      <c r="AGV146" s="198"/>
      <c r="AGW146" s="198"/>
      <c r="AGX146" s="198"/>
      <c r="AGY146" s="198"/>
      <c r="AGZ146" s="198"/>
      <c r="AHA146" s="198"/>
      <c r="AHB146" s="198"/>
      <c r="AHC146" s="198"/>
      <c r="AHD146" s="198"/>
      <c r="AHE146" s="198"/>
      <c r="AHF146" s="198"/>
      <c r="AHG146" s="198"/>
      <c r="AHH146" s="198"/>
      <c r="AHI146" s="198"/>
      <c r="AHJ146" s="198"/>
      <c r="AHK146" s="198"/>
      <c r="AHL146" s="198"/>
      <c r="AHM146" s="198"/>
      <c r="AHN146" s="198"/>
      <c r="AHO146" s="198"/>
      <c r="AHP146" s="198"/>
      <c r="AHQ146" s="198"/>
      <c r="AHR146" s="198"/>
      <c r="AHS146" s="198"/>
      <c r="AHT146" s="198"/>
      <c r="AHU146" s="198"/>
      <c r="AHV146" s="198"/>
      <c r="AHW146" s="198"/>
      <c r="AHX146" s="198"/>
      <c r="AHY146" s="198"/>
      <c r="AHZ146" s="198"/>
      <c r="AIA146" s="198"/>
      <c r="AIB146" s="198"/>
      <c r="AIC146" s="198"/>
      <c r="AID146" s="198"/>
      <c r="AIE146" s="198"/>
      <c r="AIF146" s="198"/>
      <c r="AIG146" s="198"/>
      <c r="AIH146" s="198"/>
      <c r="AII146" s="198"/>
      <c r="AIJ146" s="198"/>
      <c r="AIK146" s="198"/>
      <c r="AIL146" s="198"/>
      <c r="AIM146" s="198"/>
      <c r="AIN146" s="198"/>
      <c r="AIO146" s="198"/>
      <c r="AIP146" s="198"/>
      <c r="AIQ146" s="198"/>
      <c r="AIR146" s="198"/>
      <c r="AIS146" s="198"/>
      <c r="AIT146" s="198"/>
      <c r="AIU146" s="198"/>
      <c r="AIV146" s="198"/>
      <c r="AIW146" s="198"/>
      <c r="AIX146" s="198"/>
      <c r="AIY146" s="198"/>
      <c r="AIZ146" s="198"/>
      <c r="AJA146" s="198"/>
      <c r="AJB146" s="198"/>
      <c r="AJC146" s="198"/>
      <c r="AJD146" s="198"/>
      <c r="AJE146" s="198"/>
      <c r="AJF146" s="198"/>
      <c r="AJG146" s="198"/>
      <c r="AJH146" s="198"/>
      <c r="AJI146" s="198"/>
      <c r="AJJ146" s="198"/>
      <c r="AJK146" s="198"/>
      <c r="AJL146" s="198"/>
      <c r="AJM146" s="198"/>
      <c r="AJN146" s="198"/>
      <c r="AJO146" s="198"/>
      <c r="AJP146" s="198"/>
      <c r="AJQ146" s="198"/>
      <c r="AJR146" s="198"/>
      <c r="AJS146" s="198"/>
      <c r="AJT146" s="198"/>
      <c r="AJU146" s="198"/>
      <c r="AJV146" s="198"/>
      <c r="AJW146" s="198"/>
      <c r="AJX146" s="198"/>
      <c r="AJY146" s="198"/>
      <c r="AJZ146" s="198"/>
      <c r="AKA146" s="198"/>
      <c r="AKB146" s="198"/>
      <c r="AKC146" s="198"/>
      <c r="AKD146" s="198"/>
      <c r="AKE146" s="198"/>
      <c r="AKF146" s="198"/>
      <c r="AKG146" s="198"/>
      <c r="AKH146" s="198"/>
      <c r="AKI146" s="198"/>
      <c r="AKJ146" s="198"/>
      <c r="AKK146" s="198"/>
      <c r="AKL146" s="198"/>
      <c r="AKM146" s="198"/>
      <c r="AKN146" s="198"/>
      <c r="AKO146" s="198"/>
      <c r="AKP146" s="198"/>
      <c r="AKQ146" s="198"/>
      <c r="AKR146" s="198"/>
      <c r="AKS146" s="198"/>
      <c r="AKT146" s="198"/>
      <c r="AKU146" s="198"/>
      <c r="AKV146" s="198"/>
      <c r="AKW146" s="198"/>
      <c r="AKX146" s="198"/>
      <c r="AKY146" s="198"/>
      <c r="AKZ146" s="198"/>
      <c r="ALA146" s="198"/>
      <c r="ALB146" s="198"/>
      <c r="ALC146" s="198"/>
      <c r="ALD146" s="198"/>
      <c r="ALE146" s="198"/>
      <c r="ALF146" s="198"/>
      <c r="ALG146" s="198"/>
      <c r="ALH146" s="198"/>
      <c r="ALI146" s="198"/>
      <c r="ALJ146" s="198"/>
      <c r="ALK146" s="198"/>
      <c r="ALL146" s="198"/>
      <c r="ALM146" s="198"/>
      <c r="ALN146" s="198"/>
      <c r="ALO146" s="198"/>
      <c r="ALP146" s="198"/>
      <c r="ALQ146" s="198"/>
      <c r="ALR146" s="198"/>
      <c r="ALS146" s="198"/>
      <c r="ALT146" s="198"/>
      <c r="ALU146" s="198"/>
      <c r="ALV146" s="198"/>
      <c r="ALW146" s="198"/>
      <c r="ALX146" s="198"/>
      <c r="ALY146" s="198"/>
      <c r="ALZ146" s="198"/>
      <c r="AMA146" s="198"/>
      <c r="AMB146" s="198"/>
      <c r="AMC146" s="198"/>
      <c r="AMD146" s="198"/>
      <c r="AME146" s="198"/>
      <c r="AMF146" s="198"/>
      <c r="AMG146" s="198"/>
      <c r="AMH146" s="198"/>
      <c r="AMI146" s="198"/>
      <c r="AMJ146" s="198"/>
    </row>
    <row r="147" s="196" customFormat="true" ht="15.75" hidden="false" customHeight="true" outlineLevel="0" collapsed="false">
      <c r="A147" s="198"/>
      <c r="B147" s="18"/>
      <c r="C147" s="199" t="s">
        <v>135</v>
      </c>
      <c r="D147" s="200" t="n">
        <v>20</v>
      </c>
      <c r="E147" s="200" t="n">
        <v>1</v>
      </c>
      <c r="F147" s="20"/>
      <c r="G147" s="125"/>
      <c r="H147" s="18"/>
      <c r="I147" s="199" t="s">
        <v>135</v>
      </c>
      <c r="J147" s="200" t="n">
        <v>20</v>
      </c>
      <c r="K147" s="200" t="n">
        <v>1</v>
      </c>
      <c r="L147" s="20"/>
      <c r="M147" s="198"/>
      <c r="N147" s="198"/>
      <c r="O147" s="198"/>
      <c r="P147" s="198"/>
      <c r="Q147" s="198"/>
      <c r="R147" s="198"/>
      <c r="S147" s="198"/>
      <c r="T147" s="198"/>
      <c r="U147" s="198"/>
      <c r="V147" s="198"/>
      <c r="W147" s="198"/>
      <c r="X147" s="198"/>
      <c r="Y147" s="198"/>
      <c r="Z147" s="198"/>
      <c r="AA147" s="198"/>
      <c r="AB147" s="198"/>
      <c r="AC147" s="198"/>
      <c r="AD147" s="198"/>
      <c r="AE147" s="198"/>
      <c r="AF147" s="198"/>
      <c r="AG147" s="198"/>
      <c r="AH147" s="198"/>
      <c r="AI147" s="198"/>
      <c r="AJ147" s="198"/>
      <c r="AK147" s="198"/>
      <c r="AL147" s="198"/>
      <c r="AM147" s="198"/>
      <c r="AN147" s="198"/>
      <c r="AO147" s="198"/>
      <c r="AP147" s="198"/>
      <c r="AQ147" s="198"/>
      <c r="AR147" s="198"/>
      <c r="AS147" s="198"/>
      <c r="AT147" s="198"/>
      <c r="AU147" s="198"/>
      <c r="AV147" s="198"/>
      <c r="AW147" s="198"/>
      <c r="AX147" s="198"/>
      <c r="AY147" s="198"/>
      <c r="AZ147" s="198"/>
      <c r="BA147" s="198"/>
      <c r="BB147" s="198"/>
      <c r="BC147" s="198"/>
      <c r="BD147" s="198"/>
      <c r="BE147" s="198"/>
      <c r="BF147" s="198"/>
      <c r="BG147" s="198"/>
      <c r="BH147" s="198"/>
      <c r="BI147" s="198"/>
      <c r="BJ147" s="198"/>
      <c r="BK147" s="198"/>
      <c r="BL147" s="198"/>
      <c r="BM147" s="198"/>
      <c r="BN147" s="198"/>
      <c r="BO147" s="198"/>
      <c r="BP147" s="198"/>
      <c r="BQ147" s="198"/>
      <c r="BR147" s="198"/>
      <c r="BS147" s="198"/>
      <c r="BT147" s="198"/>
      <c r="BU147" s="198"/>
      <c r="BV147" s="198"/>
      <c r="BW147" s="198"/>
      <c r="BX147" s="198"/>
      <c r="BY147" s="198"/>
      <c r="BZ147" s="198"/>
      <c r="CA147" s="198"/>
      <c r="CB147" s="198"/>
      <c r="CC147" s="198"/>
      <c r="CD147" s="198"/>
      <c r="CE147" s="198"/>
      <c r="CF147" s="198"/>
      <c r="CG147" s="198"/>
      <c r="CH147" s="198"/>
      <c r="CI147" s="198"/>
      <c r="CJ147" s="198"/>
      <c r="CK147" s="198"/>
      <c r="CL147" s="198"/>
      <c r="CM147" s="198"/>
      <c r="CN147" s="198"/>
      <c r="CO147" s="198"/>
      <c r="CP147" s="198"/>
      <c r="CQ147" s="198"/>
      <c r="CR147" s="198"/>
      <c r="CS147" s="198"/>
      <c r="CT147" s="198"/>
      <c r="CU147" s="198"/>
      <c r="CV147" s="198"/>
      <c r="CW147" s="198"/>
      <c r="CX147" s="198"/>
      <c r="CY147" s="198"/>
      <c r="CZ147" s="198"/>
      <c r="DA147" s="198"/>
      <c r="DB147" s="198"/>
      <c r="DC147" s="198"/>
      <c r="DD147" s="198"/>
      <c r="DE147" s="198"/>
      <c r="DF147" s="198"/>
      <c r="DG147" s="198"/>
      <c r="DH147" s="198"/>
      <c r="DI147" s="198"/>
      <c r="DJ147" s="198"/>
      <c r="DK147" s="198"/>
      <c r="DL147" s="198"/>
      <c r="DM147" s="198"/>
      <c r="DN147" s="198"/>
      <c r="DO147" s="198"/>
      <c r="DP147" s="198"/>
      <c r="DQ147" s="198"/>
      <c r="DR147" s="198"/>
      <c r="DS147" s="198"/>
      <c r="DT147" s="198"/>
      <c r="DU147" s="198"/>
      <c r="DV147" s="198"/>
      <c r="DW147" s="198"/>
      <c r="DX147" s="198"/>
      <c r="DY147" s="198"/>
      <c r="DZ147" s="198"/>
      <c r="EA147" s="198"/>
      <c r="EB147" s="198"/>
      <c r="EC147" s="198"/>
      <c r="ED147" s="198"/>
      <c r="EE147" s="198"/>
      <c r="EF147" s="198"/>
      <c r="EG147" s="198"/>
      <c r="EH147" s="198"/>
      <c r="EI147" s="198"/>
      <c r="EJ147" s="198"/>
      <c r="EK147" s="198"/>
      <c r="EL147" s="198"/>
      <c r="EM147" s="198"/>
      <c r="EN147" s="198"/>
      <c r="EO147" s="198"/>
      <c r="EP147" s="198"/>
      <c r="EQ147" s="198"/>
      <c r="ER147" s="198"/>
      <c r="ES147" s="198"/>
      <c r="ET147" s="198"/>
      <c r="EU147" s="198"/>
      <c r="EV147" s="198"/>
      <c r="EW147" s="198"/>
      <c r="EX147" s="198"/>
      <c r="EY147" s="198"/>
      <c r="EZ147" s="198"/>
      <c r="FA147" s="198"/>
      <c r="FB147" s="198"/>
      <c r="FC147" s="198"/>
      <c r="FD147" s="198"/>
      <c r="FE147" s="198"/>
      <c r="FF147" s="198"/>
      <c r="FG147" s="198"/>
      <c r="FH147" s="198"/>
      <c r="FI147" s="198"/>
      <c r="FJ147" s="198"/>
      <c r="FK147" s="198"/>
      <c r="FL147" s="198"/>
      <c r="FM147" s="198"/>
      <c r="FN147" s="198"/>
      <c r="FO147" s="198"/>
      <c r="FP147" s="198"/>
      <c r="FQ147" s="198"/>
      <c r="FR147" s="198"/>
      <c r="FS147" s="198"/>
      <c r="FT147" s="198"/>
      <c r="FU147" s="198"/>
      <c r="FV147" s="198"/>
      <c r="FW147" s="198"/>
      <c r="FX147" s="198"/>
      <c r="FY147" s="198"/>
      <c r="FZ147" s="198"/>
      <c r="GA147" s="198"/>
      <c r="GB147" s="198"/>
      <c r="GC147" s="198"/>
      <c r="GD147" s="198"/>
      <c r="GE147" s="198"/>
      <c r="GF147" s="198"/>
      <c r="GG147" s="198"/>
      <c r="GH147" s="198"/>
      <c r="GI147" s="198"/>
      <c r="GJ147" s="198"/>
      <c r="GK147" s="198"/>
      <c r="GL147" s="198"/>
      <c r="GM147" s="198"/>
      <c r="GN147" s="198"/>
      <c r="GO147" s="198"/>
      <c r="GP147" s="198"/>
      <c r="GQ147" s="198"/>
      <c r="GR147" s="198"/>
      <c r="GS147" s="198"/>
      <c r="GT147" s="198"/>
      <c r="GU147" s="198"/>
      <c r="GV147" s="198"/>
      <c r="GW147" s="198"/>
      <c r="GX147" s="198"/>
      <c r="GY147" s="198"/>
      <c r="GZ147" s="198"/>
      <c r="HA147" s="198"/>
      <c r="HB147" s="198"/>
      <c r="HC147" s="198"/>
      <c r="HD147" s="198"/>
      <c r="HE147" s="198"/>
      <c r="HF147" s="198"/>
      <c r="HG147" s="198"/>
      <c r="HH147" s="198"/>
      <c r="HI147" s="198"/>
      <c r="HJ147" s="198"/>
      <c r="HK147" s="198"/>
      <c r="HL147" s="198"/>
      <c r="HM147" s="198"/>
      <c r="HN147" s="198"/>
      <c r="HO147" s="198"/>
      <c r="HP147" s="198"/>
      <c r="HQ147" s="198"/>
      <c r="HR147" s="198"/>
      <c r="HS147" s="198"/>
      <c r="HT147" s="198"/>
      <c r="HU147" s="198"/>
      <c r="HV147" s="198"/>
      <c r="HW147" s="198"/>
      <c r="HX147" s="198"/>
      <c r="HY147" s="198"/>
      <c r="HZ147" s="198"/>
      <c r="IA147" s="198"/>
      <c r="IB147" s="198"/>
      <c r="IC147" s="198"/>
      <c r="ID147" s="198"/>
      <c r="IE147" s="198"/>
      <c r="IF147" s="198"/>
      <c r="IG147" s="198"/>
      <c r="IH147" s="198"/>
      <c r="II147" s="198"/>
      <c r="IJ147" s="198"/>
      <c r="IK147" s="198"/>
      <c r="IL147" s="198"/>
      <c r="IM147" s="198"/>
      <c r="IN147" s="198"/>
      <c r="IO147" s="198"/>
      <c r="IP147" s="198"/>
      <c r="IQ147" s="198"/>
      <c r="IR147" s="198"/>
      <c r="IS147" s="198"/>
      <c r="IT147" s="198"/>
      <c r="IU147" s="198"/>
      <c r="IV147" s="198"/>
      <c r="IW147" s="198"/>
      <c r="IX147" s="198"/>
      <c r="IY147" s="198"/>
      <c r="IZ147" s="198"/>
      <c r="JA147" s="198"/>
      <c r="JB147" s="198"/>
      <c r="JC147" s="198"/>
      <c r="JD147" s="198"/>
      <c r="JE147" s="198"/>
      <c r="JF147" s="198"/>
      <c r="JG147" s="198"/>
      <c r="JH147" s="198"/>
      <c r="JI147" s="198"/>
      <c r="JJ147" s="198"/>
      <c r="JK147" s="198"/>
      <c r="JL147" s="198"/>
      <c r="JM147" s="198"/>
      <c r="JN147" s="198"/>
      <c r="JO147" s="198"/>
      <c r="JP147" s="198"/>
      <c r="JQ147" s="198"/>
      <c r="JR147" s="198"/>
      <c r="JS147" s="198"/>
      <c r="JT147" s="198"/>
      <c r="JU147" s="198"/>
      <c r="JV147" s="198"/>
      <c r="JW147" s="198"/>
      <c r="JX147" s="198"/>
      <c r="JY147" s="198"/>
      <c r="JZ147" s="198"/>
      <c r="KA147" s="198"/>
      <c r="KB147" s="198"/>
      <c r="KC147" s="198"/>
      <c r="KD147" s="198"/>
      <c r="KE147" s="198"/>
      <c r="KF147" s="198"/>
      <c r="KG147" s="198"/>
      <c r="KH147" s="198"/>
      <c r="KI147" s="198"/>
      <c r="KJ147" s="198"/>
      <c r="KK147" s="198"/>
      <c r="KL147" s="198"/>
      <c r="KM147" s="198"/>
      <c r="KN147" s="198"/>
      <c r="KO147" s="198"/>
      <c r="KP147" s="198"/>
      <c r="KQ147" s="198"/>
      <c r="KR147" s="198"/>
      <c r="KS147" s="198"/>
      <c r="KT147" s="198"/>
      <c r="KU147" s="198"/>
      <c r="KV147" s="198"/>
      <c r="KW147" s="198"/>
      <c r="KX147" s="198"/>
      <c r="KY147" s="198"/>
      <c r="KZ147" s="198"/>
      <c r="LA147" s="198"/>
      <c r="LB147" s="198"/>
      <c r="LC147" s="198"/>
      <c r="LD147" s="198"/>
      <c r="LE147" s="198"/>
      <c r="LF147" s="198"/>
      <c r="LG147" s="198"/>
      <c r="LH147" s="198"/>
      <c r="LI147" s="198"/>
      <c r="LJ147" s="198"/>
      <c r="LK147" s="198"/>
      <c r="LL147" s="198"/>
      <c r="LM147" s="198"/>
      <c r="LN147" s="198"/>
      <c r="LO147" s="198"/>
      <c r="LP147" s="198"/>
      <c r="LQ147" s="198"/>
      <c r="LR147" s="198"/>
      <c r="LS147" s="198"/>
      <c r="LT147" s="198"/>
      <c r="LU147" s="198"/>
      <c r="LV147" s="198"/>
      <c r="LW147" s="198"/>
      <c r="LX147" s="198"/>
      <c r="LY147" s="198"/>
      <c r="LZ147" s="198"/>
      <c r="MA147" s="198"/>
      <c r="MB147" s="198"/>
      <c r="MC147" s="198"/>
      <c r="MD147" s="198"/>
      <c r="ME147" s="198"/>
      <c r="MF147" s="198"/>
      <c r="MG147" s="198"/>
      <c r="MH147" s="198"/>
      <c r="MI147" s="198"/>
      <c r="MJ147" s="198"/>
      <c r="MK147" s="198"/>
      <c r="ML147" s="198"/>
      <c r="MM147" s="198"/>
      <c r="MN147" s="198"/>
      <c r="MO147" s="198"/>
      <c r="MP147" s="198"/>
      <c r="MQ147" s="198"/>
      <c r="MR147" s="198"/>
      <c r="MS147" s="198"/>
      <c r="MT147" s="198"/>
      <c r="MU147" s="198"/>
      <c r="MV147" s="198"/>
      <c r="MW147" s="198"/>
      <c r="MX147" s="198"/>
      <c r="MY147" s="198"/>
      <c r="MZ147" s="198"/>
      <c r="NA147" s="198"/>
      <c r="NB147" s="198"/>
      <c r="NC147" s="198"/>
      <c r="ND147" s="198"/>
      <c r="NE147" s="198"/>
      <c r="NF147" s="198"/>
      <c r="NG147" s="198"/>
      <c r="NH147" s="198"/>
      <c r="NI147" s="198"/>
      <c r="NJ147" s="198"/>
      <c r="NK147" s="198"/>
      <c r="NL147" s="198"/>
      <c r="NM147" s="198"/>
      <c r="NN147" s="198"/>
      <c r="NO147" s="198"/>
      <c r="NP147" s="198"/>
      <c r="NQ147" s="198"/>
      <c r="NR147" s="198"/>
      <c r="NS147" s="198"/>
      <c r="NT147" s="198"/>
      <c r="NU147" s="198"/>
      <c r="NV147" s="198"/>
      <c r="NW147" s="198"/>
      <c r="NX147" s="198"/>
      <c r="NY147" s="198"/>
      <c r="NZ147" s="198"/>
      <c r="OA147" s="198"/>
      <c r="OB147" s="198"/>
      <c r="OC147" s="198"/>
      <c r="OD147" s="198"/>
      <c r="OE147" s="198"/>
      <c r="OF147" s="198"/>
      <c r="OG147" s="198"/>
      <c r="OH147" s="198"/>
      <c r="OI147" s="198"/>
      <c r="OJ147" s="198"/>
      <c r="OK147" s="198"/>
      <c r="OL147" s="198"/>
      <c r="OM147" s="198"/>
      <c r="ON147" s="198"/>
      <c r="OO147" s="198"/>
      <c r="OP147" s="198"/>
      <c r="OQ147" s="198"/>
      <c r="OR147" s="198"/>
      <c r="OS147" s="198"/>
      <c r="OT147" s="198"/>
      <c r="OU147" s="198"/>
      <c r="OV147" s="198"/>
      <c r="OW147" s="198"/>
      <c r="OX147" s="198"/>
      <c r="OY147" s="198"/>
      <c r="OZ147" s="198"/>
      <c r="PA147" s="198"/>
      <c r="PB147" s="198"/>
      <c r="PC147" s="198"/>
      <c r="PD147" s="198"/>
      <c r="PE147" s="198"/>
      <c r="PF147" s="198"/>
      <c r="PG147" s="198"/>
      <c r="PH147" s="198"/>
      <c r="PI147" s="198"/>
      <c r="PJ147" s="198"/>
      <c r="PK147" s="198"/>
      <c r="PL147" s="198"/>
      <c r="PM147" s="198"/>
      <c r="PN147" s="198"/>
      <c r="PO147" s="198"/>
      <c r="PP147" s="198"/>
      <c r="PQ147" s="198"/>
      <c r="PR147" s="198"/>
      <c r="PS147" s="198"/>
      <c r="PT147" s="198"/>
      <c r="PU147" s="198"/>
      <c r="PV147" s="198"/>
      <c r="PW147" s="198"/>
      <c r="PX147" s="198"/>
      <c r="PY147" s="198"/>
      <c r="PZ147" s="198"/>
      <c r="QA147" s="198"/>
      <c r="QB147" s="198"/>
      <c r="QC147" s="198"/>
      <c r="QD147" s="198"/>
      <c r="QE147" s="198"/>
      <c r="QF147" s="198"/>
      <c r="QG147" s="198"/>
      <c r="QH147" s="198"/>
      <c r="QI147" s="198"/>
      <c r="QJ147" s="198"/>
      <c r="QK147" s="198"/>
      <c r="QL147" s="198"/>
      <c r="QM147" s="198"/>
      <c r="QN147" s="198"/>
      <c r="QO147" s="198"/>
      <c r="QP147" s="198"/>
      <c r="QQ147" s="198"/>
      <c r="QR147" s="198"/>
      <c r="QS147" s="198"/>
      <c r="QT147" s="198"/>
      <c r="QU147" s="198"/>
      <c r="QV147" s="198"/>
      <c r="QW147" s="198"/>
      <c r="QX147" s="198"/>
      <c r="QY147" s="198"/>
      <c r="QZ147" s="198"/>
      <c r="RA147" s="198"/>
      <c r="RB147" s="198"/>
      <c r="RC147" s="198"/>
      <c r="RD147" s="198"/>
      <c r="RE147" s="198"/>
      <c r="RF147" s="198"/>
      <c r="RG147" s="198"/>
      <c r="RH147" s="198"/>
      <c r="RI147" s="198"/>
      <c r="RJ147" s="198"/>
      <c r="RK147" s="198"/>
      <c r="RL147" s="198"/>
      <c r="RM147" s="198"/>
      <c r="RN147" s="198"/>
      <c r="RO147" s="198"/>
      <c r="RP147" s="198"/>
      <c r="RQ147" s="198"/>
      <c r="RR147" s="198"/>
      <c r="RS147" s="198"/>
      <c r="RT147" s="198"/>
      <c r="RU147" s="198"/>
      <c r="RV147" s="198"/>
      <c r="RW147" s="198"/>
      <c r="RX147" s="198"/>
      <c r="RY147" s="198"/>
      <c r="RZ147" s="198"/>
      <c r="SA147" s="198"/>
      <c r="SB147" s="198"/>
      <c r="SC147" s="198"/>
      <c r="SD147" s="198"/>
      <c r="SE147" s="198"/>
      <c r="SF147" s="198"/>
      <c r="SG147" s="198"/>
      <c r="SH147" s="198"/>
      <c r="SI147" s="198"/>
      <c r="SJ147" s="198"/>
      <c r="SK147" s="198"/>
      <c r="SL147" s="198"/>
      <c r="SM147" s="198"/>
      <c r="SN147" s="198"/>
      <c r="SO147" s="198"/>
      <c r="SP147" s="198"/>
      <c r="SQ147" s="198"/>
      <c r="SR147" s="198"/>
      <c r="SS147" s="198"/>
      <c r="ST147" s="198"/>
      <c r="SU147" s="198"/>
      <c r="SV147" s="198"/>
      <c r="SW147" s="198"/>
      <c r="SX147" s="198"/>
      <c r="SY147" s="198"/>
      <c r="SZ147" s="198"/>
      <c r="TA147" s="198"/>
      <c r="TB147" s="198"/>
      <c r="TC147" s="198"/>
      <c r="TD147" s="198"/>
      <c r="TE147" s="198"/>
      <c r="TF147" s="198"/>
      <c r="TG147" s="198"/>
      <c r="TH147" s="198"/>
      <c r="TI147" s="198"/>
      <c r="TJ147" s="198"/>
      <c r="TK147" s="198"/>
      <c r="TL147" s="198"/>
      <c r="TM147" s="198"/>
      <c r="TN147" s="198"/>
      <c r="TO147" s="198"/>
      <c r="TP147" s="198"/>
      <c r="TQ147" s="198"/>
      <c r="TR147" s="198"/>
      <c r="TS147" s="198"/>
      <c r="TT147" s="198"/>
      <c r="TU147" s="198"/>
      <c r="TV147" s="198"/>
      <c r="TW147" s="198"/>
      <c r="TX147" s="198"/>
      <c r="TY147" s="198"/>
      <c r="TZ147" s="198"/>
      <c r="UA147" s="198"/>
      <c r="UB147" s="198"/>
      <c r="UC147" s="198"/>
      <c r="UD147" s="198"/>
      <c r="UE147" s="198"/>
      <c r="UF147" s="198"/>
      <c r="UG147" s="198"/>
      <c r="UH147" s="198"/>
      <c r="UI147" s="198"/>
      <c r="UJ147" s="198"/>
      <c r="UK147" s="198"/>
      <c r="UL147" s="198"/>
      <c r="UM147" s="198"/>
      <c r="UN147" s="198"/>
      <c r="UO147" s="198"/>
      <c r="UP147" s="198"/>
      <c r="UQ147" s="198"/>
      <c r="UR147" s="198"/>
      <c r="US147" s="198"/>
      <c r="UT147" s="198"/>
      <c r="UU147" s="198"/>
      <c r="UV147" s="198"/>
      <c r="UW147" s="198"/>
      <c r="UX147" s="198"/>
      <c r="UY147" s="198"/>
      <c r="UZ147" s="198"/>
      <c r="VA147" s="198"/>
      <c r="VB147" s="198"/>
      <c r="VC147" s="198"/>
      <c r="VD147" s="198"/>
      <c r="VE147" s="198"/>
      <c r="VF147" s="198"/>
      <c r="VG147" s="198"/>
      <c r="VH147" s="198"/>
      <c r="VI147" s="198"/>
      <c r="VJ147" s="198"/>
      <c r="VK147" s="198"/>
      <c r="VL147" s="198"/>
      <c r="VM147" s="198"/>
      <c r="VN147" s="198"/>
      <c r="VO147" s="198"/>
      <c r="VP147" s="198"/>
      <c r="VQ147" s="198"/>
      <c r="VR147" s="198"/>
      <c r="VS147" s="198"/>
      <c r="VT147" s="198"/>
      <c r="VU147" s="198"/>
      <c r="VV147" s="198"/>
      <c r="VW147" s="198"/>
      <c r="VX147" s="198"/>
      <c r="VY147" s="198"/>
      <c r="VZ147" s="198"/>
      <c r="WA147" s="198"/>
      <c r="WB147" s="198"/>
      <c r="WC147" s="198"/>
      <c r="WD147" s="198"/>
      <c r="WE147" s="198"/>
      <c r="WF147" s="198"/>
      <c r="WG147" s="198"/>
      <c r="WH147" s="198"/>
      <c r="WI147" s="198"/>
      <c r="WJ147" s="198"/>
      <c r="WK147" s="198"/>
      <c r="WL147" s="198"/>
      <c r="WM147" s="198"/>
      <c r="WN147" s="198"/>
      <c r="WO147" s="198"/>
      <c r="WP147" s="198"/>
      <c r="WQ147" s="198"/>
      <c r="WR147" s="198"/>
      <c r="WS147" s="198"/>
      <c r="WT147" s="198"/>
      <c r="WU147" s="198"/>
      <c r="WV147" s="198"/>
      <c r="WW147" s="198"/>
      <c r="WX147" s="198"/>
      <c r="WY147" s="198"/>
      <c r="WZ147" s="198"/>
      <c r="XA147" s="198"/>
      <c r="XB147" s="198"/>
      <c r="XC147" s="198"/>
      <c r="XD147" s="198"/>
      <c r="XE147" s="198"/>
      <c r="XF147" s="198"/>
      <c r="XG147" s="198"/>
      <c r="XH147" s="198"/>
      <c r="XI147" s="198"/>
      <c r="XJ147" s="198"/>
      <c r="XK147" s="198"/>
      <c r="XL147" s="198"/>
      <c r="XM147" s="198"/>
      <c r="XN147" s="198"/>
      <c r="XO147" s="198"/>
      <c r="XP147" s="198"/>
      <c r="XQ147" s="198"/>
      <c r="XR147" s="198"/>
      <c r="XS147" s="198"/>
      <c r="XT147" s="198"/>
      <c r="XU147" s="198"/>
      <c r="XV147" s="198"/>
      <c r="XW147" s="198"/>
      <c r="XX147" s="198"/>
      <c r="XY147" s="198"/>
      <c r="XZ147" s="198"/>
      <c r="YA147" s="198"/>
      <c r="YB147" s="198"/>
      <c r="YC147" s="198"/>
      <c r="YD147" s="198"/>
      <c r="YE147" s="198"/>
      <c r="YF147" s="198"/>
      <c r="YG147" s="198"/>
      <c r="YH147" s="198"/>
      <c r="YI147" s="198"/>
      <c r="YJ147" s="198"/>
      <c r="YK147" s="198"/>
      <c r="YL147" s="198"/>
      <c r="YM147" s="198"/>
      <c r="YN147" s="198"/>
      <c r="YO147" s="198"/>
      <c r="YP147" s="198"/>
      <c r="YQ147" s="198"/>
      <c r="YR147" s="198"/>
      <c r="YS147" s="198"/>
      <c r="YT147" s="198"/>
      <c r="YU147" s="198"/>
      <c r="YV147" s="198"/>
      <c r="YW147" s="198"/>
      <c r="YX147" s="198"/>
      <c r="YY147" s="198"/>
      <c r="YZ147" s="198"/>
      <c r="ZA147" s="198"/>
      <c r="ZB147" s="198"/>
      <c r="ZC147" s="198"/>
      <c r="ZD147" s="198"/>
      <c r="ZE147" s="198"/>
      <c r="ZF147" s="198"/>
      <c r="ZG147" s="198"/>
      <c r="ZH147" s="198"/>
      <c r="ZI147" s="198"/>
      <c r="ZJ147" s="198"/>
      <c r="ZK147" s="198"/>
      <c r="ZL147" s="198"/>
      <c r="ZM147" s="198"/>
      <c r="ZN147" s="198"/>
      <c r="ZO147" s="198"/>
      <c r="ZP147" s="198"/>
      <c r="ZQ147" s="198"/>
      <c r="ZR147" s="198"/>
      <c r="ZS147" s="198"/>
      <c r="ZT147" s="198"/>
      <c r="ZU147" s="198"/>
      <c r="ZV147" s="198"/>
      <c r="ZW147" s="198"/>
      <c r="ZX147" s="198"/>
      <c r="ZY147" s="198"/>
      <c r="ZZ147" s="198"/>
      <c r="AAA147" s="198"/>
      <c r="AAB147" s="198"/>
      <c r="AAC147" s="198"/>
      <c r="AAD147" s="198"/>
      <c r="AAE147" s="198"/>
      <c r="AAF147" s="198"/>
      <c r="AAG147" s="198"/>
      <c r="AAH147" s="198"/>
      <c r="AAI147" s="198"/>
      <c r="AAJ147" s="198"/>
      <c r="AAK147" s="198"/>
      <c r="AAL147" s="198"/>
      <c r="AAM147" s="198"/>
      <c r="AAN147" s="198"/>
      <c r="AAO147" s="198"/>
      <c r="AAP147" s="198"/>
      <c r="AAQ147" s="198"/>
      <c r="AAR147" s="198"/>
      <c r="AAS147" s="198"/>
      <c r="AAT147" s="198"/>
      <c r="AAU147" s="198"/>
      <c r="AAV147" s="198"/>
      <c r="AAW147" s="198"/>
      <c r="AAX147" s="198"/>
      <c r="AAY147" s="198"/>
      <c r="AAZ147" s="198"/>
      <c r="ABA147" s="198"/>
      <c r="ABB147" s="198"/>
      <c r="ABC147" s="198"/>
      <c r="ABD147" s="198"/>
      <c r="ABE147" s="198"/>
      <c r="ABF147" s="198"/>
      <c r="ABG147" s="198"/>
      <c r="ABH147" s="198"/>
      <c r="ABI147" s="198"/>
      <c r="ABJ147" s="198"/>
      <c r="ABK147" s="198"/>
      <c r="ABL147" s="198"/>
      <c r="ABM147" s="198"/>
      <c r="ABN147" s="198"/>
      <c r="ABO147" s="198"/>
      <c r="ABP147" s="198"/>
      <c r="ABQ147" s="198"/>
      <c r="ABR147" s="198"/>
      <c r="ABS147" s="198"/>
      <c r="ABT147" s="198"/>
      <c r="ABU147" s="198"/>
      <c r="ABV147" s="198"/>
      <c r="ABW147" s="198"/>
      <c r="ABX147" s="198"/>
      <c r="ABY147" s="198"/>
      <c r="ABZ147" s="198"/>
      <c r="ACA147" s="198"/>
      <c r="ACB147" s="198"/>
      <c r="ACC147" s="198"/>
      <c r="ACD147" s="198"/>
      <c r="ACE147" s="198"/>
      <c r="ACF147" s="198"/>
      <c r="ACG147" s="198"/>
      <c r="ACH147" s="198"/>
      <c r="ACI147" s="198"/>
      <c r="ACJ147" s="198"/>
      <c r="ACK147" s="198"/>
      <c r="ACL147" s="198"/>
      <c r="ACM147" s="198"/>
      <c r="ACN147" s="198"/>
      <c r="ACO147" s="198"/>
      <c r="ACP147" s="198"/>
      <c r="ACQ147" s="198"/>
      <c r="ACR147" s="198"/>
      <c r="ACS147" s="198"/>
      <c r="ACT147" s="198"/>
      <c r="ACU147" s="198"/>
      <c r="ACV147" s="198"/>
      <c r="ACW147" s="198"/>
      <c r="ACX147" s="198"/>
      <c r="ACY147" s="198"/>
      <c r="ACZ147" s="198"/>
      <c r="ADA147" s="198"/>
      <c r="ADB147" s="198"/>
      <c r="ADC147" s="198"/>
      <c r="ADD147" s="198"/>
      <c r="ADE147" s="198"/>
      <c r="ADF147" s="198"/>
      <c r="ADG147" s="198"/>
      <c r="ADH147" s="198"/>
      <c r="ADI147" s="198"/>
      <c r="ADJ147" s="198"/>
      <c r="ADK147" s="198"/>
      <c r="ADL147" s="198"/>
      <c r="ADM147" s="198"/>
      <c r="ADN147" s="198"/>
      <c r="ADO147" s="198"/>
      <c r="ADP147" s="198"/>
      <c r="ADQ147" s="198"/>
      <c r="ADR147" s="198"/>
      <c r="ADS147" s="198"/>
      <c r="ADT147" s="198"/>
      <c r="ADU147" s="198"/>
      <c r="ADV147" s="198"/>
      <c r="ADW147" s="198"/>
      <c r="ADX147" s="198"/>
      <c r="ADY147" s="198"/>
      <c r="ADZ147" s="198"/>
      <c r="AEA147" s="198"/>
      <c r="AEB147" s="198"/>
      <c r="AEC147" s="198"/>
      <c r="AED147" s="198"/>
      <c r="AEE147" s="198"/>
      <c r="AEF147" s="198"/>
      <c r="AEG147" s="198"/>
      <c r="AEH147" s="198"/>
      <c r="AEI147" s="198"/>
      <c r="AEJ147" s="198"/>
      <c r="AEK147" s="198"/>
      <c r="AEL147" s="198"/>
      <c r="AEM147" s="198"/>
      <c r="AEN147" s="198"/>
      <c r="AEO147" s="198"/>
      <c r="AEP147" s="198"/>
      <c r="AEQ147" s="198"/>
      <c r="AER147" s="198"/>
      <c r="AES147" s="198"/>
      <c r="AET147" s="198"/>
      <c r="AEU147" s="198"/>
      <c r="AEV147" s="198"/>
      <c r="AEW147" s="198"/>
      <c r="AEX147" s="198"/>
      <c r="AEY147" s="198"/>
      <c r="AEZ147" s="198"/>
      <c r="AFA147" s="198"/>
      <c r="AFB147" s="198"/>
      <c r="AFC147" s="198"/>
      <c r="AFD147" s="198"/>
      <c r="AFE147" s="198"/>
      <c r="AFF147" s="198"/>
      <c r="AFG147" s="198"/>
      <c r="AFH147" s="198"/>
      <c r="AFI147" s="198"/>
      <c r="AFJ147" s="198"/>
      <c r="AFK147" s="198"/>
      <c r="AFL147" s="198"/>
      <c r="AFM147" s="198"/>
      <c r="AFN147" s="198"/>
      <c r="AFO147" s="198"/>
      <c r="AFP147" s="198"/>
      <c r="AFQ147" s="198"/>
      <c r="AFR147" s="198"/>
      <c r="AFS147" s="198"/>
      <c r="AFT147" s="198"/>
      <c r="AFU147" s="198"/>
      <c r="AFV147" s="198"/>
      <c r="AFW147" s="198"/>
      <c r="AFX147" s="198"/>
      <c r="AFY147" s="198"/>
      <c r="AFZ147" s="198"/>
      <c r="AGA147" s="198"/>
      <c r="AGB147" s="198"/>
      <c r="AGC147" s="198"/>
      <c r="AGD147" s="198"/>
      <c r="AGE147" s="198"/>
      <c r="AGF147" s="198"/>
      <c r="AGG147" s="198"/>
      <c r="AGH147" s="198"/>
      <c r="AGI147" s="198"/>
      <c r="AGJ147" s="198"/>
      <c r="AGK147" s="198"/>
      <c r="AGL147" s="198"/>
      <c r="AGM147" s="198"/>
      <c r="AGN147" s="198"/>
      <c r="AGO147" s="198"/>
      <c r="AGP147" s="198"/>
      <c r="AGQ147" s="198"/>
      <c r="AGR147" s="198"/>
      <c r="AGS147" s="198"/>
      <c r="AGT147" s="198"/>
      <c r="AGU147" s="198"/>
      <c r="AGV147" s="198"/>
      <c r="AGW147" s="198"/>
      <c r="AGX147" s="198"/>
      <c r="AGY147" s="198"/>
      <c r="AGZ147" s="198"/>
      <c r="AHA147" s="198"/>
      <c r="AHB147" s="198"/>
      <c r="AHC147" s="198"/>
      <c r="AHD147" s="198"/>
      <c r="AHE147" s="198"/>
      <c r="AHF147" s="198"/>
      <c r="AHG147" s="198"/>
      <c r="AHH147" s="198"/>
      <c r="AHI147" s="198"/>
      <c r="AHJ147" s="198"/>
      <c r="AHK147" s="198"/>
      <c r="AHL147" s="198"/>
      <c r="AHM147" s="198"/>
      <c r="AHN147" s="198"/>
      <c r="AHO147" s="198"/>
      <c r="AHP147" s="198"/>
      <c r="AHQ147" s="198"/>
      <c r="AHR147" s="198"/>
      <c r="AHS147" s="198"/>
      <c r="AHT147" s="198"/>
      <c r="AHU147" s="198"/>
      <c r="AHV147" s="198"/>
      <c r="AHW147" s="198"/>
      <c r="AHX147" s="198"/>
      <c r="AHY147" s="198"/>
      <c r="AHZ147" s="198"/>
      <c r="AIA147" s="198"/>
      <c r="AIB147" s="198"/>
      <c r="AIC147" s="198"/>
      <c r="AID147" s="198"/>
      <c r="AIE147" s="198"/>
      <c r="AIF147" s="198"/>
      <c r="AIG147" s="198"/>
      <c r="AIH147" s="198"/>
      <c r="AII147" s="198"/>
      <c r="AIJ147" s="198"/>
      <c r="AIK147" s="198"/>
      <c r="AIL147" s="198"/>
      <c r="AIM147" s="198"/>
      <c r="AIN147" s="198"/>
      <c r="AIO147" s="198"/>
      <c r="AIP147" s="198"/>
      <c r="AIQ147" s="198"/>
      <c r="AIR147" s="198"/>
      <c r="AIS147" s="198"/>
      <c r="AIT147" s="198"/>
      <c r="AIU147" s="198"/>
      <c r="AIV147" s="198"/>
      <c r="AIW147" s="198"/>
      <c r="AIX147" s="198"/>
      <c r="AIY147" s="198"/>
      <c r="AIZ147" s="198"/>
      <c r="AJA147" s="198"/>
      <c r="AJB147" s="198"/>
      <c r="AJC147" s="198"/>
      <c r="AJD147" s="198"/>
      <c r="AJE147" s="198"/>
      <c r="AJF147" s="198"/>
      <c r="AJG147" s="198"/>
      <c r="AJH147" s="198"/>
      <c r="AJI147" s="198"/>
      <c r="AJJ147" s="198"/>
      <c r="AJK147" s="198"/>
      <c r="AJL147" s="198"/>
      <c r="AJM147" s="198"/>
      <c r="AJN147" s="198"/>
      <c r="AJO147" s="198"/>
      <c r="AJP147" s="198"/>
      <c r="AJQ147" s="198"/>
      <c r="AJR147" s="198"/>
      <c r="AJS147" s="198"/>
      <c r="AJT147" s="198"/>
      <c r="AJU147" s="198"/>
      <c r="AJV147" s="198"/>
      <c r="AJW147" s="198"/>
      <c r="AJX147" s="198"/>
      <c r="AJY147" s="198"/>
      <c r="AJZ147" s="198"/>
      <c r="AKA147" s="198"/>
      <c r="AKB147" s="198"/>
      <c r="AKC147" s="198"/>
      <c r="AKD147" s="198"/>
      <c r="AKE147" s="198"/>
      <c r="AKF147" s="198"/>
      <c r="AKG147" s="198"/>
      <c r="AKH147" s="198"/>
      <c r="AKI147" s="198"/>
      <c r="AKJ147" s="198"/>
      <c r="AKK147" s="198"/>
      <c r="AKL147" s="198"/>
      <c r="AKM147" s="198"/>
      <c r="AKN147" s="198"/>
      <c r="AKO147" s="198"/>
      <c r="AKP147" s="198"/>
      <c r="AKQ147" s="198"/>
      <c r="AKR147" s="198"/>
      <c r="AKS147" s="198"/>
      <c r="AKT147" s="198"/>
      <c r="AKU147" s="198"/>
      <c r="AKV147" s="198"/>
      <c r="AKW147" s="198"/>
      <c r="AKX147" s="198"/>
      <c r="AKY147" s="198"/>
      <c r="AKZ147" s="198"/>
      <c r="ALA147" s="198"/>
      <c r="ALB147" s="198"/>
      <c r="ALC147" s="198"/>
      <c r="ALD147" s="198"/>
      <c r="ALE147" s="198"/>
      <c r="ALF147" s="198"/>
      <c r="ALG147" s="198"/>
      <c r="ALH147" s="198"/>
      <c r="ALI147" s="198"/>
      <c r="ALJ147" s="198"/>
      <c r="ALK147" s="198"/>
      <c r="ALL147" s="198"/>
      <c r="ALM147" s="198"/>
      <c r="ALN147" s="198"/>
      <c r="ALO147" s="198"/>
      <c r="ALP147" s="198"/>
      <c r="ALQ147" s="198"/>
      <c r="ALR147" s="198"/>
      <c r="ALS147" s="198"/>
      <c r="ALT147" s="198"/>
      <c r="ALU147" s="198"/>
      <c r="ALV147" s="198"/>
      <c r="ALW147" s="198"/>
      <c r="ALX147" s="198"/>
      <c r="ALY147" s="198"/>
      <c r="ALZ147" s="198"/>
      <c r="AMA147" s="198"/>
      <c r="AMB147" s="198"/>
      <c r="AMC147" s="198"/>
      <c r="AMD147" s="198"/>
      <c r="AME147" s="198"/>
      <c r="AMF147" s="198"/>
      <c r="AMG147" s="198"/>
      <c r="AMH147" s="198"/>
      <c r="AMI147" s="198"/>
      <c r="AMJ147" s="198"/>
    </row>
    <row r="148" s="196" customFormat="true" ht="15.75" hidden="false" customHeight="true" outlineLevel="0" collapsed="false">
      <c r="A148" s="198"/>
      <c r="B148" s="201"/>
      <c r="C148" s="202" t="s">
        <v>38</v>
      </c>
      <c r="D148" s="203" t="n">
        <f aca="false">SUM(D147+D145+D144+D143+D141+D140+D138+D137+D135+D134+D132+D131+D130+D126)+D127+D128</f>
        <v>450</v>
      </c>
      <c r="E148" s="68"/>
      <c r="F148" s="204" t="n">
        <f aca="false">F125+F129+F133+F136+F139+F142+F146</f>
        <v>20</v>
      </c>
      <c r="G148" s="205"/>
      <c r="H148" s="201"/>
      <c r="I148" s="202" t="s">
        <v>38</v>
      </c>
      <c r="J148" s="203" t="n">
        <f aca="false">J126+J127+J128+J130+J131+J134+J136+J137+J139+J140+J143+J144+J145+J147+J141+J133</f>
        <v>450</v>
      </c>
      <c r="K148" s="68"/>
      <c r="L148" s="204" t="n">
        <f aca="false">L125+L129+L135+L132+L138+L142+L146</f>
        <v>20</v>
      </c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  <c r="AS148" s="198"/>
      <c r="AT148" s="198"/>
      <c r="AU148" s="198"/>
      <c r="AV148" s="198"/>
      <c r="AW148" s="198"/>
      <c r="AX148" s="198"/>
      <c r="AY148" s="198"/>
      <c r="AZ148" s="198"/>
      <c r="BA148" s="198"/>
      <c r="BB148" s="198"/>
      <c r="BC148" s="198"/>
      <c r="BD148" s="198"/>
      <c r="BE148" s="198"/>
      <c r="BF148" s="198"/>
      <c r="BG148" s="198"/>
      <c r="BH148" s="198"/>
      <c r="BI148" s="198"/>
      <c r="BJ148" s="198"/>
      <c r="BK148" s="198"/>
      <c r="BL148" s="198"/>
      <c r="BM148" s="198"/>
      <c r="BN148" s="198"/>
      <c r="BO148" s="198"/>
      <c r="BP148" s="198"/>
      <c r="BQ148" s="198"/>
      <c r="BR148" s="198"/>
      <c r="BS148" s="198"/>
      <c r="BT148" s="198"/>
      <c r="BU148" s="198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198"/>
      <c r="CF148" s="198"/>
      <c r="CG148" s="198"/>
      <c r="CH148" s="198"/>
      <c r="CI148" s="198"/>
      <c r="CJ148" s="198"/>
      <c r="CK148" s="198"/>
      <c r="CL148" s="198"/>
      <c r="CM148" s="198"/>
      <c r="CN148" s="198"/>
      <c r="CO148" s="198"/>
      <c r="CP148" s="198"/>
      <c r="CQ148" s="198"/>
      <c r="CR148" s="198"/>
      <c r="CS148" s="198"/>
      <c r="CT148" s="198"/>
      <c r="CU148" s="198"/>
      <c r="CV148" s="198"/>
      <c r="CW148" s="198"/>
      <c r="CX148" s="198"/>
      <c r="CY148" s="198"/>
      <c r="CZ148" s="198"/>
      <c r="DA148" s="198"/>
      <c r="DB148" s="198"/>
      <c r="DC148" s="198"/>
      <c r="DD148" s="198"/>
      <c r="DE148" s="198"/>
      <c r="DF148" s="198"/>
      <c r="DG148" s="198"/>
      <c r="DH148" s="198"/>
      <c r="DI148" s="198"/>
      <c r="DJ148" s="198"/>
      <c r="DK148" s="198"/>
      <c r="DL148" s="198"/>
      <c r="DM148" s="198"/>
      <c r="DN148" s="198"/>
      <c r="DO148" s="198"/>
      <c r="DP148" s="198"/>
      <c r="DQ148" s="198"/>
      <c r="DR148" s="198"/>
      <c r="DS148" s="198"/>
      <c r="DT148" s="198"/>
      <c r="DU148" s="198"/>
      <c r="DV148" s="198"/>
      <c r="DW148" s="198"/>
      <c r="DX148" s="198"/>
      <c r="DY148" s="198"/>
      <c r="DZ148" s="198"/>
      <c r="EA148" s="198"/>
      <c r="EB148" s="198"/>
      <c r="EC148" s="198"/>
      <c r="ED148" s="198"/>
      <c r="EE148" s="198"/>
      <c r="EF148" s="198"/>
      <c r="EG148" s="198"/>
      <c r="EH148" s="198"/>
      <c r="EI148" s="198"/>
      <c r="EJ148" s="198"/>
      <c r="EK148" s="198"/>
      <c r="EL148" s="198"/>
      <c r="EM148" s="198"/>
      <c r="EN148" s="198"/>
      <c r="EO148" s="198"/>
      <c r="EP148" s="198"/>
      <c r="EQ148" s="198"/>
      <c r="ER148" s="198"/>
      <c r="ES148" s="198"/>
      <c r="ET148" s="198"/>
      <c r="EU148" s="198"/>
      <c r="EV148" s="198"/>
      <c r="EW148" s="198"/>
      <c r="EX148" s="198"/>
      <c r="EY148" s="198"/>
      <c r="EZ148" s="198"/>
      <c r="FA148" s="198"/>
      <c r="FB148" s="198"/>
      <c r="FC148" s="198"/>
      <c r="FD148" s="198"/>
      <c r="FE148" s="198"/>
      <c r="FF148" s="198"/>
      <c r="FG148" s="198"/>
      <c r="FH148" s="198"/>
      <c r="FI148" s="198"/>
      <c r="FJ148" s="198"/>
      <c r="FK148" s="198"/>
      <c r="FL148" s="198"/>
      <c r="FM148" s="198"/>
      <c r="FN148" s="198"/>
      <c r="FO148" s="198"/>
      <c r="FP148" s="198"/>
      <c r="FQ148" s="198"/>
      <c r="FR148" s="198"/>
      <c r="FS148" s="198"/>
      <c r="FT148" s="198"/>
      <c r="FU148" s="198"/>
      <c r="FV148" s="198"/>
      <c r="FW148" s="198"/>
      <c r="FX148" s="198"/>
      <c r="FY148" s="198"/>
      <c r="FZ148" s="198"/>
      <c r="GA148" s="198"/>
      <c r="GB148" s="198"/>
      <c r="GC148" s="198"/>
      <c r="GD148" s="198"/>
      <c r="GE148" s="198"/>
      <c r="GF148" s="198"/>
      <c r="GG148" s="198"/>
      <c r="GH148" s="198"/>
      <c r="GI148" s="198"/>
      <c r="GJ148" s="198"/>
      <c r="GK148" s="198"/>
      <c r="GL148" s="198"/>
      <c r="GM148" s="198"/>
      <c r="GN148" s="198"/>
      <c r="GO148" s="198"/>
      <c r="GP148" s="198"/>
      <c r="GQ148" s="198"/>
      <c r="GR148" s="198"/>
      <c r="GS148" s="198"/>
      <c r="GT148" s="198"/>
      <c r="GU148" s="198"/>
      <c r="GV148" s="198"/>
      <c r="GW148" s="198"/>
      <c r="GX148" s="198"/>
      <c r="GY148" s="198"/>
      <c r="GZ148" s="198"/>
      <c r="HA148" s="198"/>
      <c r="HB148" s="198"/>
      <c r="HC148" s="198"/>
      <c r="HD148" s="198"/>
      <c r="HE148" s="198"/>
      <c r="HF148" s="198"/>
      <c r="HG148" s="198"/>
      <c r="HH148" s="198"/>
      <c r="HI148" s="198"/>
      <c r="HJ148" s="198"/>
      <c r="HK148" s="198"/>
      <c r="HL148" s="198"/>
      <c r="HM148" s="198"/>
      <c r="HN148" s="198"/>
      <c r="HO148" s="198"/>
      <c r="HP148" s="198"/>
      <c r="HQ148" s="198"/>
      <c r="HR148" s="198"/>
      <c r="HS148" s="198"/>
      <c r="HT148" s="198"/>
      <c r="HU148" s="198"/>
      <c r="HV148" s="198"/>
      <c r="HW148" s="198"/>
      <c r="HX148" s="198"/>
      <c r="HY148" s="198"/>
      <c r="HZ148" s="198"/>
      <c r="IA148" s="198"/>
      <c r="IB148" s="198"/>
      <c r="IC148" s="198"/>
      <c r="ID148" s="198"/>
      <c r="IE148" s="198"/>
      <c r="IF148" s="198"/>
      <c r="IG148" s="198"/>
      <c r="IH148" s="198"/>
      <c r="II148" s="198"/>
      <c r="IJ148" s="198"/>
      <c r="IK148" s="198"/>
      <c r="IL148" s="198"/>
      <c r="IM148" s="198"/>
      <c r="IN148" s="198"/>
      <c r="IO148" s="198"/>
      <c r="IP148" s="198"/>
      <c r="IQ148" s="198"/>
      <c r="IR148" s="198"/>
      <c r="IS148" s="198"/>
      <c r="IT148" s="198"/>
      <c r="IU148" s="198"/>
      <c r="IV148" s="198"/>
      <c r="IW148" s="198"/>
      <c r="IX148" s="198"/>
      <c r="IY148" s="198"/>
      <c r="IZ148" s="198"/>
      <c r="JA148" s="198"/>
      <c r="JB148" s="198"/>
      <c r="JC148" s="198"/>
      <c r="JD148" s="198"/>
      <c r="JE148" s="198"/>
      <c r="JF148" s="198"/>
      <c r="JG148" s="198"/>
      <c r="JH148" s="198"/>
      <c r="JI148" s="198"/>
      <c r="JJ148" s="198"/>
      <c r="JK148" s="198"/>
      <c r="JL148" s="198"/>
      <c r="JM148" s="198"/>
      <c r="JN148" s="198"/>
      <c r="JO148" s="198"/>
      <c r="JP148" s="198"/>
      <c r="JQ148" s="198"/>
      <c r="JR148" s="198"/>
      <c r="JS148" s="198"/>
      <c r="JT148" s="198"/>
      <c r="JU148" s="198"/>
      <c r="JV148" s="198"/>
      <c r="JW148" s="198"/>
      <c r="JX148" s="198"/>
      <c r="JY148" s="198"/>
      <c r="JZ148" s="198"/>
      <c r="KA148" s="198"/>
      <c r="KB148" s="198"/>
      <c r="KC148" s="198"/>
      <c r="KD148" s="198"/>
      <c r="KE148" s="198"/>
      <c r="KF148" s="198"/>
      <c r="KG148" s="198"/>
      <c r="KH148" s="198"/>
      <c r="KI148" s="198"/>
      <c r="KJ148" s="198"/>
      <c r="KK148" s="198"/>
      <c r="KL148" s="198"/>
      <c r="KM148" s="198"/>
      <c r="KN148" s="198"/>
      <c r="KO148" s="198"/>
      <c r="KP148" s="198"/>
      <c r="KQ148" s="198"/>
      <c r="KR148" s="198"/>
      <c r="KS148" s="198"/>
      <c r="KT148" s="198"/>
      <c r="KU148" s="198"/>
      <c r="KV148" s="198"/>
      <c r="KW148" s="198"/>
      <c r="KX148" s="198"/>
      <c r="KY148" s="198"/>
      <c r="KZ148" s="198"/>
      <c r="LA148" s="198"/>
      <c r="LB148" s="198"/>
      <c r="LC148" s="198"/>
      <c r="LD148" s="198"/>
      <c r="LE148" s="198"/>
      <c r="LF148" s="198"/>
      <c r="LG148" s="198"/>
      <c r="LH148" s="198"/>
      <c r="LI148" s="198"/>
      <c r="LJ148" s="198"/>
      <c r="LK148" s="198"/>
      <c r="LL148" s="198"/>
      <c r="LM148" s="198"/>
      <c r="LN148" s="198"/>
      <c r="LO148" s="198"/>
      <c r="LP148" s="198"/>
      <c r="LQ148" s="198"/>
      <c r="LR148" s="198"/>
      <c r="LS148" s="198"/>
      <c r="LT148" s="198"/>
      <c r="LU148" s="198"/>
      <c r="LV148" s="198"/>
      <c r="LW148" s="198"/>
      <c r="LX148" s="198"/>
      <c r="LY148" s="198"/>
      <c r="LZ148" s="198"/>
      <c r="MA148" s="198"/>
      <c r="MB148" s="198"/>
      <c r="MC148" s="198"/>
      <c r="MD148" s="198"/>
      <c r="ME148" s="198"/>
      <c r="MF148" s="198"/>
      <c r="MG148" s="198"/>
      <c r="MH148" s="198"/>
      <c r="MI148" s="198"/>
      <c r="MJ148" s="198"/>
      <c r="MK148" s="198"/>
      <c r="ML148" s="198"/>
      <c r="MM148" s="198"/>
      <c r="MN148" s="198"/>
      <c r="MO148" s="198"/>
      <c r="MP148" s="198"/>
      <c r="MQ148" s="198"/>
      <c r="MR148" s="198"/>
      <c r="MS148" s="198"/>
      <c r="MT148" s="198"/>
      <c r="MU148" s="198"/>
      <c r="MV148" s="198"/>
      <c r="MW148" s="198"/>
      <c r="MX148" s="198"/>
      <c r="MY148" s="198"/>
      <c r="MZ148" s="198"/>
      <c r="NA148" s="198"/>
      <c r="NB148" s="198"/>
      <c r="NC148" s="198"/>
      <c r="ND148" s="198"/>
      <c r="NE148" s="198"/>
      <c r="NF148" s="198"/>
      <c r="NG148" s="198"/>
      <c r="NH148" s="198"/>
      <c r="NI148" s="198"/>
      <c r="NJ148" s="198"/>
      <c r="NK148" s="198"/>
      <c r="NL148" s="198"/>
      <c r="NM148" s="198"/>
      <c r="NN148" s="198"/>
      <c r="NO148" s="198"/>
      <c r="NP148" s="198"/>
      <c r="NQ148" s="198"/>
      <c r="NR148" s="198"/>
      <c r="NS148" s="198"/>
      <c r="NT148" s="198"/>
      <c r="NU148" s="198"/>
      <c r="NV148" s="198"/>
      <c r="NW148" s="198"/>
      <c r="NX148" s="198"/>
      <c r="NY148" s="198"/>
      <c r="NZ148" s="198"/>
      <c r="OA148" s="198"/>
      <c r="OB148" s="198"/>
      <c r="OC148" s="198"/>
      <c r="OD148" s="198"/>
      <c r="OE148" s="198"/>
      <c r="OF148" s="198"/>
      <c r="OG148" s="198"/>
      <c r="OH148" s="198"/>
      <c r="OI148" s="198"/>
      <c r="OJ148" s="198"/>
      <c r="OK148" s="198"/>
      <c r="OL148" s="198"/>
      <c r="OM148" s="198"/>
      <c r="ON148" s="198"/>
      <c r="OO148" s="198"/>
      <c r="OP148" s="198"/>
      <c r="OQ148" s="198"/>
      <c r="OR148" s="198"/>
      <c r="OS148" s="198"/>
      <c r="OT148" s="198"/>
      <c r="OU148" s="198"/>
      <c r="OV148" s="198"/>
      <c r="OW148" s="198"/>
      <c r="OX148" s="198"/>
      <c r="OY148" s="198"/>
      <c r="OZ148" s="198"/>
      <c r="PA148" s="198"/>
      <c r="PB148" s="198"/>
      <c r="PC148" s="198"/>
      <c r="PD148" s="198"/>
      <c r="PE148" s="198"/>
      <c r="PF148" s="198"/>
      <c r="PG148" s="198"/>
      <c r="PH148" s="198"/>
      <c r="PI148" s="198"/>
      <c r="PJ148" s="198"/>
      <c r="PK148" s="198"/>
      <c r="PL148" s="198"/>
      <c r="PM148" s="198"/>
      <c r="PN148" s="198"/>
      <c r="PO148" s="198"/>
      <c r="PP148" s="198"/>
      <c r="PQ148" s="198"/>
      <c r="PR148" s="198"/>
      <c r="PS148" s="198"/>
      <c r="PT148" s="198"/>
      <c r="PU148" s="198"/>
      <c r="PV148" s="198"/>
      <c r="PW148" s="198"/>
      <c r="PX148" s="198"/>
      <c r="PY148" s="198"/>
      <c r="PZ148" s="198"/>
      <c r="QA148" s="198"/>
      <c r="QB148" s="198"/>
      <c r="QC148" s="198"/>
      <c r="QD148" s="198"/>
      <c r="QE148" s="198"/>
      <c r="QF148" s="198"/>
      <c r="QG148" s="198"/>
      <c r="QH148" s="198"/>
      <c r="QI148" s="198"/>
      <c r="QJ148" s="198"/>
      <c r="QK148" s="198"/>
      <c r="QL148" s="198"/>
      <c r="QM148" s="198"/>
      <c r="QN148" s="198"/>
      <c r="QO148" s="198"/>
      <c r="QP148" s="198"/>
      <c r="QQ148" s="198"/>
      <c r="QR148" s="198"/>
      <c r="QS148" s="198"/>
      <c r="QT148" s="198"/>
      <c r="QU148" s="198"/>
      <c r="QV148" s="198"/>
      <c r="QW148" s="198"/>
      <c r="QX148" s="198"/>
      <c r="QY148" s="198"/>
      <c r="QZ148" s="198"/>
      <c r="RA148" s="198"/>
      <c r="RB148" s="198"/>
      <c r="RC148" s="198"/>
      <c r="RD148" s="198"/>
      <c r="RE148" s="198"/>
      <c r="RF148" s="198"/>
      <c r="RG148" s="198"/>
      <c r="RH148" s="198"/>
      <c r="RI148" s="198"/>
      <c r="RJ148" s="198"/>
      <c r="RK148" s="198"/>
      <c r="RL148" s="198"/>
      <c r="RM148" s="198"/>
      <c r="RN148" s="198"/>
      <c r="RO148" s="198"/>
      <c r="RP148" s="198"/>
      <c r="RQ148" s="198"/>
      <c r="RR148" s="198"/>
      <c r="RS148" s="198"/>
      <c r="RT148" s="198"/>
      <c r="RU148" s="198"/>
      <c r="RV148" s="198"/>
      <c r="RW148" s="198"/>
      <c r="RX148" s="198"/>
      <c r="RY148" s="198"/>
      <c r="RZ148" s="198"/>
      <c r="SA148" s="198"/>
      <c r="SB148" s="198"/>
      <c r="SC148" s="198"/>
      <c r="SD148" s="198"/>
      <c r="SE148" s="198"/>
      <c r="SF148" s="198"/>
      <c r="SG148" s="198"/>
      <c r="SH148" s="198"/>
      <c r="SI148" s="198"/>
      <c r="SJ148" s="198"/>
      <c r="SK148" s="198"/>
      <c r="SL148" s="198"/>
      <c r="SM148" s="198"/>
      <c r="SN148" s="198"/>
      <c r="SO148" s="198"/>
      <c r="SP148" s="198"/>
      <c r="SQ148" s="198"/>
      <c r="SR148" s="198"/>
      <c r="SS148" s="198"/>
      <c r="ST148" s="198"/>
      <c r="SU148" s="198"/>
      <c r="SV148" s="198"/>
      <c r="SW148" s="198"/>
      <c r="SX148" s="198"/>
      <c r="SY148" s="198"/>
      <c r="SZ148" s="198"/>
      <c r="TA148" s="198"/>
      <c r="TB148" s="198"/>
      <c r="TC148" s="198"/>
      <c r="TD148" s="198"/>
      <c r="TE148" s="198"/>
      <c r="TF148" s="198"/>
      <c r="TG148" s="198"/>
      <c r="TH148" s="198"/>
      <c r="TI148" s="198"/>
      <c r="TJ148" s="198"/>
      <c r="TK148" s="198"/>
      <c r="TL148" s="198"/>
      <c r="TM148" s="198"/>
      <c r="TN148" s="198"/>
      <c r="TO148" s="198"/>
      <c r="TP148" s="198"/>
      <c r="TQ148" s="198"/>
      <c r="TR148" s="198"/>
      <c r="TS148" s="198"/>
      <c r="TT148" s="198"/>
      <c r="TU148" s="198"/>
      <c r="TV148" s="198"/>
      <c r="TW148" s="198"/>
      <c r="TX148" s="198"/>
      <c r="TY148" s="198"/>
      <c r="TZ148" s="198"/>
      <c r="UA148" s="198"/>
      <c r="UB148" s="198"/>
      <c r="UC148" s="198"/>
      <c r="UD148" s="198"/>
      <c r="UE148" s="198"/>
      <c r="UF148" s="198"/>
      <c r="UG148" s="198"/>
      <c r="UH148" s="198"/>
      <c r="UI148" s="198"/>
      <c r="UJ148" s="198"/>
      <c r="UK148" s="198"/>
      <c r="UL148" s="198"/>
      <c r="UM148" s="198"/>
      <c r="UN148" s="198"/>
      <c r="UO148" s="198"/>
      <c r="UP148" s="198"/>
      <c r="UQ148" s="198"/>
      <c r="UR148" s="198"/>
      <c r="US148" s="198"/>
      <c r="UT148" s="198"/>
      <c r="UU148" s="198"/>
      <c r="UV148" s="198"/>
      <c r="UW148" s="198"/>
      <c r="UX148" s="198"/>
      <c r="UY148" s="198"/>
      <c r="UZ148" s="198"/>
      <c r="VA148" s="198"/>
      <c r="VB148" s="198"/>
      <c r="VC148" s="198"/>
      <c r="VD148" s="198"/>
      <c r="VE148" s="198"/>
      <c r="VF148" s="198"/>
      <c r="VG148" s="198"/>
      <c r="VH148" s="198"/>
      <c r="VI148" s="198"/>
      <c r="VJ148" s="198"/>
      <c r="VK148" s="198"/>
      <c r="VL148" s="198"/>
      <c r="VM148" s="198"/>
      <c r="VN148" s="198"/>
      <c r="VO148" s="198"/>
      <c r="VP148" s="198"/>
      <c r="VQ148" s="198"/>
      <c r="VR148" s="198"/>
      <c r="VS148" s="198"/>
      <c r="VT148" s="198"/>
      <c r="VU148" s="198"/>
      <c r="VV148" s="198"/>
      <c r="VW148" s="198"/>
      <c r="VX148" s="198"/>
      <c r="VY148" s="198"/>
      <c r="VZ148" s="198"/>
      <c r="WA148" s="198"/>
      <c r="WB148" s="198"/>
      <c r="WC148" s="198"/>
      <c r="WD148" s="198"/>
      <c r="WE148" s="198"/>
      <c r="WF148" s="198"/>
      <c r="WG148" s="198"/>
      <c r="WH148" s="198"/>
      <c r="WI148" s="198"/>
      <c r="WJ148" s="198"/>
      <c r="WK148" s="198"/>
      <c r="WL148" s="198"/>
      <c r="WM148" s="198"/>
      <c r="WN148" s="198"/>
      <c r="WO148" s="198"/>
      <c r="WP148" s="198"/>
      <c r="WQ148" s="198"/>
      <c r="WR148" s="198"/>
      <c r="WS148" s="198"/>
      <c r="WT148" s="198"/>
      <c r="WU148" s="198"/>
      <c r="WV148" s="198"/>
      <c r="WW148" s="198"/>
      <c r="WX148" s="198"/>
      <c r="WY148" s="198"/>
      <c r="WZ148" s="198"/>
      <c r="XA148" s="198"/>
      <c r="XB148" s="198"/>
      <c r="XC148" s="198"/>
      <c r="XD148" s="198"/>
      <c r="XE148" s="198"/>
      <c r="XF148" s="198"/>
      <c r="XG148" s="198"/>
      <c r="XH148" s="198"/>
      <c r="XI148" s="198"/>
      <c r="XJ148" s="198"/>
      <c r="XK148" s="198"/>
      <c r="XL148" s="198"/>
      <c r="XM148" s="198"/>
      <c r="XN148" s="198"/>
      <c r="XO148" s="198"/>
      <c r="XP148" s="198"/>
      <c r="XQ148" s="198"/>
      <c r="XR148" s="198"/>
      <c r="XS148" s="198"/>
      <c r="XT148" s="198"/>
      <c r="XU148" s="198"/>
      <c r="XV148" s="198"/>
      <c r="XW148" s="198"/>
      <c r="XX148" s="198"/>
      <c r="XY148" s="198"/>
      <c r="XZ148" s="198"/>
      <c r="YA148" s="198"/>
      <c r="YB148" s="198"/>
      <c r="YC148" s="198"/>
      <c r="YD148" s="198"/>
      <c r="YE148" s="198"/>
      <c r="YF148" s="198"/>
      <c r="YG148" s="198"/>
      <c r="YH148" s="198"/>
      <c r="YI148" s="198"/>
      <c r="YJ148" s="198"/>
      <c r="YK148" s="198"/>
      <c r="YL148" s="198"/>
      <c r="YM148" s="198"/>
      <c r="YN148" s="198"/>
      <c r="YO148" s="198"/>
      <c r="YP148" s="198"/>
      <c r="YQ148" s="198"/>
      <c r="YR148" s="198"/>
      <c r="YS148" s="198"/>
      <c r="YT148" s="198"/>
      <c r="YU148" s="198"/>
      <c r="YV148" s="198"/>
      <c r="YW148" s="198"/>
      <c r="YX148" s="198"/>
      <c r="YY148" s="198"/>
      <c r="YZ148" s="198"/>
      <c r="ZA148" s="198"/>
      <c r="ZB148" s="198"/>
      <c r="ZC148" s="198"/>
      <c r="ZD148" s="198"/>
      <c r="ZE148" s="198"/>
      <c r="ZF148" s="198"/>
      <c r="ZG148" s="198"/>
      <c r="ZH148" s="198"/>
      <c r="ZI148" s="198"/>
      <c r="ZJ148" s="198"/>
      <c r="ZK148" s="198"/>
      <c r="ZL148" s="198"/>
      <c r="ZM148" s="198"/>
      <c r="ZN148" s="198"/>
      <c r="ZO148" s="198"/>
      <c r="ZP148" s="198"/>
      <c r="ZQ148" s="198"/>
      <c r="ZR148" s="198"/>
      <c r="ZS148" s="198"/>
      <c r="ZT148" s="198"/>
      <c r="ZU148" s="198"/>
      <c r="ZV148" s="198"/>
      <c r="ZW148" s="198"/>
      <c r="ZX148" s="198"/>
      <c r="ZY148" s="198"/>
      <c r="ZZ148" s="198"/>
      <c r="AAA148" s="198"/>
      <c r="AAB148" s="198"/>
      <c r="AAC148" s="198"/>
      <c r="AAD148" s="198"/>
      <c r="AAE148" s="198"/>
      <c r="AAF148" s="198"/>
      <c r="AAG148" s="198"/>
      <c r="AAH148" s="198"/>
      <c r="AAI148" s="198"/>
      <c r="AAJ148" s="198"/>
      <c r="AAK148" s="198"/>
      <c r="AAL148" s="198"/>
      <c r="AAM148" s="198"/>
      <c r="AAN148" s="198"/>
      <c r="AAO148" s="198"/>
      <c r="AAP148" s="198"/>
      <c r="AAQ148" s="198"/>
      <c r="AAR148" s="198"/>
      <c r="AAS148" s="198"/>
      <c r="AAT148" s="198"/>
      <c r="AAU148" s="198"/>
      <c r="AAV148" s="198"/>
      <c r="AAW148" s="198"/>
      <c r="AAX148" s="198"/>
      <c r="AAY148" s="198"/>
      <c r="AAZ148" s="198"/>
      <c r="ABA148" s="198"/>
      <c r="ABB148" s="198"/>
      <c r="ABC148" s="198"/>
      <c r="ABD148" s="198"/>
      <c r="ABE148" s="198"/>
      <c r="ABF148" s="198"/>
      <c r="ABG148" s="198"/>
      <c r="ABH148" s="198"/>
      <c r="ABI148" s="198"/>
      <c r="ABJ148" s="198"/>
      <c r="ABK148" s="198"/>
      <c r="ABL148" s="198"/>
      <c r="ABM148" s="198"/>
      <c r="ABN148" s="198"/>
      <c r="ABO148" s="198"/>
      <c r="ABP148" s="198"/>
      <c r="ABQ148" s="198"/>
      <c r="ABR148" s="198"/>
      <c r="ABS148" s="198"/>
      <c r="ABT148" s="198"/>
      <c r="ABU148" s="198"/>
      <c r="ABV148" s="198"/>
      <c r="ABW148" s="198"/>
      <c r="ABX148" s="198"/>
      <c r="ABY148" s="198"/>
      <c r="ABZ148" s="198"/>
      <c r="ACA148" s="198"/>
      <c r="ACB148" s="198"/>
      <c r="ACC148" s="198"/>
      <c r="ACD148" s="198"/>
      <c r="ACE148" s="198"/>
      <c r="ACF148" s="198"/>
      <c r="ACG148" s="198"/>
      <c r="ACH148" s="198"/>
      <c r="ACI148" s="198"/>
      <c r="ACJ148" s="198"/>
      <c r="ACK148" s="198"/>
      <c r="ACL148" s="198"/>
      <c r="ACM148" s="198"/>
      <c r="ACN148" s="198"/>
      <c r="ACO148" s="198"/>
      <c r="ACP148" s="198"/>
      <c r="ACQ148" s="198"/>
      <c r="ACR148" s="198"/>
      <c r="ACS148" s="198"/>
      <c r="ACT148" s="198"/>
      <c r="ACU148" s="198"/>
      <c r="ACV148" s="198"/>
      <c r="ACW148" s="198"/>
      <c r="ACX148" s="198"/>
      <c r="ACY148" s="198"/>
      <c r="ACZ148" s="198"/>
      <c r="ADA148" s="198"/>
      <c r="ADB148" s="198"/>
      <c r="ADC148" s="198"/>
      <c r="ADD148" s="198"/>
      <c r="ADE148" s="198"/>
      <c r="ADF148" s="198"/>
      <c r="ADG148" s="198"/>
      <c r="ADH148" s="198"/>
      <c r="ADI148" s="198"/>
      <c r="ADJ148" s="198"/>
      <c r="ADK148" s="198"/>
      <c r="ADL148" s="198"/>
      <c r="ADM148" s="198"/>
      <c r="ADN148" s="198"/>
      <c r="ADO148" s="198"/>
      <c r="ADP148" s="198"/>
      <c r="ADQ148" s="198"/>
      <c r="ADR148" s="198"/>
      <c r="ADS148" s="198"/>
      <c r="ADT148" s="198"/>
      <c r="ADU148" s="198"/>
      <c r="ADV148" s="198"/>
      <c r="ADW148" s="198"/>
      <c r="ADX148" s="198"/>
      <c r="ADY148" s="198"/>
      <c r="ADZ148" s="198"/>
      <c r="AEA148" s="198"/>
      <c r="AEB148" s="198"/>
      <c r="AEC148" s="198"/>
      <c r="AED148" s="198"/>
      <c r="AEE148" s="198"/>
      <c r="AEF148" s="198"/>
      <c r="AEG148" s="198"/>
      <c r="AEH148" s="198"/>
      <c r="AEI148" s="198"/>
      <c r="AEJ148" s="198"/>
      <c r="AEK148" s="198"/>
      <c r="AEL148" s="198"/>
      <c r="AEM148" s="198"/>
      <c r="AEN148" s="198"/>
      <c r="AEO148" s="198"/>
      <c r="AEP148" s="198"/>
      <c r="AEQ148" s="198"/>
      <c r="AER148" s="198"/>
      <c r="AES148" s="198"/>
      <c r="AET148" s="198"/>
      <c r="AEU148" s="198"/>
      <c r="AEV148" s="198"/>
      <c r="AEW148" s="198"/>
      <c r="AEX148" s="198"/>
      <c r="AEY148" s="198"/>
      <c r="AEZ148" s="198"/>
      <c r="AFA148" s="198"/>
      <c r="AFB148" s="198"/>
      <c r="AFC148" s="198"/>
      <c r="AFD148" s="198"/>
      <c r="AFE148" s="198"/>
      <c r="AFF148" s="198"/>
      <c r="AFG148" s="198"/>
      <c r="AFH148" s="198"/>
      <c r="AFI148" s="198"/>
      <c r="AFJ148" s="198"/>
      <c r="AFK148" s="198"/>
      <c r="AFL148" s="198"/>
      <c r="AFM148" s="198"/>
      <c r="AFN148" s="198"/>
      <c r="AFO148" s="198"/>
      <c r="AFP148" s="198"/>
      <c r="AFQ148" s="198"/>
      <c r="AFR148" s="198"/>
      <c r="AFS148" s="198"/>
      <c r="AFT148" s="198"/>
      <c r="AFU148" s="198"/>
      <c r="AFV148" s="198"/>
      <c r="AFW148" s="198"/>
      <c r="AFX148" s="198"/>
      <c r="AFY148" s="198"/>
      <c r="AFZ148" s="198"/>
      <c r="AGA148" s="198"/>
      <c r="AGB148" s="198"/>
      <c r="AGC148" s="198"/>
      <c r="AGD148" s="198"/>
      <c r="AGE148" s="198"/>
      <c r="AGF148" s="198"/>
      <c r="AGG148" s="198"/>
      <c r="AGH148" s="198"/>
      <c r="AGI148" s="198"/>
      <c r="AGJ148" s="198"/>
      <c r="AGK148" s="198"/>
      <c r="AGL148" s="198"/>
      <c r="AGM148" s="198"/>
      <c r="AGN148" s="198"/>
      <c r="AGO148" s="198"/>
      <c r="AGP148" s="198"/>
      <c r="AGQ148" s="198"/>
      <c r="AGR148" s="198"/>
      <c r="AGS148" s="198"/>
      <c r="AGT148" s="198"/>
      <c r="AGU148" s="198"/>
      <c r="AGV148" s="198"/>
      <c r="AGW148" s="198"/>
      <c r="AGX148" s="198"/>
      <c r="AGY148" s="198"/>
      <c r="AGZ148" s="198"/>
      <c r="AHA148" s="198"/>
      <c r="AHB148" s="198"/>
      <c r="AHC148" s="198"/>
      <c r="AHD148" s="198"/>
      <c r="AHE148" s="198"/>
      <c r="AHF148" s="198"/>
      <c r="AHG148" s="198"/>
      <c r="AHH148" s="198"/>
      <c r="AHI148" s="198"/>
      <c r="AHJ148" s="198"/>
      <c r="AHK148" s="198"/>
      <c r="AHL148" s="198"/>
      <c r="AHM148" s="198"/>
      <c r="AHN148" s="198"/>
      <c r="AHO148" s="198"/>
      <c r="AHP148" s="198"/>
      <c r="AHQ148" s="198"/>
      <c r="AHR148" s="198"/>
      <c r="AHS148" s="198"/>
      <c r="AHT148" s="198"/>
      <c r="AHU148" s="198"/>
      <c r="AHV148" s="198"/>
      <c r="AHW148" s="198"/>
      <c r="AHX148" s="198"/>
      <c r="AHY148" s="198"/>
      <c r="AHZ148" s="198"/>
      <c r="AIA148" s="198"/>
      <c r="AIB148" s="198"/>
      <c r="AIC148" s="198"/>
      <c r="AID148" s="198"/>
      <c r="AIE148" s="198"/>
      <c r="AIF148" s="198"/>
      <c r="AIG148" s="198"/>
      <c r="AIH148" s="198"/>
      <c r="AII148" s="198"/>
      <c r="AIJ148" s="198"/>
      <c r="AIK148" s="198"/>
      <c r="AIL148" s="198"/>
      <c r="AIM148" s="198"/>
      <c r="AIN148" s="198"/>
      <c r="AIO148" s="198"/>
      <c r="AIP148" s="198"/>
      <c r="AIQ148" s="198"/>
      <c r="AIR148" s="198"/>
      <c r="AIS148" s="198"/>
      <c r="AIT148" s="198"/>
      <c r="AIU148" s="198"/>
      <c r="AIV148" s="198"/>
      <c r="AIW148" s="198"/>
      <c r="AIX148" s="198"/>
      <c r="AIY148" s="198"/>
      <c r="AIZ148" s="198"/>
      <c r="AJA148" s="198"/>
      <c r="AJB148" s="198"/>
      <c r="AJC148" s="198"/>
      <c r="AJD148" s="198"/>
      <c r="AJE148" s="198"/>
      <c r="AJF148" s="198"/>
      <c r="AJG148" s="198"/>
      <c r="AJH148" s="198"/>
      <c r="AJI148" s="198"/>
      <c r="AJJ148" s="198"/>
      <c r="AJK148" s="198"/>
      <c r="AJL148" s="198"/>
      <c r="AJM148" s="198"/>
      <c r="AJN148" s="198"/>
      <c r="AJO148" s="198"/>
      <c r="AJP148" s="198"/>
      <c r="AJQ148" s="198"/>
      <c r="AJR148" s="198"/>
      <c r="AJS148" s="198"/>
      <c r="AJT148" s="198"/>
      <c r="AJU148" s="198"/>
      <c r="AJV148" s="198"/>
      <c r="AJW148" s="198"/>
      <c r="AJX148" s="198"/>
      <c r="AJY148" s="198"/>
      <c r="AJZ148" s="198"/>
      <c r="AKA148" s="198"/>
      <c r="AKB148" s="198"/>
      <c r="AKC148" s="198"/>
      <c r="AKD148" s="198"/>
      <c r="AKE148" s="198"/>
      <c r="AKF148" s="198"/>
      <c r="AKG148" s="198"/>
      <c r="AKH148" s="198"/>
      <c r="AKI148" s="198"/>
      <c r="AKJ148" s="198"/>
      <c r="AKK148" s="198"/>
      <c r="AKL148" s="198"/>
      <c r="AKM148" s="198"/>
      <c r="AKN148" s="198"/>
      <c r="AKO148" s="198"/>
      <c r="AKP148" s="198"/>
      <c r="AKQ148" s="198"/>
      <c r="AKR148" s="198"/>
      <c r="AKS148" s="198"/>
      <c r="AKT148" s="198"/>
      <c r="AKU148" s="198"/>
      <c r="AKV148" s="198"/>
      <c r="AKW148" s="198"/>
      <c r="AKX148" s="198"/>
      <c r="AKY148" s="198"/>
      <c r="AKZ148" s="198"/>
      <c r="ALA148" s="198"/>
      <c r="ALB148" s="198"/>
      <c r="ALC148" s="198"/>
      <c r="ALD148" s="198"/>
      <c r="ALE148" s="198"/>
      <c r="ALF148" s="198"/>
      <c r="ALG148" s="198"/>
      <c r="ALH148" s="198"/>
      <c r="ALI148" s="198"/>
      <c r="ALJ148" s="198"/>
      <c r="ALK148" s="198"/>
      <c r="ALL148" s="198"/>
      <c r="ALM148" s="198"/>
      <c r="ALN148" s="198"/>
      <c r="ALO148" s="198"/>
      <c r="ALP148" s="198"/>
      <c r="ALQ148" s="198"/>
      <c r="ALR148" s="198"/>
      <c r="ALS148" s="198"/>
      <c r="ALT148" s="198"/>
      <c r="ALU148" s="198"/>
      <c r="ALV148" s="198"/>
      <c r="ALW148" s="198"/>
      <c r="ALX148" s="198"/>
      <c r="ALY148" s="198"/>
      <c r="ALZ148" s="198"/>
      <c r="AMA148" s="198"/>
      <c r="AMB148" s="198"/>
      <c r="AMC148" s="198"/>
      <c r="AMD148" s="198"/>
      <c r="AME148" s="198"/>
      <c r="AMF148" s="198"/>
      <c r="AMG148" s="198"/>
      <c r="AMH148" s="198"/>
      <c r="AMI148" s="198"/>
      <c r="AMJ148" s="198"/>
    </row>
    <row r="149" customFormat="false" ht="15.75" hidden="false" customHeight="true" outlineLevel="0" collapsed="false">
      <c r="A149" s="196"/>
      <c r="B149" s="72" t="s">
        <v>136</v>
      </c>
      <c r="C149" s="73" t="s">
        <v>137</v>
      </c>
      <c r="D149" s="74" t="n">
        <v>350</v>
      </c>
      <c r="E149" s="74"/>
      <c r="F149" s="157" t="n">
        <v>10</v>
      </c>
      <c r="G149" s="10"/>
      <c r="H149" s="72" t="s">
        <v>186</v>
      </c>
      <c r="I149" s="73" t="s">
        <v>137</v>
      </c>
      <c r="J149" s="74" t="n">
        <v>350</v>
      </c>
      <c r="K149" s="74"/>
      <c r="L149" s="157" t="n">
        <v>10</v>
      </c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  <c r="AA149" s="196"/>
      <c r="AB149" s="196"/>
      <c r="AC149" s="196"/>
      <c r="AD149" s="196"/>
      <c r="AE149" s="196"/>
      <c r="AF149" s="196"/>
      <c r="AG149" s="196"/>
      <c r="AH149" s="196"/>
      <c r="AI149" s="196"/>
      <c r="AJ149" s="196"/>
      <c r="AK149" s="196"/>
      <c r="AL149" s="196"/>
      <c r="AM149" s="196"/>
      <c r="AN149" s="196"/>
      <c r="AO149" s="196"/>
      <c r="AP149" s="196"/>
      <c r="AQ149" s="196"/>
      <c r="AR149" s="196"/>
      <c r="AS149" s="196"/>
      <c r="AT149" s="196"/>
      <c r="AU149" s="196"/>
      <c r="AV149" s="196"/>
      <c r="AW149" s="196"/>
      <c r="AX149" s="196"/>
      <c r="AY149" s="196"/>
      <c r="AZ149" s="196"/>
      <c r="BA149" s="196"/>
      <c r="BB149" s="196"/>
      <c r="BC149" s="196"/>
      <c r="BD149" s="196"/>
      <c r="BE149" s="196"/>
      <c r="BF149" s="196"/>
      <c r="BG149" s="196"/>
      <c r="BH149" s="196"/>
      <c r="BI149" s="196"/>
      <c r="BJ149" s="196"/>
      <c r="BK149" s="196"/>
      <c r="BL149" s="196"/>
      <c r="BM149" s="196"/>
      <c r="BN149" s="196"/>
      <c r="BO149" s="196"/>
      <c r="BP149" s="196"/>
      <c r="BQ149" s="196"/>
      <c r="BR149" s="196"/>
      <c r="BS149" s="196"/>
      <c r="BT149" s="196"/>
      <c r="BU149" s="196"/>
      <c r="BV149" s="196"/>
      <c r="BW149" s="196"/>
      <c r="BX149" s="196"/>
      <c r="BY149" s="196"/>
      <c r="BZ149" s="196"/>
      <c r="CA149" s="196"/>
      <c r="CB149" s="196"/>
      <c r="CC149" s="196"/>
      <c r="CD149" s="196"/>
      <c r="CE149" s="196"/>
      <c r="CF149" s="196"/>
      <c r="CG149" s="196"/>
      <c r="CH149" s="196"/>
      <c r="CI149" s="196"/>
      <c r="CJ149" s="196"/>
      <c r="CK149" s="196"/>
      <c r="CL149" s="196"/>
      <c r="CM149" s="196"/>
      <c r="CN149" s="196"/>
      <c r="CO149" s="196"/>
      <c r="CP149" s="196"/>
      <c r="CQ149" s="196"/>
      <c r="CR149" s="196"/>
      <c r="CS149" s="196"/>
      <c r="CT149" s="196"/>
      <c r="CU149" s="196"/>
      <c r="CV149" s="196"/>
      <c r="CW149" s="196"/>
      <c r="CX149" s="196"/>
      <c r="CY149" s="196"/>
      <c r="CZ149" s="196"/>
      <c r="DA149" s="196"/>
      <c r="DB149" s="196"/>
      <c r="DC149" s="196"/>
      <c r="DD149" s="196"/>
      <c r="DE149" s="196"/>
      <c r="DF149" s="196"/>
      <c r="DG149" s="196"/>
      <c r="DH149" s="196"/>
      <c r="DI149" s="196"/>
      <c r="DJ149" s="196"/>
      <c r="DK149" s="196"/>
      <c r="DL149" s="196"/>
      <c r="DM149" s="196"/>
      <c r="DN149" s="196"/>
      <c r="DO149" s="196"/>
      <c r="DP149" s="196"/>
      <c r="DQ149" s="196"/>
      <c r="DR149" s="196"/>
      <c r="DS149" s="196"/>
      <c r="DT149" s="196"/>
      <c r="DU149" s="196"/>
      <c r="DV149" s="196"/>
      <c r="DW149" s="196"/>
      <c r="DX149" s="196"/>
      <c r="DY149" s="196"/>
      <c r="DZ149" s="196"/>
      <c r="EA149" s="196"/>
      <c r="EB149" s="196"/>
      <c r="EC149" s="196"/>
      <c r="ED149" s="196"/>
      <c r="EE149" s="196"/>
      <c r="EF149" s="196"/>
      <c r="EG149" s="196"/>
      <c r="EH149" s="196"/>
      <c r="EI149" s="196"/>
      <c r="EJ149" s="196"/>
      <c r="EK149" s="196"/>
      <c r="EL149" s="196"/>
      <c r="EM149" s="196"/>
      <c r="EN149" s="196"/>
      <c r="EO149" s="196"/>
      <c r="EP149" s="196"/>
      <c r="EQ149" s="196"/>
      <c r="ER149" s="196"/>
      <c r="ES149" s="196"/>
      <c r="ET149" s="196"/>
      <c r="EU149" s="196"/>
      <c r="EV149" s="196"/>
      <c r="EW149" s="196"/>
      <c r="EX149" s="196"/>
      <c r="EY149" s="196"/>
      <c r="EZ149" s="196"/>
      <c r="FA149" s="196"/>
      <c r="FB149" s="196"/>
      <c r="FC149" s="196"/>
      <c r="FD149" s="196"/>
      <c r="FE149" s="196"/>
      <c r="FF149" s="196"/>
      <c r="FG149" s="196"/>
      <c r="FH149" s="196"/>
      <c r="FI149" s="196"/>
      <c r="FJ149" s="196"/>
      <c r="FK149" s="196"/>
      <c r="FL149" s="196"/>
      <c r="FM149" s="196"/>
      <c r="FN149" s="196"/>
      <c r="FO149" s="196"/>
      <c r="FP149" s="196"/>
      <c r="FQ149" s="196"/>
      <c r="FR149" s="196"/>
      <c r="FS149" s="196"/>
      <c r="FT149" s="196"/>
      <c r="FU149" s="196"/>
      <c r="FV149" s="196"/>
      <c r="FW149" s="196"/>
      <c r="FX149" s="196"/>
      <c r="FY149" s="196"/>
      <c r="FZ149" s="196"/>
      <c r="GA149" s="196"/>
      <c r="GB149" s="196"/>
      <c r="GC149" s="196"/>
      <c r="GD149" s="196"/>
      <c r="GE149" s="196"/>
      <c r="GF149" s="196"/>
      <c r="GG149" s="196"/>
      <c r="GH149" s="196"/>
      <c r="GI149" s="196"/>
      <c r="GJ149" s="196"/>
      <c r="GK149" s="196"/>
      <c r="GL149" s="196"/>
      <c r="GM149" s="196"/>
      <c r="GN149" s="196"/>
      <c r="GO149" s="196"/>
      <c r="GP149" s="196"/>
      <c r="GQ149" s="196"/>
      <c r="GR149" s="196"/>
      <c r="GS149" s="196"/>
      <c r="GT149" s="196"/>
      <c r="GU149" s="196"/>
      <c r="GV149" s="196"/>
      <c r="GW149" s="196"/>
      <c r="GX149" s="196"/>
      <c r="GY149" s="196"/>
      <c r="GZ149" s="196"/>
      <c r="HA149" s="196"/>
      <c r="HB149" s="196"/>
      <c r="HC149" s="196"/>
      <c r="HD149" s="196"/>
      <c r="HE149" s="196"/>
      <c r="HF149" s="196"/>
      <c r="HG149" s="196"/>
      <c r="HH149" s="196"/>
      <c r="HI149" s="196"/>
      <c r="HJ149" s="196"/>
      <c r="HK149" s="196"/>
      <c r="HL149" s="196"/>
      <c r="HM149" s="196"/>
      <c r="HN149" s="196"/>
      <c r="HO149" s="196"/>
      <c r="HP149" s="196"/>
      <c r="HQ149" s="196"/>
      <c r="HR149" s="196"/>
      <c r="HS149" s="196"/>
      <c r="HT149" s="196"/>
      <c r="HU149" s="196"/>
      <c r="HV149" s="196"/>
      <c r="HW149" s="196"/>
      <c r="HX149" s="196"/>
      <c r="HY149" s="196"/>
      <c r="HZ149" s="196"/>
      <c r="IA149" s="196"/>
      <c r="IB149" s="196"/>
      <c r="IC149" s="196"/>
      <c r="ID149" s="196"/>
      <c r="IE149" s="196"/>
      <c r="IF149" s="196"/>
      <c r="IG149" s="196"/>
      <c r="IH149" s="196"/>
      <c r="II149" s="196"/>
      <c r="IJ149" s="196"/>
      <c r="IK149" s="196"/>
      <c r="IL149" s="196"/>
      <c r="IM149" s="196"/>
      <c r="IN149" s="196"/>
      <c r="IO149" s="196"/>
      <c r="IP149" s="196"/>
      <c r="IQ149" s="196"/>
      <c r="IR149" s="196"/>
      <c r="IS149" s="196"/>
      <c r="IT149" s="196"/>
      <c r="IU149" s="196"/>
      <c r="IV149" s="196"/>
      <c r="IW149" s="196"/>
      <c r="IX149" s="196"/>
      <c r="IY149" s="196"/>
      <c r="IZ149" s="196"/>
      <c r="JA149" s="196"/>
      <c r="JB149" s="196"/>
      <c r="JC149" s="196"/>
      <c r="JD149" s="196"/>
      <c r="JE149" s="196"/>
      <c r="JF149" s="196"/>
      <c r="JG149" s="196"/>
      <c r="JH149" s="196"/>
      <c r="JI149" s="196"/>
      <c r="JJ149" s="196"/>
      <c r="JK149" s="196"/>
      <c r="JL149" s="196"/>
      <c r="JM149" s="196"/>
      <c r="JN149" s="196"/>
      <c r="JO149" s="196"/>
      <c r="JP149" s="196"/>
      <c r="JQ149" s="196"/>
      <c r="JR149" s="196"/>
      <c r="JS149" s="196"/>
      <c r="JT149" s="196"/>
      <c r="JU149" s="196"/>
      <c r="JV149" s="196"/>
      <c r="JW149" s="196"/>
      <c r="JX149" s="196"/>
      <c r="JY149" s="196"/>
      <c r="JZ149" s="196"/>
      <c r="KA149" s="196"/>
      <c r="KB149" s="196"/>
      <c r="KC149" s="196"/>
      <c r="KD149" s="196"/>
      <c r="KE149" s="196"/>
      <c r="KF149" s="196"/>
      <c r="KG149" s="196"/>
      <c r="KH149" s="196"/>
      <c r="KI149" s="196"/>
      <c r="KJ149" s="196"/>
      <c r="KK149" s="196"/>
      <c r="KL149" s="196"/>
      <c r="KM149" s="196"/>
      <c r="KN149" s="196"/>
      <c r="KO149" s="196"/>
      <c r="KP149" s="196"/>
      <c r="KQ149" s="196"/>
      <c r="KR149" s="196"/>
      <c r="KS149" s="196"/>
      <c r="KT149" s="196"/>
      <c r="KU149" s="196"/>
      <c r="KV149" s="196"/>
      <c r="KW149" s="196"/>
      <c r="KX149" s="196"/>
      <c r="KY149" s="196"/>
      <c r="KZ149" s="196"/>
      <c r="LA149" s="196"/>
      <c r="LB149" s="196"/>
      <c r="LC149" s="196"/>
      <c r="LD149" s="196"/>
      <c r="LE149" s="196"/>
      <c r="LF149" s="196"/>
      <c r="LG149" s="196"/>
      <c r="LH149" s="196"/>
      <c r="LI149" s="196"/>
      <c r="LJ149" s="196"/>
      <c r="LK149" s="196"/>
      <c r="LL149" s="196"/>
      <c r="LM149" s="196"/>
      <c r="LN149" s="196"/>
      <c r="LO149" s="196"/>
      <c r="LP149" s="196"/>
      <c r="LQ149" s="196"/>
      <c r="LR149" s="196"/>
      <c r="LS149" s="196"/>
      <c r="LT149" s="196"/>
      <c r="LU149" s="196"/>
      <c r="LV149" s="196"/>
      <c r="LW149" s="196"/>
      <c r="LX149" s="196"/>
      <c r="LY149" s="196"/>
      <c r="LZ149" s="196"/>
      <c r="MA149" s="196"/>
      <c r="MB149" s="196"/>
      <c r="MC149" s="196"/>
      <c r="MD149" s="196"/>
      <c r="ME149" s="196"/>
      <c r="MF149" s="196"/>
      <c r="MG149" s="196"/>
      <c r="MH149" s="196"/>
      <c r="MI149" s="196"/>
      <c r="MJ149" s="196"/>
      <c r="MK149" s="196"/>
      <c r="ML149" s="196"/>
      <c r="MM149" s="196"/>
      <c r="MN149" s="196"/>
      <c r="MO149" s="196"/>
      <c r="MP149" s="196"/>
      <c r="MQ149" s="196"/>
      <c r="MR149" s="196"/>
      <c r="MS149" s="196"/>
      <c r="MT149" s="196"/>
      <c r="MU149" s="196"/>
      <c r="MV149" s="196"/>
      <c r="MW149" s="196"/>
      <c r="MX149" s="196"/>
      <c r="MY149" s="196"/>
      <c r="MZ149" s="196"/>
      <c r="NA149" s="196"/>
      <c r="NB149" s="196"/>
      <c r="NC149" s="196"/>
      <c r="ND149" s="196"/>
      <c r="NE149" s="196"/>
      <c r="NF149" s="196"/>
      <c r="NG149" s="196"/>
      <c r="NH149" s="196"/>
      <c r="NI149" s="196"/>
      <c r="NJ149" s="196"/>
      <c r="NK149" s="196"/>
      <c r="NL149" s="196"/>
      <c r="NM149" s="196"/>
      <c r="NN149" s="196"/>
      <c r="NO149" s="196"/>
      <c r="NP149" s="196"/>
      <c r="NQ149" s="196"/>
      <c r="NR149" s="196"/>
      <c r="NS149" s="196"/>
      <c r="NT149" s="196"/>
      <c r="NU149" s="196"/>
      <c r="NV149" s="196"/>
      <c r="NW149" s="196"/>
      <c r="NX149" s="196"/>
      <c r="NY149" s="196"/>
      <c r="NZ149" s="196"/>
      <c r="OA149" s="196"/>
      <c r="OB149" s="196"/>
      <c r="OC149" s="196"/>
      <c r="OD149" s="196"/>
      <c r="OE149" s="196"/>
      <c r="OF149" s="196"/>
      <c r="OG149" s="196"/>
      <c r="OH149" s="196"/>
      <c r="OI149" s="196"/>
      <c r="OJ149" s="196"/>
      <c r="OK149" s="196"/>
      <c r="OL149" s="196"/>
      <c r="OM149" s="196"/>
      <c r="ON149" s="196"/>
      <c r="OO149" s="196"/>
      <c r="OP149" s="196"/>
      <c r="OQ149" s="196"/>
      <c r="OR149" s="196"/>
      <c r="OS149" s="196"/>
      <c r="OT149" s="196"/>
      <c r="OU149" s="196"/>
      <c r="OV149" s="196"/>
      <c r="OW149" s="196"/>
      <c r="OX149" s="196"/>
      <c r="OY149" s="196"/>
      <c r="OZ149" s="196"/>
      <c r="PA149" s="196"/>
      <c r="PB149" s="196"/>
      <c r="PC149" s="196"/>
      <c r="PD149" s="196"/>
      <c r="PE149" s="196"/>
      <c r="PF149" s="196"/>
      <c r="PG149" s="196"/>
      <c r="PH149" s="196"/>
      <c r="PI149" s="196"/>
      <c r="PJ149" s="196"/>
      <c r="PK149" s="196"/>
      <c r="PL149" s="196"/>
      <c r="PM149" s="196"/>
      <c r="PN149" s="196"/>
      <c r="PO149" s="196"/>
      <c r="PP149" s="196"/>
      <c r="PQ149" s="196"/>
      <c r="PR149" s="196"/>
      <c r="PS149" s="196"/>
      <c r="PT149" s="196"/>
      <c r="PU149" s="196"/>
      <c r="PV149" s="196"/>
      <c r="PW149" s="196"/>
      <c r="PX149" s="196"/>
      <c r="PY149" s="196"/>
      <c r="PZ149" s="196"/>
      <c r="QA149" s="196"/>
      <c r="QB149" s="196"/>
      <c r="QC149" s="196"/>
      <c r="QD149" s="196"/>
      <c r="QE149" s="196"/>
      <c r="QF149" s="196"/>
      <c r="QG149" s="196"/>
      <c r="QH149" s="196"/>
      <c r="QI149" s="196"/>
      <c r="QJ149" s="196"/>
      <c r="QK149" s="196"/>
      <c r="QL149" s="196"/>
      <c r="QM149" s="196"/>
      <c r="QN149" s="196"/>
      <c r="QO149" s="196"/>
      <c r="QP149" s="196"/>
      <c r="QQ149" s="196"/>
      <c r="QR149" s="196"/>
      <c r="QS149" s="196"/>
      <c r="QT149" s="196"/>
      <c r="QU149" s="196"/>
      <c r="QV149" s="196"/>
      <c r="QW149" s="196"/>
      <c r="QX149" s="196"/>
      <c r="QY149" s="196"/>
      <c r="QZ149" s="196"/>
      <c r="RA149" s="196"/>
      <c r="RB149" s="196"/>
      <c r="RC149" s="196"/>
      <c r="RD149" s="196"/>
      <c r="RE149" s="196"/>
      <c r="RF149" s="196"/>
      <c r="RG149" s="196"/>
      <c r="RH149" s="196"/>
      <c r="RI149" s="196"/>
      <c r="RJ149" s="196"/>
      <c r="RK149" s="196"/>
      <c r="RL149" s="196"/>
      <c r="RM149" s="196"/>
      <c r="RN149" s="196"/>
      <c r="RO149" s="196"/>
      <c r="RP149" s="196"/>
      <c r="RQ149" s="196"/>
      <c r="RR149" s="196"/>
      <c r="RS149" s="196"/>
      <c r="RT149" s="196"/>
      <c r="RU149" s="196"/>
      <c r="RV149" s="196"/>
      <c r="RW149" s="196"/>
      <c r="RX149" s="196"/>
      <c r="RY149" s="196"/>
      <c r="RZ149" s="196"/>
      <c r="SA149" s="196"/>
      <c r="SB149" s="196"/>
      <c r="SC149" s="196"/>
      <c r="SD149" s="196"/>
      <c r="SE149" s="196"/>
      <c r="SF149" s="196"/>
      <c r="SG149" s="196"/>
      <c r="SH149" s="196"/>
      <c r="SI149" s="196"/>
      <c r="SJ149" s="196"/>
      <c r="SK149" s="196"/>
      <c r="SL149" s="196"/>
      <c r="SM149" s="196"/>
      <c r="SN149" s="196"/>
      <c r="SO149" s="196"/>
      <c r="SP149" s="196"/>
      <c r="SQ149" s="196"/>
      <c r="SR149" s="196"/>
      <c r="SS149" s="196"/>
      <c r="ST149" s="196"/>
      <c r="SU149" s="196"/>
      <c r="SV149" s="196"/>
      <c r="SW149" s="196"/>
      <c r="SX149" s="196"/>
      <c r="SY149" s="196"/>
      <c r="SZ149" s="196"/>
      <c r="TA149" s="196"/>
      <c r="TB149" s="196"/>
      <c r="TC149" s="196"/>
      <c r="TD149" s="196"/>
      <c r="TE149" s="196"/>
      <c r="TF149" s="196"/>
      <c r="TG149" s="196"/>
      <c r="TH149" s="196"/>
      <c r="TI149" s="196"/>
      <c r="TJ149" s="196"/>
      <c r="TK149" s="196"/>
      <c r="TL149" s="196"/>
      <c r="TM149" s="196"/>
      <c r="TN149" s="196"/>
      <c r="TO149" s="196"/>
      <c r="TP149" s="196"/>
      <c r="TQ149" s="196"/>
      <c r="TR149" s="196"/>
      <c r="TS149" s="196"/>
      <c r="TT149" s="196"/>
      <c r="TU149" s="196"/>
      <c r="TV149" s="196"/>
      <c r="TW149" s="196"/>
      <c r="TX149" s="196"/>
      <c r="TY149" s="196"/>
      <c r="TZ149" s="196"/>
      <c r="UA149" s="196"/>
      <c r="UB149" s="196"/>
      <c r="UC149" s="196"/>
      <c r="UD149" s="196"/>
      <c r="UE149" s="196"/>
      <c r="UF149" s="196"/>
      <c r="UG149" s="196"/>
      <c r="UH149" s="196"/>
      <c r="UI149" s="196"/>
      <c r="UJ149" s="196"/>
      <c r="UK149" s="196"/>
      <c r="UL149" s="196"/>
      <c r="UM149" s="196"/>
      <c r="UN149" s="196"/>
      <c r="UO149" s="196"/>
      <c r="UP149" s="196"/>
      <c r="UQ149" s="196"/>
      <c r="UR149" s="196"/>
      <c r="US149" s="196"/>
      <c r="UT149" s="196"/>
      <c r="UU149" s="196"/>
      <c r="UV149" s="196"/>
      <c r="UW149" s="196"/>
      <c r="UX149" s="196"/>
      <c r="UY149" s="196"/>
      <c r="UZ149" s="196"/>
      <c r="VA149" s="196"/>
      <c r="VB149" s="196"/>
      <c r="VC149" s="196"/>
      <c r="VD149" s="196"/>
      <c r="VE149" s="196"/>
      <c r="VF149" s="196"/>
      <c r="VG149" s="196"/>
      <c r="VH149" s="196"/>
      <c r="VI149" s="196"/>
      <c r="VJ149" s="196"/>
      <c r="VK149" s="196"/>
      <c r="VL149" s="196"/>
      <c r="VM149" s="196"/>
      <c r="VN149" s="196"/>
      <c r="VO149" s="196"/>
      <c r="VP149" s="196"/>
      <c r="VQ149" s="196"/>
      <c r="VR149" s="196"/>
      <c r="VS149" s="196"/>
      <c r="VT149" s="196"/>
      <c r="VU149" s="196"/>
      <c r="VV149" s="196"/>
      <c r="VW149" s="196"/>
      <c r="VX149" s="196"/>
      <c r="VY149" s="196"/>
      <c r="VZ149" s="196"/>
      <c r="WA149" s="196"/>
      <c r="WB149" s="196"/>
      <c r="WC149" s="196"/>
      <c r="WD149" s="196"/>
      <c r="WE149" s="196"/>
      <c r="WF149" s="196"/>
      <c r="WG149" s="196"/>
      <c r="WH149" s="196"/>
      <c r="WI149" s="196"/>
      <c r="WJ149" s="196"/>
      <c r="WK149" s="196"/>
      <c r="WL149" s="196"/>
      <c r="WM149" s="196"/>
      <c r="WN149" s="196"/>
      <c r="WO149" s="196"/>
      <c r="WP149" s="196"/>
      <c r="WQ149" s="196"/>
      <c r="WR149" s="196"/>
      <c r="WS149" s="196"/>
      <c r="WT149" s="196"/>
      <c r="WU149" s="196"/>
      <c r="WV149" s="196"/>
      <c r="WW149" s="196"/>
      <c r="WX149" s="196"/>
      <c r="WY149" s="196"/>
      <c r="WZ149" s="196"/>
      <c r="XA149" s="196"/>
      <c r="XB149" s="196"/>
      <c r="XC149" s="196"/>
      <c r="XD149" s="196"/>
      <c r="XE149" s="196"/>
      <c r="XF149" s="196"/>
      <c r="XG149" s="196"/>
      <c r="XH149" s="196"/>
      <c r="XI149" s="196"/>
      <c r="XJ149" s="196"/>
      <c r="XK149" s="196"/>
      <c r="XL149" s="196"/>
      <c r="XM149" s="196"/>
      <c r="XN149" s="196"/>
      <c r="XO149" s="196"/>
      <c r="XP149" s="196"/>
      <c r="XQ149" s="196"/>
      <c r="XR149" s="196"/>
      <c r="XS149" s="196"/>
      <c r="XT149" s="196"/>
      <c r="XU149" s="196"/>
      <c r="XV149" s="196"/>
      <c r="XW149" s="196"/>
      <c r="XX149" s="196"/>
      <c r="XY149" s="196"/>
      <c r="XZ149" s="196"/>
      <c r="YA149" s="196"/>
      <c r="YB149" s="196"/>
      <c r="YC149" s="196"/>
      <c r="YD149" s="196"/>
      <c r="YE149" s="196"/>
      <c r="YF149" s="196"/>
      <c r="YG149" s="196"/>
      <c r="YH149" s="196"/>
      <c r="YI149" s="196"/>
      <c r="YJ149" s="196"/>
      <c r="YK149" s="196"/>
      <c r="YL149" s="196"/>
      <c r="YM149" s="196"/>
      <c r="YN149" s="196"/>
      <c r="YO149" s="196"/>
      <c r="YP149" s="196"/>
      <c r="YQ149" s="196"/>
      <c r="YR149" s="196"/>
      <c r="YS149" s="196"/>
      <c r="YT149" s="196"/>
      <c r="YU149" s="196"/>
      <c r="YV149" s="196"/>
      <c r="YW149" s="196"/>
      <c r="YX149" s="196"/>
      <c r="YY149" s="196"/>
      <c r="YZ149" s="196"/>
      <c r="ZA149" s="196"/>
      <c r="ZB149" s="196"/>
      <c r="ZC149" s="196"/>
      <c r="ZD149" s="196"/>
      <c r="ZE149" s="196"/>
      <c r="ZF149" s="196"/>
      <c r="ZG149" s="196"/>
      <c r="ZH149" s="196"/>
      <c r="ZI149" s="196"/>
      <c r="ZJ149" s="196"/>
      <c r="ZK149" s="196"/>
      <c r="ZL149" s="196"/>
      <c r="ZM149" s="196"/>
      <c r="ZN149" s="196"/>
      <c r="ZO149" s="196"/>
      <c r="ZP149" s="196"/>
      <c r="ZQ149" s="196"/>
      <c r="ZR149" s="196"/>
      <c r="ZS149" s="196"/>
      <c r="ZT149" s="196"/>
      <c r="ZU149" s="196"/>
      <c r="ZV149" s="196"/>
      <c r="ZW149" s="196"/>
      <c r="ZX149" s="196"/>
      <c r="ZY149" s="196"/>
      <c r="ZZ149" s="196"/>
      <c r="AAA149" s="196"/>
      <c r="AAB149" s="196"/>
      <c r="AAC149" s="196"/>
      <c r="AAD149" s="196"/>
      <c r="AAE149" s="196"/>
      <c r="AAF149" s="196"/>
      <c r="AAG149" s="196"/>
      <c r="AAH149" s="196"/>
      <c r="AAI149" s="196"/>
      <c r="AAJ149" s="196"/>
      <c r="AAK149" s="196"/>
      <c r="AAL149" s="196"/>
      <c r="AAM149" s="196"/>
      <c r="AAN149" s="196"/>
      <c r="AAO149" s="196"/>
      <c r="AAP149" s="196"/>
      <c r="AAQ149" s="196"/>
      <c r="AAR149" s="196"/>
      <c r="AAS149" s="196"/>
      <c r="AAT149" s="196"/>
      <c r="AAU149" s="196"/>
      <c r="AAV149" s="196"/>
      <c r="AAW149" s="196"/>
      <c r="AAX149" s="196"/>
      <c r="AAY149" s="196"/>
      <c r="AAZ149" s="196"/>
      <c r="ABA149" s="196"/>
      <c r="ABB149" s="196"/>
      <c r="ABC149" s="196"/>
      <c r="ABD149" s="196"/>
      <c r="ABE149" s="196"/>
      <c r="ABF149" s="196"/>
      <c r="ABG149" s="196"/>
      <c r="ABH149" s="196"/>
      <c r="ABI149" s="196"/>
      <c r="ABJ149" s="196"/>
      <c r="ABK149" s="196"/>
      <c r="ABL149" s="196"/>
      <c r="ABM149" s="196"/>
      <c r="ABN149" s="196"/>
      <c r="ABO149" s="196"/>
      <c r="ABP149" s="196"/>
      <c r="ABQ149" s="196"/>
      <c r="ABR149" s="196"/>
      <c r="ABS149" s="196"/>
      <c r="ABT149" s="196"/>
      <c r="ABU149" s="196"/>
      <c r="ABV149" s="196"/>
      <c r="ABW149" s="196"/>
      <c r="ABX149" s="196"/>
      <c r="ABY149" s="196"/>
      <c r="ABZ149" s="196"/>
      <c r="ACA149" s="196"/>
      <c r="ACB149" s="196"/>
      <c r="ACC149" s="196"/>
      <c r="ACD149" s="196"/>
      <c r="ACE149" s="196"/>
      <c r="ACF149" s="196"/>
      <c r="ACG149" s="196"/>
      <c r="ACH149" s="196"/>
      <c r="ACI149" s="196"/>
      <c r="ACJ149" s="196"/>
      <c r="ACK149" s="196"/>
      <c r="ACL149" s="196"/>
      <c r="ACM149" s="196"/>
      <c r="ACN149" s="196"/>
      <c r="ACO149" s="196"/>
      <c r="ACP149" s="196"/>
      <c r="ACQ149" s="196"/>
      <c r="ACR149" s="196"/>
      <c r="ACS149" s="196"/>
      <c r="ACT149" s="196"/>
      <c r="ACU149" s="196"/>
      <c r="ACV149" s="196"/>
      <c r="ACW149" s="196"/>
      <c r="ACX149" s="196"/>
      <c r="ACY149" s="196"/>
      <c r="ACZ149" s="196"/>
      <c r="ADA149" s="196"/>
      <c r="ADB149" s="196"/>
      <c r="ADC149" s="196"/>
      <c r="ADD149" s="196"/>
      <c r="ADE149" s="196"/>
      <c r="ADF149" s="196"/>
      <c r="ADG149" s="196"/>
      <c r="ADH149" s="196"/>
      <c r="ADI149" s="196"/>
      <c r="ADJ149" s="196"/>
      <c r="ADK149" s="196"/>
      <c r="ADL149" s="196"/>
      <c r="ADM149" s="196"/>
      <c r="ADN149" s="196"/>
      <c r="ADO149" s="196"/>
      <c r="ADP149" s="196"/>
      <c r="ADQ149" s="196"/>
      <c r="ADR149" s="196"/>
      <c r="ADS149" s="196"/>
      <c r="ADT149" s="196"/>
      <c r="ADU149" s="196"/>
      <c r="ADV149" s="196"/>
      <c r="ADW149" s="196"/>
      <c r="ADX149" s="196"/>
      <c r="ADY149" s="196"/>
      <c r="ADZ149" s="196"/>
      <c r="AEA149" s="196"/>
      <c r="AEB149" s="196"/>
      <c r="AEC149" s="196"/>
      <c r="AED149" s="196"/>
      <c r="AEE149" s="196"/>
      <c r="AEF149" s="196"/>
      <c r="AEG149" s="196"/>
      <c r="AEH149" s="196"/>
      <c r="AEI149" s="196"/>
      <c r="AEJ149" s="196"/>
      <c r="AEK149" s="196"/>
      <c r="AEL149" s="196"/>
      <c r="AEM149" s="196"/>
      <c r="AEN149" s="196"/>
      <c r="AEO149" s="196"/>
      <c r="AEP149" s="196"/>
      <c r="AEQ149" s="196"/>
      <c r="AER149" s="196"/>
      <c r="AES149" s="196"/>
      <c r="AET149" s="196"/>
      <c r="AEU149" s="196"/>
      <c r="AEV149" s="196"/>
      <c r="AEW149" s="196"/>
      <c r="AEX149" s="196"/>
      <c r="AEY149" s="196"/>
      <c r="AEZ149" s="196"/>
      <c r="AFA149" s="196"/>
      <c r="AFB149" s="196"/>
      <c r="AFC149" s="196"/>
      <c r="AFD149" s="196"/>
      <c r="AFE149" s="196"/>
      <c r="AFF149" s="196"/>
      <c r="AFG149" s="196"/>
      <c r="AFH149" s="196"/>
      <c r="AFI149" s="196"/>
      <c r="AFJ149" s="196"/>
      <c r="AFK149" s="196"/>
      <c r="AFL149" s="196"/>
      <c r="AFM149" s="196"/>
      <c r="AFN149" s="196"/>
      <c r="AFO149" s="196"/>
      <c r="AFP149" s="196"/>
      <c r="AFQ149" s="196"/>
      <c r="AFR149" s="196"/>
      <c r="AFS149" s="196"/>
      <c r="AFT149" s="196"/>
      <c r="AFU149" s="196"/>
      <c r="AFV149" s="196"/>
      <c r="AFW149" s="196"/>
      <c r="AFX149" s="196"/>
      <c r="AFY149" s="196"/>
      <c r="AFZ149" s="196"/>
      <c r="AGA149" s="196"/>
      <c r="AGB149" s="196"/>
      <c r="AGC149" s="196"/>
      <c r="AGD149" s="196"/>
      <c r="AGE149" s="196"/>
      <c r="AGF149" s="196"/>
      <c r="AGG149" s="196"/>
      <c r="AGH149" s="196"/>
      <c r="AGI149" s="196"/>
      <c r="AGJ149" s="196"/>
      <c r="AGK149" s="196"/>
      <c r="AGL149" s="196"/>
      <c r="AGM149" s="196"/>
      <c r="AGN149" s="196"/>
      <c r="AGO149" s="196"/>
      <c r="AGP149" s="196"/>
      <c r="AGQ149" s="196"/>
      <c r="AGR149" s="196"/>
      <c r="AGS149" s="196"/>
      <c r="AGT149" s="196"/>
      <c r="AGU149" s="196"/>
      <c r="AGV149" s="196"/>
      <c r="AGW149" s="196"/>
      <c r="AGX149" s="196"/>
      <c r="AGY149" s="196"/>
      <c r="AGZ149" s="196"/>
      <c r="AHA149" s="196"/>
      <c r="AHB149" s="196"/>
      <c r="AHC149" s="196"/>
      <c r="AHD149" s="196"/>
      <c r="AHE149" s="196"/>
      <c r="AHF149" s="196"/>
      <c r="AHG149" s="196"/>
      <c r="AHH149" s="196"/>
      <c r="AHI149" s="196"/>
      <c r="AHJ149" s="196"/>
      <c r="AHK149" s="196"/>
      <c r="AHL149" s="196"/>
      <c r="AHM149" s="196"/>
      <c r="AHN149" s="196"/>
      <c r="AHO149" s="196"/>
      <c r="AHP149" s="196"/>
      <c r="AHQ149" s="196"/>
      <c r="AHR149" s="196"/>
      <c r="AHS149" s="196"/>
      <c r="AHT149" s="196"/>
      <c r="AHU149" s="196"/>
      <c r="AHV149" s="196"/>
      <c r="AHW149" s="196"/>
      <c r="AHX149" s="196"/>
      <c r="AHY149" s="196"/>
      <c r="AHZ149" s="196"/>
      <c r="AIA149" s="196"/>
      <c r="AIB149" s="196"/>
      <c r="AIC149" s="196"/>
      <c r="AID149" s="196"/>
      <c r="AIE149" s="196"/>
      <c r="AIF149" s="196"/>
      <c r="AIG149" s="196"/>
      <c r="AIH149" s="196"/>
      <c r="AII149" s="196"/>
      <c r="AIJ149" s="196"/>
      <c r="AIK149" s="196"/>
      <c r="AIL149" s="196"/>
      <c r="AIM149" s="196"/>
      <c r="AIN149" s="196"/>
      <c r="AIO149" s="196"/>
      <c r="AIP149" s="196"/>
      <c r="AIQ149" s="196"/>
      <c r="AIR149" s="196"/>
      <c r="AIS149" s="196"/>
      <c r="AIT149" s="196"/>
      <c r="AIU149" s="196"/>
      <c r="AIV149" s="196"/>
      <c r="AIW149" s="196"/>
      <c r="AIX149" s="196"/>
      <c r="AIY149" s="196"/>
      <c r="AIZ149" s="196"/>
      <c r="AJA149" s="196"/>
      <c r="AJB149" s="196"/>
      <c r="AJC149" s="196"/>
      <c r="AJD149" s="196"/>
      <c r="AJE149" s="196"/>
      <c r="AJF149" s="196"/>
      <c r="AJG149" s="196"/>
      <c r="AJH149" s="196"/>
      <c r="AJI149" s="196"/>
      <c r="AJJ149" s="196"/>
      <c r="AJK149" s="196"/>
      <c r="AJL149" s="196"/>
      <c r="AJM149" s="196"/>
      <c r="AJN149" s="196"/>
      <c r="AJO149" s="196"/>
      <c r="AJP149" s="196"/>
      <c r="AJQ149" s="196"/>
      <c r="AJR149" s="196"/>
      <c r="AJS149" s="196"/>
      <c r="AJT149" s="196"/>
      <c r="AJU149" s="196"/>
      <c r="AJV149" s="196"/>
      <c r="AJW149" s="196"/>
      <c r="AJX149" s="196"/>
      <c r="AJY149" s="196"/>
      <c r="AJZ149" s="196"/>
      <c r="AKA149" s="196"/>
      <c r="AKB149" s="196"/>
      <c r="AKC149" s="196"/>
      <c r="AKD149" s="196"/>
      <c r="AKE149" s="196"/>
      <c r="AKF149" s="196"/>
      <c r="AKG149" s="196"/>
      <c r="AKH149" s="196"/>
      <c r="AKI149" s="196"/>
      <c r="AKJ149" s="196"/>
      <c r="AKK149" s="196"/>
      <c r="AKL149" s="196"/>
      <c r="AKM149" s="196"/>
      <c r="AKN149" s="196"/>
      <c r="AKO149" s="196"/>
      <c r="AKP149" s="196"/>
      <c r="AKQ149" s="196"/>
      <c r="AKR149" s="196"/>
      <c r="AKS149" s="196"/>
      <c r="AKT149" s="196"/>
      <c r="AKU149" s="196"/>
      <c r="AKV149" s="196"/>
      <c r="AKW149" s="196"/>
      <c r="AKX149" s="196"/>
      <c r="AKY149" s="196"/>
      <c r="AKZ149" s="196"/>
      <c r="ALA149" s="196"/>
      <c r="ALB149" s="196"/>
      <c r="ALC149" s="196"/>
      <c r="ALD149" s="196"/>
      <c r="ALE149" s="196"/>
      <c r="ALF149" s="196"/>
      <c r="ALG149" s="196"/>
      <c r="ALH149" s="196"/>
      <c r="ALI149" s="196"/>
      <c r="ALJ149" s="196"/>
      <c r="ALK149" s="196"/>
      <c r="ALL149" s="196"/>
      <c r="ALM149" s="196"/>
      <c r="ALN149" s="196"/>
      <c r="ALO149" s="196"/>
      <c r="ALP149" s="196"/>
      <c r="ALQ149" s="196"/>
      <c r="ALR149" s="196"/>
      <c r="ALS149" s="196"/>
      <c r="ALT149" s="196"/>
      <c r="ALU149" s="196"/>
      <c r="ALV149" s="196"/>
      <c r="ALW149" s="196"/>
      <c r="ALX149" s="196"/>
      <c r="ALY149" s="196"/>
      <c r="ALZ149" s="196"/>
      <c r="AMA149" s="196"/>
      <c r="AMB149" s="196"/>
      <c r="AMC149" s="196"/>
      <c r="AMD149" s="196"/>
      <c r="AME149" s="196"/>
      <c r="AMF149" s="196"/>
      <c r="AMG149" s="196"/>
      <c r="AMH149" s="196"/>
      <c r="AMI149" s="196"/>
      <c r="AMJ149" s="196"/>
    </row>
    <row r="150" customFormat="false" ht="15.75" hidden="false" customHeight="true" outlineLevel="0" collapsed="false">
      <c r="A150" s="196"/>
      <c r="B150" s="206"/>
      <c r="C150" s="207"/>
      <c r="D150" s="208"/>
      <c r="E150" s="208"/>
      <c r="F150" s="209"/>
      <c r="G150" s="10"/>
      <c r="H150" s="24"/>
      <c r="I150" s="230"/>
      <c r="J150" s="7"/>
      <c r="K150" s="7"/>
      <c r="L150" s="7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  <c r="AA150" s="196"/>
      <c r="AB150" s="196"/>
      <c r="AC150" s="196"/>
      <c r="AD150" s="196"/>
      <c r="AE150" s="196"/>
      <c r="AF150" s="196"/>
      <c r="AG150" s="196"/>
      <c r="AH150" s="196"/>
      <c r="AI150" s="196"/>
      <c r="AJ150" s="196"/>
      <c r="AK150" s="196"/>
      <c r="AL150" s="196"/>
      <c r="AM150" s="196"/>
      <c r="AN150" s="196"/>
      <c r="AO150" s="196"/>
      <c r="AP150" s="196"/>
      <c r="AQ150" s="196"/>
      <c r="AR150" s="196"/>
      <c r="AS150" s="196"/>
      <c r="AT150" s="196"/>
      <c r="AU150" s="196"/>
      <c r="AV150" s="196"/>
      <c r="AW150" s="196"/>
      <c r="AX150" s="196"/>
      <c r="AY150" s="196"/>
      <c r="AZ150" s="196"/>
      <c r="BA150" s="196"/>
      <c r="BB150" s="196"/>
      <c r="BC150" s="196"/>
      <c r="BD150" s="196"/>
      <c r="BE150" s="196"/>
      <c r="BF150" s="196"/>
      <c r="BG150" s="196"/>
      <c r="BH150" s="196"/>
      <c r="BI150" s="196"/>
      <c r="BJ150" s="196"/>
      <c r="BK150" s="196"/>
      <c r="BL150" s="196"/>
      <c r="BM150" s="196"/>
      <c r="BN150" s="196"/>
      <c r="BO150" s="196"/>
      <c r="BP150" s="196"/>
      <c r="BQ150" s="196"/>
      <c r="BR150" s="196"/>
      <c r="BS150" s="196"/>
      <c r="BT150" s="196"/>
      <c r="BU150" s="196"/>
      <c r="BV150" s="196"/>
      <c r="BW150" s="196"/>
      <c r="BX150" s="196"/>
      <c r="BY150" s="196"/>
      <c r="BZ150" s="196"/>
      <c r="CA150" s="196"/>
      <c r="CB150" s="196"/>
      <c r="CC150" s="196"/>
      <c r="CD150" s="196"/>
      <c r="CE150" s="196"/>
      <c r="CF150" s="196"/>
      <c r="CG150" s="196"/>
      <c r="CH150" s="196"/>
      <c r="CI150" s="196"/>
      <c r="CJ150" s="196"/>
      <c r="CK150" s="196"/>
      <c r="CL150" s="196"/>
      <c r="CM150" s="196"/>
      <c r="CN150" s="196"/>
      <c r="CO150" s="196"/>
      <c r="CP150" s="196"/>
      <c r="CQ150" s="196"/>
      <c r="CR150" s="196"/>
      <c r="CS150" s="196"/>
      <c r="CT150" s="196"/>
      <c r="CU150" s="196"/>
      <c r="CV150" s="196"/>
      <c r="CW150" s="196"/>
      <c r="CX150" s="196"/>
      <c r="CY150" s="196"/>
      <c r="CZ150" s="196"/>
      <c r="DA150" s="196"/>
      <c r="DB150" s="196"/>
      <c r="DC150" s="196"/>
      <c r="DD150" s="196"/>
      <c r="DE150" s="196"/>
      <c r="DF150" s="196"/>
      <c r="DG150" s="196"/>
      <c r="DH150" s="196"/>
      <c r="DI150" s="196"/>
      <c r="DJ150" s="196"/>
      <c r="DK150" s="196"/>
      <c r="DL150" s="196"/>
      <c r="DM150" s="196"/>
      <c r="DN150" s="196"/>
      <c r="DO150" s="196"/>
      <c r="DP150" s="196"/>
      <c r="DQ150" s="196"/>
      <c r="DR150" s="196"/>
      <c r="DS150" s="196"/>
      <c r="DT150" s="196"/>
      <c r="DU150" s="196"/>
      <c r="DV150" s="196"/>
      <c r="DW150" s="196"/>
      <c r="DX150" s="196"/>
      <c r="DY150" s="196"/>
      <c r="DZ150" s="196"/>
      <c r="EA150" s="196"/>
      <c r="EB150" s="196"/>
      <c r="EC150" s="196"/>
      <c r="ED150" s="196"/>
      <c r="EE150" s="196"/>
      <c r="EF150" s="196"/>
      <c r="EG150" s="196"/>
      <c r="EH150" s="196"/>
      <c r="EI150" s="196"/>
      <c r="EJ150" s="196"/>
      <c r="EK150" s="196"/>
      <c r="EL150" s="196"/>
      <c r="EM150" s="196"/>
      <c r="EN150" s="196"/>
      <c r="EO150" s="196"/>
      <c r="EP150" s="196"/>
      <c r="EQ150" s="196"/>
      <c r="ER150" s="196"/>
      <c r="ES150" s="196"/>
      <c r="ET150" s="196"/>
      <c r="EU150" s="196"/>
      <c r="EV150" s="196"/>
      <c r="EW150" s="196"/>
      <c r="EX150" s="196"/>
      <c r="EY150" s="196"/>
      <c r="EZ150" s="196"/>
      <c r="FA150" s="196"/>
      <c r="FB150" s="196"/>
      <c r="FC150" s="196"/>
      <c r="FD150" s="196"/>
      <c r="FE150" s="196"/>
      <c r="FF150" s="196"/>
      <c r="FG150" s="196"/>
      <c r="FH150" s="196"/>
      <c r="FI150" s="196"/>
      <c r="FJ150" s="196"/>
      <c r="FK150" s="196"/>
      <c r="FL150" s="196"/>
      <c r="FM150" s="196"/>
      <c r="FN150" s="196"/>
      <c r="FO150" s="196"/>
      <c r="FP150" s="196"/>
      <c r="FQ150" s="196"/>
      <c r="FR150" s="196"/>
      <c r="FS150" s="196"/>
      <c r="FT150" s="196"/>
      <c r="FU150" s="196"/>
      <c r="FV150" s="196"/>
      <c r="FW150" s="196"/>
      <c r="FX150" s="196"/>
      <c r="FY150" s="196"/>
      <c r="FZ150" s="196"/>
      <c r="GA150" s="196"/>
      <c r="GB150" s="196"/>
      <c r="GC150" s="196"/>
      <c r="GD150" s="196"/>
      <c r="GE150" s="196"/>
      <c r="GF150" s="196"/>
      <c r="GG150" s="196"/>
      <c r="GH150" s="196"/>
      <c r="GI150" s="196"/>
      <c r="GJ150" s="196"/>
      <c r="GK150" s="196"/>
      <c r="GL150" s="196"/>
      <c r="GM150" s="196"/>
      <c r="GN150" s="196"/>
      <c r="GO150" s="196"/>
      <c r="GP150" s="196"/>
      <c r="GQ150" s="196"/>
      <c r="GR150" s="196"/>
      <c r="GS150" s="196"/>
      <c r="GT150" s="196"/>
      <c r="GU150" s="196"/>
      <c r="GV150" s="196"/>
      <c r="GW150" s="196"/>
      <c r="GX150" s="196"/>
      <c r="GY150" s="196"/>
      <c r="GZ150" s="196"/>
      <c r="HA150" s="196"/>
      <c r="HB150" s="196"/>
      <c r="HC150" s="196"/>
      <c r="HD150" s="196"/>
      <c r="HE150" s="196"/>
      <c r="HF150" s="196"/>
      <c r="HG150" s="196"/>
      <c r="HH150" s="196"/>
      <c r="HI150" s="196"/>
      <c r="HJ150" s="196"/>
      <c r="HK150" s="196"/>
      <c r="HL150" s="196"/>
      <c r="HM150" s="196"/>
      <c r="HN150" s="196"/>
      <c r="HO150" s="196"/>
      <c r="HP150" s="196"/>
      <c r="HQ150" s="196"/>
      <c r="HR150" s="196"/>
      <c r="HS150" s="196"/>
      <c r="HT150" s="196"/>
      <c r="HU150" s="196"/>
      <c r="HV150" s="196"/>
      <c r="HW150" s="196"/>
      <c r="HX150" s="196"/>
      <c r="HY150" s="196"/>
      <c r="HZ150" s="196"/>
      <c r="IA150" s="196"/>
      <c r="IB150" s="196"/>
      <c r="IC150" s="196"/>
      <c r="ID150" s="196"/>
      <c r="IE150" s="196"/>
      <c r="IF150" s="196"/>
      <c r="IG150" s="196"/>
      <c r="IH150" s="196"/>
      <c r="II150" s="196"/>
      <c r="IJ150" s="196"/>
      <c r="IK150" s="196"/>
      <c r="IL150" s="196"/>
      <c r="IM150" s="196"/>
      <c r="IN150" s="196"/>
      <c r="IO150" s="196"/>
      <c r="IP150" s="196"/>
      <c r="IQ150" s="196"/>
      <c r="IR150" s="196"/>
      <c r="IS150" s="196"/>
      <c r="IT150" s="196"/>
      <c r="IU150" s="196"/>
      <c r="IV150" s="196"/>
      <c r="IW150" s="196"/>
      <c r="IX150" s="196"/>
      <c r="IY150" s="196"/>
      <c r="IZ150" s="196"/>
      <c r="JA150" s="196"/>
      <c r="JB150" s="196"/>
      <c r="JC150" s="196"/>
      <c r="JD150" s="196"/>
      <c r="JE150" s="196"/>
      <c r="JF150" s="196"/>
      <c r="JG150" s="196"/>
      <c r="JH150" s="196"/>
      <c r="JI150" s="196"/>
      <c r="JJ150" s="196"/>
      <c r="JK150" s="196"/>
      <c r="JL150" s="196"/>
      <c r="JM150" s="196"/>
      <c r="JN150" s="196"/>
      <c r="JO150" s="196"/>
      <c r="JP150" s="196"/>
      <c r="JQ150" s="196"/>
      <c r="JR150" s="196"/>
      <c r="JS150" s="196"/>
      <c r="JT150" s="196"/>
      <c r="JU150" s="196"/>
      <c r="JV150" s="196"/>
      <c r="JW150" s="196"/>
      <c r="JX150" s="196"/>
      <c r="JY150" s="196"/>
      <c r="JZ150" s="196"/>
      <c r="KA150" s="196"/>
      <c r="KB150" s="196"/>
      <c r="KC150" s="196"/>
      <c r="KD150" s="196"/>
      <c r="KE150" s="196"/>
      <c r="KF150" s="196"/>
      <c r="KG150" s="196"/>
      <c r="KH150" s="196"/>
      <c r="KI150" s="196"/>
      <c r="KJ150" s="196"/>
      <c r="KK150" s="196"/>
      <c r="KL150" s="196"/>
      <c r="KM150" s="196"/>
      <c r="KN150" s="196"/>
      <c r="KO150" s="196"/>
      <c r="KP150" s="196"/>
      <c r="KQ150" s="196"/>
      <c r="KR150" s="196"/>
      <c r="KS150" s="196"/>
      <c r="KT150" s="196"/>
      <c r="KU150" s="196"/>
      <c r="KV150" s="196"/>
      <c r="KW150" s="196"/>
      <c r="KX150" s="196"/>
      <c r="KY150" s="196"/>
      <c r="KZ150" s="196"/>
      <c r="LA150" s="196"/>
      <c r="LB150" s="196"/>
      <c r="LC150" s="196"/>
      <c r="LD150" s="196"/>
      <c r="LE150" s="196"/>
      <c r="LF150" s="196"/>
      <c r="LG150" s="196"/>
      <c r="LH150" s="196"/>
      <c r="LI150" s="196"/>
      <c r="LJ150" s="196"/>
      <c r="LK150" s="196"/>
      <c r="LL150" s="196"/>
      <c r="LM150" s="196"/>
      <c r="LN150" s="196"/>
      <c r="LO150" s="196"/>
      <c r="LP150" s="196"/>
      <c r="LQ150" s="196"/>
      <c r="LR150" s="196"/>
      <c r="LS150" s="196"/>
      <c r="LT150" s="196"/>
      <c r="LU150" s="196"/>
      <c r="LV150" s="196"/>
      <c r="LW150" s="196"/>
      <c r="LX150" s="196"/>
      <c r="LY150" s="196"/>
      <c r="LZ150" s="196"/>
      <c r="MA150" s="196"/>
      <c r="MB150" s="196"/>
      <c r="MC150" s="196"/>
      <c r="MD150" s="196"/>
      <c r="ME150" s="196"/>
      <c r="MF150" s="196"/>
      <c r="MG150" s="196"/>
      <c r="MH150" s="196"/>
      <c r="MI150" s="196"/>
      <c r="MJ150" s="196"/>
      <c r="MK150" s="196"/>
      <c r="ML150" s="196"/>
      <c r="MM150" s="196"/>
      <c r="MN150" s="196"/>
      <c r="MO150" s="196"/>
      <c r="MP150" s="196"/>
      <c r="MQ150" s="196"/>
      <c r="MR150" s="196"/>
      <c r="MS150" s="196"/>
      <c r="MT150" s="196"/>
      <c r="MU150" s="196"/>
      <c r="MV150" s="196"/>
      <c r="MW150" s="196"/>
      <c r="MX150" s="196"/>
      <c r="MY150" s="196"/>
      <c r="MZ150" s="196"/>
      <c r="NA150" s="196"/>
      <c r="NB150" s="196"/>
      <c r="NC150" s="196"/>
      <c r="ND150" s="196"/>
      <c r="NE150" s="196"/>
      <c r="NF150" s="196"/>
      <c r="NG150" s="196"/>
      <c r="NH150" s="196"/>
      <c r="NI150" s="196"/>
      <c r="NJ150" s="196"/>
      <c r="NK150" s="196"/>
      <c r="NL150" s="196"/>
      <c r="NM150" s="196"/>
      <c r="NN150" s="196"/>
      <c r="NO150" s="196"/>
      <c r="NP150" s="196"/>
      <c r="NQ150" s="196"/>
      <c r="NR150" s="196"/>
      <c r="NS150" s="196"/>
      <c r="NT150" s="196"/>
      <c r="NU150" s="196"/>
      <c r="NV150" s="196"/>
      <c r="NW150" s="196"/>
      <c r="NX150" s="196"/>
      <c r="NY150" s="196"/>
      <c r="NZ150" s="196"/>
      <c r="OA150" s="196"/>
      <c r="OB150" s="196"/>
      <c r="OC150" s="196"/>
      <c r="OD150" s="196"/>
      <c r="OE150" s="196"/>
      <c r="OF150" s="196"/>
      <c r="OG150" s="196"/>
      <c r="OH150" s="196"/>
      <c r="OI150" s="196"/>
      <c r="OJ150" s="196"/>
      <c r="OK150" s="196"/>
      <c r="OL150" s="196"/>
      <c r="OM150" s="196"/>
      <c r="ON150" s="196"/>
      <c r="OO150" s="196"/>
      <c r="OP150" s="196"/>
      <c r="OQ150" s="196"/>
      <c r="OR150" s="196"/>
      <c r="OS150" s="196"/>
      <c r="OT150" s="196"/>
      <c r="OU150" s="196"/>
      <c r="OV150" s="196"/>
      <c r="OW150" s="196"/>
      <c r="OX150" s="196"/>
      <c r="OY150" s="196"/>
      <c r="OZ150" s="196"/>
      <c r="PA150" s="196"/>
      <c r="PB150" s="196"/>
      <c r="PC150" s="196"/>
      <c r="PD150" s="196"/>
      <c r="PE150" s="196"/>
      <c r="PF150" s="196"/>
      <c r="PG150" s="196"/>
      <c r="PH150" s="196"/>
      <c r="PI150" s="196"/>
      <c r="PJ150" s="196"/>
      <c r="PK150" s="196"/>
      <c r="PL150" s="196"/>
      <c r="PM150" s="196"/>
      <c r="PN150" s="196"/>
      <c r="PO150" s="196"/>
      <c r="PP150" s="196"/>
      <c r="PQ150" s="196"/>
      <c r="PR150" s="196"/>
      <c r="PS150" s="196"/>
      <c r="PT150" s="196"/>
      <c r="PU150" s="196"/>
      <c r="PV150" s="196"/>
      <c r="PW150" s="196"/>
      <c r="PX150" s="196"/>
      <c r="PY150" s="196"/>
      <c r="PZ150" s="196"/>
      <c r="QA150" s="196"/>
      <c r="QB150" s="196"/>
      <c r="QC150" s="196"/>
      <c r="QD150" s="196"/>
      <c r="QE150" s="196"/>
      <c r="QF150" s="196"/>
      <c r="QG150" s="196"/>
      <c r="QH150" s="196"/>
      <c r="QI150" s="196"/>
      <c r="QJ150" s="196"/>
      <c r="QK150" s="196"/>
      <c r="QL150" s="196"/>
      <c r="QM150" s="196"/>
      <c r="QN150" s="196"/>
      <c r="QO150" s="196"/>
      <c r="QP150" s="196"/>
      <c r="QQ150" s="196"/>
      <c r="QR150" s="196"/>
      <c r="QS150" s="196"/>
      <c r="QT150" s="196"/>
      <c r="QU150" s="196"/>
      <c r="QV150" s="196"/>
      <c r="QW150" s="196"/>
      <c r="QX150" s="196"/>
      <c r="QY150" s="196"/>
      <c r="QZ150" s="196"/>
      <c r="RA150" s="196"/>
      <c r="RB150" s="196"/>
      <c r="RC150" s="196"/>
      <c r="RD150" s="196"/>
      <c r="RE150" s="196"/>
      <c r="RF150" s="196"/>
      <c r="RG150" s="196"/>
      <c r="RH150" s="196"/>
      <c r="RI150" s="196"/>
      <c r="RJ150" s="196"/>
      <c r="RK150" s="196"/>
      <c r="RL150" s="196"/>
      <c r="RM150" s="196"/>
      <c r="RN150" s="196"/>
      <c r="RO150" s="196"/>
      <c r="RP150" s="196"/>
      <c r="RQ150" s="196"/>
      <c r="RR150" s="196"/>
      <c r="RS150" s="196"/>
      <c r="RT150" s="196"/>
      <c r="RU150" s="196"/>
      <c r="RV150" s="196"/>
      <c r="RW150" s="196"/>
      <c r="RX150" s="196"/>
      <c r="RY150" s="196"/>
      <c r="RZ150" s="196"/>
      <c r="SA150" s="196"/>
      <c r="SB150" s="196"/>
      <c r="SC150" s="196"/>
      <c r="SD150" s="196"/>
      <c r="SE150" s="196"/>
      <c r="SF150" s="196"/>
      <c r="SG150" s="196"/>
      <c r="SH150" s="196"/>
      <c r="SI150" s="196"/>
      <c r="SJ150" s="196"/>
      <c r="SK150" s="196"/>
      <c r="SL150" s="196"/>
      <c r="SM150" s="196"/>
      <c r="SN150" s="196"/>
      <c r="SO150" s="196"/>
      <c r="SP150" s="196"/>
      <c r="SQ150" s="196"/>
      <c r="SR150" s="196"/>
      <c r="SS150" s="196"/>
      <c r="ST150" s="196"/>
      <c r="SU150" s="196"/>
      <c r="SV150" s="196"/>
      <c r="SW150" s="196"/>
      <c r="SX150" s="196"/>
      <c r="SY150" s="196"/>
      <c r="SZ150" s="196"/>
      <c r="TA150" s="196"/>
      <c r="TB150" s="196"/>
      <c r="TC150" s="196"/>
      <c r="TD150" s="196"/>
      <c r="TE150" s="196"/>
      <c r="TF150" s="196"/>
      <c r="TG150" s="196"/>
      <c r="TH150" s="196"/>
      <c r="TI150" s="196"/>
      <c r="TJ150" s="196"/>
      <c r="TK150" s="196"/>
      <c r="TL150" s="196"/>
      <c r="TM150" s="196"/>
      <c r="TN150" s="196"/>
      <c r="TO150" s="196"/>
      <c r="TP150" s="196"/>
      <c r="TQ150" s="196"/>
      <c r="TR150" s="196"/>
      <c r="TS150" s="196"/>
      <c r="TT150" s="196"/>
      <c r="TU150" s="196"/>
      <c r="TV150" s="196"/>
      <c r="TW150" s="196"/>
      <c r="TX150" s="196"/>
      <c r="TY150" s="196"/>
      <c r="TZ150" s="196"/>
      <c r="UA150" s="196"/>
      <c r="UB150" s="196"/>
      <c r="UC150" s="196"/>
      <c r="UD150" s="196"/>
      <c r="UE150" s="196"/>
      <c r="UF150" s="196"/>
      <c r="UG150" s="196"/>
      <c r="UH150" s="196"/>
      <c r="UI150" s="196"/>
      <c r="UJ150" s="196"/>
      <c r="UK150" s="196"/>
      <c r="UL150" s="196"/>
      <c r="UM150" s="196"/>
      <c r="UN150" s="196"/>
      <c r="UO150" s="196"/>
      <c r="UP150" s="196"/>
      <c r="UQ150" s="196"/>
      <c r="UR150" s="196"/>
      <c r="US150" s="196"/>
      <c r="UT150" s="196"/>
      <c r="UU150" s="196"/>
      <c r="UV150" s="196"/>
      <c r="UW150" s="196"/>
      <c r="UX150" s="196"/>
      <c r="UY150" s="196"/>
      <c r="UZ150" s="196"/>
      <c r="VA150" s="196"/>
      <c r="VB150" s="196"/>
      <c r="VC150" s="196"/>
      <c r="VD150" s="196"/>
      <c r="VE150" s="196"/>
      <c r="VF150" s="196"/>
      <c r="VG150" s="196"/>
      <c r="VH150" s="196"/>
      <c r="VI150" s="196"/>
      <c r="VJ150" s="196"/>
      <c r="VK150" s="196"/>
      <c r="VL150" s="196"/>
      <c r="VM150" s="196"/>
      <c r="VN150" s="196"/>
      <c r="VO150" s="196"/>
      <c r="VP150" s="196"/>
      <c r="VQ150" s="196"/>
      <c r="VR150" s="196"/>
      <c r="VS150" s="196"/>
      <c r="VT150" s="196"/>
      <c r="VU150" s="196"/>
      <c r="VV150" s="196"/>
      <c r="VW150" s="196"/>
      <c r="VX150" s="196"/>
      <c r="VY150" s="196"/>
      <c r="VZ150" s="196"/>
      <c r="WA150" s="196"/>
      <c r="WB150" s="196"/>
      <c r="WC150" s="196"/>
      <c r="WD150" s="196"/>
      <c r="WE150" s="196"/>
      <c r="WF150" s="196"/>
      <c r="WG150" s="196"/>
      <c r="WH150" s="196"/>
      <c r="WI150" s="196"/>
      <c r="WJ150" s="196"/>
      <c r="WK150" s="196"/>
      <c r="WL150" s="196"/>
      <c r="WM150" s="196"/>
      <c r="WN150" s="196"/>
      <c r="WO150" s="196"/>
      <c r="WP150" s="196"/>
      <c r="WQ150" s="196"/>
      <c r="WR150" s="196"/>
      <c r="WS150" s="196"/>
      <c r="WT150" s="196"/>
      <c r="WU150" s="196"/>
      <c r="WV150" s="196"/>
      <c r="WW150" s="196"/>
      <c r="WX150" s="196"/>
      <c r="WY150" s="196"/>
      <c r="WZ150" s="196"/>
      <c r="XA150" s="196"/>
      <c r="XB150" s="196"/>
      <c r="XC150" s="196"/>
      <c r="XD150" s="196"/>
      <c r="XE150" s="196"/>
      <c r="XF150" s="196"/>
      <c r="XG150" s="196"/>
      <c r="XH150" s="196"/>
      <c r="XI150" s="196"/>
      <c r="XJ150" s="196"/>
      <c r="XK150" s="196"/>
      <c r="XL150" s="196"/>
      <c r="XM150" s="196"/>
      <c r="XN150" s="196"/>
      <c r="XO150" s="196"/>
      <c r="XP150" s="196"/>
      <c r="XQ150" s="196"/>
      <c r="XR150" s="196"/>
      <c r="XS150" s="196"/>
      <c r="XT150" s="196"/>
      <c r="XU150" s="196"/>
      <c r="XV150" s="196"/>
      <c r="XW150" s="196"/>
      <c r="XX150" s="196"/>
      <c r="XY150" s="196"/>
      <c r="XZ150" s="196"/>
      <c r="YA150" s="196"/>
      <c r="YB150" s="196"/>
      <c r="YC150" s="196"/>
      <c r="YD150" s="196"/>
      <c r="YE150" s="196"/>
      <c r="YF150" s="196"/>
      <c r="YG150" s="196"/>
      <c r="YH150" s="196"/>
      <c r="YI150" s="196"/>
      <c r="YJ150" s="196"/>
      <c r="YK150" s="196"/>
      <c r="YL150" s="196"/>
      <c r="YM150" s="196"/>
      <c r="YN150" s="196"/>
      <c r="YO150" s="196"/>
      <c r="YP150" s="196"/>
      <c r="YQ150" s="196"/>
      <c r="YR150" s="196"/>
      <c r="YS150" s="196"/>
      <c r="YT150" s="196"/>
      <c r="YU150" s="196"/>
      <c r="YV150" s="196"/>
      <c r="YW150" s="196"/>
      <c r="YX150" s="196"/>
      <c r="YY150" s="196"/>
      <c r="YZ150" s="196"/>
      <c r="ZA150" s="196"/>
      <c r="ZB150" s="196"/>
      <c r="ZC150" s="196"/>
      <c r="ZD150" s="196"/>
      <c r="ZE150" s="196"/>
      <c r="ZF150" s="196"/>
      <c r="ZG150" s="196"/>
      <c r="ZH150" s="196"/>
      <c r="ZI150" s="196"/>
      <c r="ZJ150" s="196"/>
      <c r="ZK150" s="196"/>
      <c r="ZL150" s="196"/>
      <c r="ZM150" s="196"/>
      <c r="ZN150" s="196"/>
      <c r="ZO150" s="196"/>
      <c r="ZP150" s="196"/>
      <c r="ZQ150" s="196"/>
      <c r="ZR150" s="196"/>
      <c r="ZS150" s="196"/>
      <c r="ZT150" s="196"/>
      <c r="ZU150" s="196"/>
      <c r="ZV150" s="196"/>
      <c r="ZW150" s="196"/>
      <c r="ZX150" s="196"/>
      <c r="ZY150" s="196"/>
      <c r="ZZ150" s="196"/>
      <c r="AAA150" s="196"/>
      <c r="AAB150" s="196"/>
      <c r="AAC150" s="196"/>
      <c r="AAD150" s="196"/>
      <c r="AAE150" s="196"/>
      <c r="AAF150" s="196"/>
      <c r="AAG150" s="196"/>
      <c r="AAH150" s="196"/>
      <c r="AAI150" s="196"/>
      <c r="AAJ150" s="196"/>
      <c r="AAK150" s="196"/>
      <c r="AAL150" s="196"/>
      <c r="AAM150" s="196"/>
      <c r="AAN150" s="196"/>
      <c r="AAO150" s="196"/>
      <c r="AAP150" s="196"/>
      <c r="AAQ150" s="196"/>
      <c r="AAR150" s="196"/>
      <c r="AAS150" s="196"/>
      <c r="AAT150" s="196"/>
      <c r="AAU150" s="196"/>
      <c r="AAV150" s="196"/>
      <c r="AAW150" s="196"/>
      <c r="AAX150" s="196"/>
      <c r="AAY150" s="196"/>
      <c r="AAZ150" s="196"/>
      <c r="ABA150" s="196"/>
      <c r="ABB150" s="196"/>
      <c r="ABC150" s="196"/>
      <c r="ABD150" s="196"/>
      <c r="ABE150" s="196"/>
      <c r="ABF150" s="196"/>
      <c r="ABG150" s="196"/>
      <c r="ABH150" s="196"/>
      <c r="ABI150" s="196"/>
      <c r="ABJ150" s="196"/>
      <c r="ABK150" s="196"/>
      <c r="ABL150" s="196"/>
      <c r="ABM150" s="196"/>
      <c r="ABN150" s="196"/>
      <c r="ABO150" s="196"/>
      <c r="ABP150" s="196"/>
      <c r="ABQ150" s="196"/>
      <c r="ABR150" s="196"/>
      <c r="ABS150" s="196"/>
      <c r="ABT150" s="196"/>
      <c r="ABU150" s="196"/>
      <c r="ABV150" s="196"/>
      <c r="ABW150" s="196"/>
      <c r="ABX150" s="196"/>
      <c r="ABY150" s="196"/>
      <c r="ABZ150" s="196"/>
      <c r="ACA150" s="196"/>
      <c r="ACB150" s="196"/>
      <c r="ACC150" s="196"/>
      <c r="ACD150" s="196"/>
      <c r="ACE150" s="196"/>
      <c r="ACF150" s="196"/>
      <c r="ACG150" s="196"/>
      <c r="ACH150" s="196"/>
      <c r="ACI150" s="196"/>
      <c r="ACJ150" s="196"/>
      <c r="ACK150" s="196"/>
      <c r="ACL150" s="196"/>
      <c r="ACM150" s="196"/>
      <c r="ACN150" s="196"/>
      <c r="ACO150" s="196"/>
      <c r="ACP150" s="196"/>
      <c r="ACQ150" s="196"/>
      <c r="ACR150" s="196"/>
      <c r="ACS150" s="196"/>
      <c r="ACT150" s="196"/>
      <c r="ACU150" s="196"/>
      <c r="ACV150" s="196"/>
      <c r="ACW150" s="196"/>
      <c r="ACX150" s="196"/>
      <c r="ACY150" s="196"/>
      <c r="ACZ150" s="196"/>
      <c r="ADA150" s="196"/>
      <c r="ADB150" s="196"/>
      <c r="ADC150" s="196"/>
      <c r="ADD150" s="196"/>
      <c r="ADE150" s="196"/>
      <c r="ADF150" s="196"/>
      <c r="ADG150" s="196"/>
      <c r="ADH150" s="196"/>
      <c r="ADI150" s="196"/>
      <c r="ADJ150" s="196"/>
      <c r="ADK150" s="196"/>
      <c r="ADL150" s="196"/>
      <c r="ADM150" s="196"/>
      <c r="ADN150" s="196"/>
      <c r="ADO150" s="196"/>
      <c r="ADP150" s="196"/>
      <c r="ADQ150" s="196"/>
      <c r="ADR150" s="196"/>
      <c r="ADS150" s="196"/>
      <c r="ADT150" s="196"/>
      <c r="ADU150" s="196"/>
      <c r="ADV150" s="196"/>
      <c r="ADW150" s="196"/>
      <c r="ADX150" s="196"/>
      <c r="ADY150" s="196"/>
      <c r="ADZ150" s="196"/>
      <c r="AEA150" s="196"/>
      <c r="AEB150" s="196"/>
      <c r="AEC150" s="196"/>
      <c r="AED150" s="196"/>
      <c r="AEE150" s="196"/>
      <c r="AEF150" s="196"/>
      <c r="AEG150" s="196"/>
      <c r="AEH150" s="196"/>
      <c r="AEI150" s="196"/>
      <c r="AEJ150" s="196"/>
      <c r="AEK150" s="196"/>
      <c r="AEL150" s="196"/>
      <c r="AEM150" s="196"/>
      <c r="AEN150" s="196"/>
      <c r="AEO150" s="196"/>
      <c r="AEP150" s="196"/>
      <c r="AEQ150" s="196"/>
      <c r="AER150" s="196"/>
      <c r="AES150" s="196"/>
      <c r="AET150" s="196"/>
      <c r="AEU150" s="196"/>
      <c r="AEV150" s="196"/>
      <c r="AEW150" s="196"/>
      <c r="AEX150" s="196"/>
      <c r="AEY150" s="196"/>
      <c r="AEZ150" s="196"/>
      <c r="AFA150" s="196"/>
      <c r="AFB150" s="196"/>
      <c r="AFC150" s="196"/>
      <c r="AFD150" s="196"/>
      <c r="AFE150" s="196"/>
      <c r="AFF150" s="196"/>
      <c r="AFG150" s="196"/>
      <c r="AFH150" s="196"/>
      <c r="AFI150" s="196"/>
      <c r="AFJ150" s="196"/>
      <c r="AFK150" s="196"/>
      <c r="AFL150" s="196"/>
      <c r="AFM150" s="196"/>
      <c r="AFN150" s="196"/>
      <c r="AFO150" s="196"/>
      <c r="AFP150" s="196"/>
      <c r="AFQ150" s="196"/>
      <c r="AFR150" s="196"/>
      <c r="AFS150" s="196"/>
      <c r="AFT150" s="196"/>
      <c r="AFU150" s="196"/>
      <c r="AFV150" s="196"/>
      <c r="AFW150" s="196"/>
      <c r="AFX150" s="196"/>
      <c r="AFY150" s="196"/>
      <c r="AFZ150" s="196"/>
      <c r="AGA150" s="196"/>
      <c r="AGB150" s="196"/>
      <c r="AGC150" s="196"/>
      <c r="AGD150" s="196"/>
      <c r="AGE150" s="196"/>
      <c r="AGF150" s="196"/>
      <c r="AGG150" s="196"/>
      <c r="AGH150" s="196"/>
      <c r="AGI150" s="196"/>
      <c r="AGJ150" s="196"/>
      <c r="AGK150" s="196"/>
      <c r="AGL150" s="196"/>
      <c r="AGM150" s="196"/>
      <c r="AGN150" s="196"/>
      <c r="AGO150" s="196"/>
      <c r="AGP150" s="196"/>
      <c r="AGQ150" s="196"/>
      <c r="AGR150" s="196"/>
      <c r="AGS150" s="196"/>
      <c r="AGT150" s="196"/>
      <c r="AGU150" s="196"/>
      <c r="AGV150" s="196"/>
      <c r="AGW150" s="196"/>
      <c r="AGX150" s="196"/>
      <c r="AGY150" s="196"/>
      <c r="AGZ150" s="196"/>
      <c r="AHA150" s="196"/>
      <c r="AHB150" s="196"/>
      <c r="AHC150" s="196"/>
      <c r="AHD150" s="196"/>
      <c r="AHE150" s="196"/>
      <c r="AHF150" s="196"/>
      <c r="AHG150" s="196"/>
      <c r="AHH150" s="196"/>
      <c r="AHI150" s="196"/>
      <c r="AHJ150" s="196"/>
      <c r="AHK150" s="196"/>
      <c r="AHL150" s="196"/>
      <c r="AHM150" s="196"/>
      <c r="AHN150" s="196"/>
      <c r="AHO150" s="196"/>
      <c r="AHP150" s="196"/>
      <c r="AHQ150" s="196"/>
      <c r="AHR150" s="196"/>
      <c r="AHS150" s="196"/>
      <c r="AHT150" s="196"/>
      <c r="AHU150" s="196"/>
      <c r="AHV150" s="196"/>
      <c r="AHW150" s="196"/>
      <c r="AHX150" s="196"/>
      <c r="AHY150" s="196"/>
      <c r="AHZ150" s="196"/>
      <c r="AIA150" s="196"/>
      <c r="AIB150" s="196"/>
      <c r="AIC150" s="196"/>
      <c r="AID150" s="196"/>
      <c r="AIE150" s="196"/>
      <c r="AIF150" s="196"/>
      <c r="AIG150" s="196"/>
      <c r="AIH150" s="196"/>
      <c r="AII150" s="196"/>
      <c r="AIJ150" s="196"/>
      <c r="AIK150" s="196"/>
      <c r="AIL150" s="196"/>
      <c r="AIM150" s="196"/>
      <c r="AIN150" s="196"/>
      <c r="AIO150" s="196"/>
      <c r="AIP150" s="196"/>
      <c r="AIQ150" s="196"/>
      <c r="AIR150" s="196"/>
      <c r="AIS150" s="196"/>
      <c r="AIT150" s="196"/>
      <c r="AIU150" s="196"/>
      <c r="AIV150" s="196"/>
      <c r="AIW150" s="196"/>
      <c r="AIX150" s="196"/>
      <c r="AIY150" s="196"/>
      <c r="AIZ150" s="196"/>
      <c r="AJA150" s="196"/>
      <c r="AJB150" s="196"/>
      <c r="AJC150" s="196"/>
      <c r="AJD150" s="196"/>
      <c r="AJE150" s="196"/>
      <c r="AJF150" s="196"/>
      <c r="AJG150" s="196"/>
      <c r="AJH150" s="196"/>
      <c r="AJI150" s="196"/>
      <c r="AJJ150" s="196"/>
      <c r="AJK150" s="196"/>
      <c r="AJL150" s="196"/>
      <c r="AJM150" s="196"/>
      <c r="AJN150" s="196"/>
      <c r="AJO150" s="196"/>
      <c r="AJP150" s="196"/>
      <c r="AJQ150" s="196"/>
      <c r="AJR150" s="196"/>
      <c r="AJS150" s="196"/>
      <c r="AJT150" s="196"/>
      <c r="AJU150" s="196"/>
      <c r="AJV150" s="196"/>
      <c r="AJW150" s="196"/>
      <c r="AJX150" s="196"/>
      <c r="AJY150" s="196"/>
      <c r="AJZ150" s="196"/>
      <c r="AKA150" s="196"/>
      <c r="AKB150" s="196"/>
      <c r="AKC150" s="196"/>
      <c r="AKD150" s="196"/>
      <c r="AKE150" s="196"/>
      <c r="AKF150" s="196"/>
      <c r="AKG150" s="196"/>
      <c r="AKH150" s="196"/>
      <c r="AKI150" s="196"/>
      <c r="AKJ150" s="196"/>
      <c r="AKK150" s="196"/>
      <c r="AKL150" s="196"/>
      <c r="AKM150" s="196"/>
      <c r="AKN150" s="196"/>
      <c r="AKO150" s="196"/>
      <c r="AKP150" s="196"/>
      <c r="AKQ150" s="196"/>
      <c r="AKR150" s="196"/>
      <c r="AKS150" s="196"/>
      <c r="AKT150" s="196"/>
      <c r="AKU150" s="196"/>
      <c r="AKV150" s="196"/>
      <c r="AKW150" s="196"/>
      <c r="AKX150" s="196"/>
      <c r="AKY150" s="196"/>
      <c r="AKZ150" s="196"/>
      <c r="ALA150" s="196"/>
      <c r="ALB150" s="196"/>
      <c r="ALC150" s="196"/>
      <c r="ALD150" s="196"/>
      <c r="ALE150" s="196"/>
      <c r="ALF150" s="196"/>
      <c r="ALG150" s="196"/>
      <c r="ALH150" s="196"/>
      <c r="ALI150" s="196"/>
      <c r="ALJ150" s="196"/>
      <c r="ALK150" s="196"/>
      <c r="ALL150" s="196"/>
      <c r="ALM150" s="196"/>
      <c r="ALN150" s="196"/>
      <c r="ALO150" s="196"/>
      <c r="ALP150" s="196"/>
      <c r="ALQ150" s="196"/>
      <c r="ALR150" s="196"/>
      <c r="ALS150" s="196"/>
      <c r="ALT150" s="196"/>
      <c r="ALU150" s="196"/>
      <c r="ALV150" s="196"/>
      <c r="ALW150" s="196"/>
      <c r="ALX150" s="196"/>
      <c r="ALY150" s="196"/>
      <c r="ALZ150" s="196"/>
      <c r="AMA150" s="196"/>
      <c r="AMB150" s="196"/>
      <c r="AMC150" s="196"/>
      <c r="AMD150" s="196"/>
      <c r="AME150" s="196"/>
      <c r="AMF150" s="196"/>
      <c r="AMG150" s="196"/>
      <c r="AMH150" s="196"/>
      <c r="AMI150" s="196"/>
      <c r="AMJ150" s="196"/>
    </row>
    <row r="151" customFormat="false" ht="15.75" hidden="false" customHeight="true" outlineLevel="0" collapsed="false">
      <c r="A151" s="196"/>
      <c r="B151" s="308" t="s">
        <v>138</v>
      </c>
      <c r="C151" s="308"/>
      <c r="D151" s="308"/>
      <c r="E151" s="308"/>
      <c r="F151" s="308"/>
      <c r="G151" s="10"/>
      <c r="H151" s="255"/>
      <c r="I151" s="255"/>
      <c r="J151" s="255"/>
      <c r="K151" s="255"/>
      <c r="L151" s="255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  <c r="AA151" s="196"/>
      <c r="AB151" s="196"/>
      <c r="AC151" s="196"/>
      <c r="AD151" s="196"/>
      <c r="AE151" s="196"/>
      <c r="AF151" s="196"/>
      <c r="AG151" s="196"/>
      <c r="AH151" s="196"/>
      <c r="AI151" s="196"/>
      <c r="AJ151" s="196"/>
      <c r="AK151" s="196"/>
      <c r="AL151" s="196"/>
      <c r="AM151" s="196"/>
      <c r="AN151" s="196"/>
      <c r="AO151" s="196"/>
      <c r="AP151" s="196"/>
      <c r="AQ151" s="196"/>
      <c r="AR151" s="196"/>
      <c r="AS151" s="196"/>
      <c r="AT151" s="196"/>
      <c r="AU151" s="196"/>
      <c r="AV151" s="196"/>
      <c r="AW151" s="196"/>
      <c r="AX151" s="196"/>
      <c r="AY151" s="196"/>
      <c r="AZ151" s="196"/>
      <c r="BA151" s="196"/>
      <c r="BB151" s="196"/>
      <c r="BC151" s="196"/>
      <c r="BD151" s="196"/>
      <c r="BE151" s="196"/>
      <c r="BF151" s="196"/>
      <c r="BG151" s="196"/>
      <c r="BH151" s="196"/>
      <c r="BI151" s="196"/>
      <c r="BJ151" s="196"/>
      <c r="BK151" s="196"/>
      <c r="BL151" s="196"/>
      <c r="BM151" s="196"/>
      <c r="BN151" s="196"/>
      <c r="BO151" s="196"/>
      <c r="BP151" s="196"/>
      <c r="BQ151" s="196"/>
      <c r="BR151" s="196"/>
      <c r="BS151" s="196"/>
      <c r="BT151" s="196"/>
      <c r="BU151" s="196"/>
      <c r="BV151" s="196"/>
      <c r="BW151" s="196"/>
      <c r="BX151" s="196"/>
      <c r="BY151" s="196"/>
      <c r="BZ151" s="196"/>
      <c r="CA151" s="196"/>
      <c r="CB151" s="196"/>
      <c r="CC151" s="196"/>
      <c r="CD151" s="196"/>
      <c r="CE151" s="196"/>
      <c r="CF151" s="196"/>
      <c r="CG151" s="196"/>
      <c r="CH151" s="196"/>
      <c r="CI151" s="196"/>
      <c r="CJ151" s="196"/>
      <c r="CK151" s="196"/>
      <c r="CL151" s="196"/>
      <c r="CM151" s="196"/>
      <c r="CN151" s="196"/>
      <c r="CO151" s="196"/>
      <c r="CP151" s="196"/>
      <c r="CQ151" s="196"/>
      <c r="CR151" s="196"/>
      <c r="CS151" s="196"/>
      <c r="CT151" s="196"/>
      <c r="CU151" s="196"/>
      <c r="CV151" s="196"/>
      <c r="CW151" s="196"/>
      <c r="CX151" s="196"/>
      <c r="CY151" s="196"/>
      <c r="CZ151" s="196"/>
      <c r="DA151" s="196"/>
      <c r="DB151" s="196"/>
      <c r="DC151" s="196"/>
      <c r="DD151" s="196"/>
      <c r="DE151" s="196"/>
      <c r="DF151" s="196"/>
      <c r="DG151" s="196"/>
      <c r="DH151" s="196"/>
      <c r="DI151" s="196"/>
      <c r="DJ151" s="196"/>
      <c r="DK151" s="196"/>
      <c r="DL151" s="196"/>
      <c r="DM151" s="196"/>
      <c r="DN151" s="196"/>
      <c r="DO151" s="196"/>
      <c r="DP151" s="196"/>
      <c r="DQ151" s="196"/>
      <c r="DR151" s="196"/>
      <c r="DS151" s="196"/>
      <c r="DT151" s="196"/>
      <c r="DU151" s="196"/>
      <c r="DV151" s="196"/>
      <c r="DW151" s="196"/>
      <c r="DX151" s="196"/>
      <c r="DY151" s="196"/>
      <c r="DZ151" s="196"/>
      <c r="EA151" s="196"/>
      <c r="EB151" s="196"/>
      <c r="EC151" s="196"/>
      <c r="ED151" s="196"/>
      <c r="EE151" s="196"/>
      <c r="EF151" s="196"/>
      <c r="EG151" s="196"/>
      <c r="EH151" s="196"/>
      <c r="EI151" s="196"/>
      <c r="EJ151" s="196"/>
      <c r="EK151" s="196"/>
      <c r="EL151" s="196"/>
      <c r="EM151" s="196"/>
      <c r="EN151" s="196"/>
      <c r="EO151" s="196"/>
      <c r="EP151" s="196"/>
      <c r="EQ151" s="196"/>
      <c r="ER151" s="196"/>
      <c r="ES151" s="196"/>
      <c r="ET151" s="196"/>
      <c r="EU151" s="196"/>
      <c r="EV151" s="196"/>
      <c r="EW151" s="196"/>
      <c r="EX151" s="196"/>
      <c r="EY151" s="196"/>
      <c r="EZ151" s="196"/>
      <c r="FA151" s="196"/>
      <c r="FB151" s="196"/>
      <c r="FC151" s="196"/>
      <c r="FD151" s="196"/>
      <c r="FE151" s="196"/>
      <c r="FF151" s="196"/>
      <c r="FG151" s="196"/>
      <c r="FH151" s="196"/>
      <c r="FI151" s="196"/>
      <c r="FJ151" s="196"/>
      <c r="FK151" s="196"/>
      <c r="FL151" s="196"/>
      <c r="FM151" s="196"/>
      <c r="FN151" s="196"/>
      <c r="FO151" s="196"/>
      <c r="FP151" s="196"/>
      <c r="FQ151" s="196"/>
      <c r="FR151" s="196"/>
      <c r="FS151" s="196"/>
      <c r="FT151" s="196"/>
      <c r="FU151" s="196"/>
      <c r="FV151" s="196"/>
      <c r="FW151" s="196"/>
      <c r="FX151" s="196"/>
      <c r="FY151" s="196"/>
      <c r="FZ151" s="196"/>
      <c r="GA151" s="196"/>
      <c r="GB151" s="196"/>
      <c r="GC151" s="196"/>
      <c r="GD151" s="196"/>
      <c r="GE151" s="196"/>
      <c r="GF151" s="196"/>
      <c r="GG151" s="196"/>
      <c r="GH151" s="196"/>
      <c r="GI151" s="196"/>
      <c r="GJ151" s="196"/>
      <c r="GK151" s="196"/>
      <c r="GL151" s="196"/>
      <c r="GM151" s="196"/>
      <c r="GN151" s="196"/>
      <c r="GO151" s="196"/>
      <c r="GP151" s="196"/>
      <c r="GQ151" s="196"/>
      <c r="GR151" s="196"/>
      <c r="GS151" s="196"/>
      <c r="GT151" s="196"/>
      <c r="GU151" s="196"/>
      <c r="GV151" s="196"/>
      <c r="GW151" s="196"/>
      <c r="GX151" s="196"/>
      <c r="GY151" s="196"/>
      <c r="GZ151" s="196"/>
      <c r="HA151" s="196"/>
      <c r="HB151" s="196"/>
      <c r="HC151" s="196"/>
      <c r="HD151" s="196"/>
      <c r="HE151" s="196"/>
      <c r="HF151" s="196"/>
      <c r="HG151" s="196"/>
      <c r="HH151" s="196"/>
      <c r="HI151" s="196"/>
      <c r="HJ151" s="196"/>
      <c r="HK151" s="196"/>
      <c r="HL151" s="196"/>
      <c r="HM151" s="196"/>
      <c r="HN151" s="196"/>
      <c r="HO151" s="196"/>
      <c r="HP151" s="196"/>
      <c r="HQ151" s="196"/>
      <c r="HR151" s="196"/>
      <c r="HS151" s="196"/>
      <c r="HT151" s="196"/>
      <c r="HU151" s="196"/>
      <c r="HV151" s="196"/>
      <c r="HW151" s="196"/>
      <c r="HX151" s="196"/>
      <c r="HY151" s="196"/>
      <c r="HZ151" s="196"/>
      <c r="IA151" s="196"/>
      <c r="IB151" s="196"/>
      <c r="IC151" s="196"/>
      <c r="ID151" s="196"/>
      <c r="IE151" s="196"/>
      <c r="IF151" s="196"/>
      <c r="IG151" s="196"/>
      <c r="IH151" s="196"/>
      <c r="II151" s="196"/>
      <c r="IJ151" s="196"/>
      <c r="IK151" s="196"/>
      <c r="IL151" s="196"/>
      <c r="IM151" s="196"/>
      <c r="IN151" s="196"/>
      <c r="IO151" s="196"/>
      <c r="IP151" s="196"/>
      <c r="IQ151" s="196"/>
      <c r="IR151" s="196"/>
      <c r="IS151" s="196"/>
      <c r="IT151" s="196"/>
      <c r="IU151" s="196"/>
      <c r="IV151" s="196"/>
      <c r="IW151" s="196"/>
      <c r="IX151" s="196"/>
      <c r="IY151" s="196"/>
      <c r="IZ151" s="196"/>
      <c r="JA151" s="196"/>
      <c r="JB151" s="196"/>
      <c r="JC151" s="196"/>
      <c r="JD151" s="196"/>
      <c r="JE151" s="196"/>
      <c r="JF151" s="196"/>
      <c r="JG151" s="196"/>
      <c r="JH151" s="196"/>
      <c r="JI151" s="196"/>
      <c r="JJ151" s="196"/>
      <c r="JK151" s="196"/>
      <c r="JL151" s="196"/>
      <c r="JM151" s="196"/>
      <c r="JN151" s="196"/>
      <c r="JO151" s="196"/>
      <c r="JP151" s="196"/>
      <c r="JQ151" s="196"/>
      <c r="JR151" s="196"/>
      <c r="JS151" s="196"/>
      <c r="JT151" s="196"/>
      <c r="JU151" s="196"/>
      <c r="JV151" s="196"/>
      <c r="JW151" s="196"/>
      <c r="JX151" s="196"/>
      <c r="JY151" s="196"/>
      <c r="JZ151" s="196"/>
      <c r="KA151" s="196"/>
      <c r="KB151" s="196"/>
      <c r="KC151" s="196"/>
      <c r="KD151" s="196"/>
      <c r="KE151" s="196"/>
      <c r="KF151" s="196"/>
      <c r="KG151" s="196"/>
      <c r="KH151" s="196"/>
      <c r="KI151" s="196"/>
      <c r="KJ151" s="196"/>
      <c r="KK151" s="196"/>
      <c r="KL151" s="196"/>
      <c r="KM151" s="196"/>
      <c r="KN151" s="196"/>
      <c r="KO151" s="196"/>
      <c r="KP151" s="196"/>
      <c r="KQ151" s="196"/>
      <c r="KR151" s="196"/>
      <c r="KS151" s="196"/>
      <c r="KT151" s="196"/>
      <c r="KU151" s="196"/>
      <c r="KV151" s="196"/>
      <c r="KW151" s="196"/>
      <c r="KX151" s="196"/>
      <c r="KY151" s="196"/>
      <c r="KZ151" s="196"/>
      <c r="LA151" s="196"/>
      <c r="LB151" s="196"/>
      <c r="LC151" s="196"/>
      <c r="LD151" s="196"/>
      <c r="LE151" s="196"/>
      <c r="LF151" s="196"/>
      <c r="LG151" s="196"/>
      <c r="LH151" s="196"/>
      <c r="LI151" s="196"/>
      <c r="LJ151" s="196"/>
      <c r="LK151" s="196"/>
      <c r="LL151" s="196"/>
      <c r="LM151" s="196"/>
      <c r="LN151" s="196"/>
      <c r="LO151" s="196"/>
      <c r="LP151" s="196"/>
      <c r="LQ151" s="196"/>
      <c r="LR151" s="196"/>
      <c r="LS151" s="196"/>
      <c r="LT151" s="196"/>
      <c r="LU151" s="196"/>
      <c r="LV151" s="196"/>
      <c r="LW151" s="196"/>
      <c r="LX151" s="196"/>
      <c r="LY151" s="196"/>
      <c r="LZ151" s="196"/>
      <c r="MA151" s="196"/>
      <c r="MB151" s="196"/>
      <c r="MC151" s="196"/>
      <c r="MD151" s="196"/>
      <c r="ME151" s="196"/>
      <c r="MF151" s="196"/>
      <c r="MG151" s="196"/>
      <c r="MH151" s="196"/>
      <c r="MI151" s="196"/>
      <c r="MJ151" s="196"/>
      <c r="MK151" s="196"/>
      <c r="ML151" s="196"/>
      <c r="MM151" s="196"/>
      <c r="MN151" s="196"/>
      <c r="MO151" s="196"/>
      <c r="MP151" s="196"/>
      <c r="MQ151" s="196"/>
      <c r="MR151" s="196"/>
      <c r="MS151" s="196"/>
      <c r="MT151" s="196"/>
      <c r="MU151" s="196"/>
      <c r="MV151" s="196"/>
      <c r="MW151" s="196"/>
      <c r="MX151" s="196"/>
      <c r="MY151" s="196"/>
      <c r="MZ151" s="196"/>
      <c r="NA151" s="196"/>
      <c r="NB151" s="196"/>
      <c r="NC151" s="196"/>
      <c r="ND151" s="196"/>
      <c r="NE151" s="196"/>
      <c r="NF151" s="196"/>
      <c r="NG151" s="196"/>
      <c r="NH151" s="196"/>
      <c r="NI151" s="196"/>
      <c r="NJ151" s="196"/>
      <c r="NK151" s="196"/>
      <c r="NL151" s="196"/>
      <c r="NM151" s="196"/>
      <c r="NN151" s="196"/>
      <c r="NO151" s="196"/>
      <c r="NP151" s="196"/>
      <c r="NQ151" s="196"/>
      <c r="NR151" s="196"/>
      <c r="NS151" s="196"/>
      <c r="NT151" s="196"/>
      <c r="NU151" s="196"/>
      <c r="NV151" s="196"/>
      <c r="NW151" s="196"/>
      <c r="NX151" s="196"/>
      <c r="NY151" s="196"/>
      <c r="NZ151" s="196"/>
      <c r="OA151" s="196"/>
      <c r="OB151" s="196"/>
      <c r="OC151" s="196"/>
      <c r="OD151" s="196"/>
      <c r="OE151" s="196"/>
      <c r="OF151" s="196"/>
      <c r="OG151" s="196"/>
      <c r="OH151" s="196"/>
      <c r="OI151" s="196"/>
      <c r="OJ151" s="196"/>
      <c r="OK151" s="196"/>
      <c r="OL151" s="196"/>
      <c r="OM151" s="196"/>
      <c r="ON151" s="196"/>
      <c r="OO151" s="196"/>
      <c r="OP151" s="196"/>
      <c r="OQ151" s="196"/>
      <c r="OR151" s="196"/>
      <c r="OS151" s="196"/>
      <c r="OT151" s="196"/>
      <c r="OU151" s="196"/>
      <c r="OV151" s="196"/>
      <c r="OW151" s="196"/>
      <c r="OX151" s="196"/>
      <c r="OY151" s="196"/>
      <c r="OZ151" s="196"/>
      <c r="PA151" s="196"/>
      <c r="PB151" s="196"/>
      <c r="PC151" s="196"/>
      <c r="PD151" s="196"/>
      <c r="PE151" s="196"/>
      <c r="PF151" s="196"/>
      <c r="PG151" s="196"/>
      <c r="PH151" s="196"/>
      <c r="PI151" s="196"/>
      <c r="PJ151" s="196"/>
      <c r="PK151" s="196"/>
      <c r="PL151" s="196"/>
      <c r="PM151" s="196"/>
      <c r="PN151" s="196"/>
      <c r="PO151" s="196"/>
      <c r="PP151" s="196"/>
      <c r="PQ151" s="196"/>
      <c r="PR151" s="196"/>
      <c r="PS151" s="196"/>
      <c r="PT151" s="196"/>
      <c r="PU151" s="196"/>
      <c r="PV151" s="196"/>
      <c r="PW151" s="196"/>
      <c r="PX151" s="196"/>
      <c r="PY151" s="196"/>
      <c r="PZ151" s="196"/>
      <c r="QA151" s="196"/>
      <c r="QB151" s="196"/>
      <c r="QC151" s="196"/>
      <c r="QD151" s="196"/>
      <c r="QE151" s="196"/>
      <c r="QF151" s="196"/>
      <c r="QG151" s="196"/>
      <c r="QH151" s="196"/>
      <c r="QI151" s="196"/>
      <c r="QJ151" s="196"/>
      <c r="QK151" s="196"/>
      <c r="QL151" s="196"/>
      <c r="QM151" s="196"/>
      <c r="QN151" s="196"/>
      <c r="QO151" s="196"/>
      <c r="QP151" s="196"/>
      <c r="QQ151" s="196"/>
      <c r="QR151" s="196"/>
      <c r="QS151" s="196"/>
      <c r="QT151" s="196"/>
      <c r="QU151" s="196"/>
      <c r="QV151" s="196"/>
      <c r="QW151" s="196"/>
      <c r="QX151" s="196"/>
      <c r="QY151" s="196"/>
      <c r="QZ151" s="196"/>
      <c r="RA151" s="196"/>
      <c r="RB151" s="196"/>
      <c r="RC151" s="196"/>
      <c r="RD151" s="196"/>
      <c r="RE151" s="196"/>
      <c r="RF151" s="196"/>
      <c r="RG151" s="196"/>
      <c r="RH151" s="196"/>
      <c r="RI151" s="196"/>
      <c r="RJ151" s="196"/>
      <c r="RK151" s="196"/>
      <c r="RL151" s="196"/>
      <c r="RM151" s="196"/>
      <c r="RN151" s="196"/>
      <c r="RO151" s="196"/>
      <c r="RP151" s="196"/>
      <c r="RQ151" s="196"/>
      <c r="RR151" s="196"/>
      <c r="RS151" s="196"/>
      <c r="RT151" s="196"/>
      <c r="RU151" s="196"/>
      <c r="RV151" s="196"/>
      <c r="RW151" s="196"/>
      <c r="RX151" s="196"/>
      <c r="RY151" s="196"/>
      <c r="RZ151" s="196"/>
      <c r="SA151" s="196"/>
      <c r="SB151" s="196"/>
      <c r="SC151" s="196"/>
      <c r="SD151" s="196"/>
      <c r="SE151" s="196"/>
      <c r="SF151" s="196"/>
      <c r="SG151" s="196"/>
      <c r="SH151" s="196"/>
      <c r="SI151" s="196"/>
      <c r="SJ151" s="196"/>
      <c r="SK151" s="196"/>
      <c r="SL151" s="196"/>
      <c r="SM151" s="196"/>
      <c r="SN151" s="196"/>
      <c r="SO151" s="196"/>
      <c r="SP151" s="196"/>
      <c r="SQ151" s="196"/>
      <c r="SR151" s="196"/>
      <c r="SS151" s="196"/>
      <c r="ST151" s="196"/>
      <c r="SU151" s="196"/>
      <c r="SV151" s="196"/>
      <c r="SW151" s="196"/>
      <c r="SX151" s="196"/>
      <c r="SY151" s="196"/>
      <c r="SZ151" s="196"/>
      <c r="TA151" s="196"/>
      <c r="TB151" s="196"/>
      <c r="TC151" s="196"/>
      <c r="TD151" s="196"/>
      <c r="TE151" s="196"/>
      <c r="TF151" s="196"/>
      <c r="TG151" s="196"/>
      <c r="TH151" s="196"/>
      <c r="TI151" s="196"/>
      <c r="TJ151" s="196"/>
      <c r="TK151" s="196"/>
      <c r="TL151" s="196"/>
      <c r="TM151" s="196"/>
      <c r="TN151" s="196"/>
      <c r="TO151" s="196"/>
      <c r="TP151" s="196"/>
      <c r="TQ151" s="196"/>
      <c r="TR151" s="196"/>
      <c r="TS151" s="196"/>
      <c r="TT151" s="196"/>
      <c r="TU151" s="196"/>
      <c r="TV151" s="196"/>
      <c r="TW151" s="196"/>
      <c r="TX151" s="196"/>
      <c r="TY151" s="196"/>
      <c r="TZ151" s="196"/>
      <c r="UA151" s="196"/>
      <c r="UB151" s="196"/>
      <c r="UC151" s="196"/>
      <c r="UD151" s="196"/>
      <c r="UE151" s="196"/>
      <c r="UF151" s="196"/>
      <c r="UG151" s="196"/>
      <c r="UH151" s="196"/>
      <c r="UI151" s="196"/>
      <c r="UJ151" s="196"/>
      <c r="UK151" s="196"/>
      <c r="UL151" s="196"/>
      <c r="UM151" s="196"/>
      <c r="UN151" s="196"/>
      <c r="UO151" s="196"/>
      <c r="UP151" s="196"/>
      <c r="UQ151" s="196"/>
      <c r="UR151" s="196"/>
      <c r="US151" s="196"/>
      <c r="UT151" s="196"/>
      <c r="UU151" s="196"/>
      <c r="UV151" s="196"/>
      <c r="UW151" s="196"/>
      <c r="UX151" s="196"/>
      <c r="UY151" s="196"/>
      <c r="UZ151" s="196"/>
      <c r="VA151" s="196"/>
      <c r="VB151" s="196"/>
      <c r="VC151" s="196"/>
      <c r="VD151" s="196"/>
      <c r="VE151" s="196"/>
      <c r="VF151" s="196"/>
      <c r="VG151" s="196"/>
      <c r="VH151" s="196"/>
      <c r="VI151" s="196"/>
      <c r="VJ151" s="196"/>
      <c r="VK151" s="196"/>
      <c r="VL151" s="196"/>
      <c r="VM151" s="196"/>
      <c r="VN151" s="196"/>
      <c r="VO151" s="196"/>
      <c r="VP151" s="196"/>
      <c r="VQ151" s="196"/>
      <c r="VR151" s="196"/>
      <c r="VS151" s="196"/>
      <c r="VT151" s="196"/>
      <c r="VU151" s="196"/>
      <c r="VV151" s="196"/>
      <c r="VW151" s="196"/>
      <c r="VX151" s="196"/>
      <c r="VY151" s="196"/>
      <c r="VZ151" s="196"/>
      <c r="WA151" s="196"/>
      <c r="WB151" s="196"/>
      <c r="WC151" s="196"/>
      <c r="WD151" s="196"/>
      <c r="WE151" s="196"/>
      <c r="WF151" s="196"/>
      <c r="WG151" s="196"/>
      <c r="WH151" s="196"/>
      <c r="WI151" s="196"/>
      <c r="WJ151" s="196"/>
      <c r="WK151" s="196"/>
      <c r="WL151" s="196"/>
      <c r="WM151" s="196"/>
      <c r="WN151" s="196"/>
      <c r="WO151" s="196"/>
      <c r="WP151" s="196"/>
      <c r="WQ151" s="196"/>
      <c r="WR151" s="196"/>
      <c r="WS151" s="196"/>
      <c r="WT151" s="196"/>
      <c r="WU151" s="196"/>
      <c r="WV151" s="196"/>
      <c r="WW151" s="196"/>
      <c r="WX151" s="196"/>
      <c r="WY151" s="196"/>
      <c r="WZ151" s="196"/>
      <c r="XA151" s="196"/>
      <c r="XB151" s="196"/>
      <c r="XC151" s="196"/>
      <c r="XD151" s="196"/>
      <c r="XE151" s="196"/>
      <c r="XF151" s="196"/>
      <c r="XG151" s="196"/>
      <c r="XH151" s="196"/>
      <c r="XI151" s="196"/>
      <c r="XJ151" s="196"/>
      <c r="XK151" s="196"/>
      <c r="XL151" s="196"/>
      <c r="XM151" s="196"/>
      <c r="XN151" s="196"/>
      <c r="XO151" s="196"/>
      <c r="XP151" s="196"/>
      <c r="XQ151" s="196"/>
      <c r="XR151" s="196"/>
      <c r="XS151" s="196"/>
      <c r="XT151" s="196"/>
      <c r="XU151" s="196"/>
      <c r="XV151" s="196"/>
      <c r="XW151" s="196"/>
      <c r="XX151" s="196"/>
      <c r="XY151" s="196"/>
      <c r="XZ151" s="196"/>
      <c r="YA151" s="196"/>
      <c r="YB151" s="196"/>
      <c r="YC151" s="196"/>
      <c r="YD151" s="196"/>
      <c r="YE151" s="196"/>
      <c r="YF151" s="196"/>
      <c r="YG151" s="196"/>
      <c r="YH151" s="196"/>
      <c r="YI151" s="196"/>
      <c r="YJ151" s="196"/>
      <c r="YK151" s="196"/>
      <c r="YL151" s="196"/>
      <c r="YM151" s="196"/>
      <c r="YN151" s="196"/>
      <c r="YO151" s="196"/>
      <c r="YP151" s="196"/>
      <c r="YQ151" s="196"/>
      <c r="YR151" s="196"/>
      <c r="YS151" s="196"/>
      <c r="YT151" s="196"/>
      <c r="YU151" s="196"/>
      <c r="YV151" s="196"/>
      <c r="YW151" s="196"/>
      <c r="YX151" s="196"/>
      <c r="YY151" s="196"/>
      <c r="YZ151" s="196"/>
      <c r="ZA151" s="196"/>
      <c r="ZB151" s="196"/>
      <c r="ZC151" s="196"/>
      <c r="ZD151" s="196"/>
      <c r="ZE151" s="196"/>
      <c r="ZF151" s="196"/>
      <c r="ZG151" s="196"/>
      <c r="ZH151" s="196"/>
      <c r="ZI151" s="196"/>
      <c r="ZJ151" s="196"/>
      <c r="ZK151" s="196"/>
      <c r="ZL151" s="196"/>
      <c r="ZM151" s="196"/>
      <c r="ZN151" s="196"/>
      <c r="ZO151" s="196"/>
      <c r="ZP151" s="196"/>
      <c r="ZQ151" s="196"/>
      <c r="ZR151" s="196"/>
      <c r="ZS151" s="196"/>
      <c r="ZT151" s="196"/>
      <c r="ZU151" s="196"/>
      <c r="ZV151" s="196"/>
      <c r="ZW151" s="196"/>
      <c r="ZX151" s="196"/>
      <c r="ZY151" s="196"/>
      <c r="ZZ151" s="196"/>
      <c r="AAA151" s="196"/>
      <c r="AAB151" s="196"/>
      <c r="AAC151" s="196"/>
      <c r="AAD151" s="196"/>
      <c r="AAE151" s="196"/>
      <c r="AAF151" s="196"/>
      <c r="AAG151" s="196"/>
      <c r="AAH151" s="196"/>
      <c r="AAI151" s="196"/>
      <c r="AAJ151" s="196"/>
      <c r="AAK151" s="196"/>
      <c r="AAL151" s="196"/>
      <c r="AAM151" s="196"/>
      <c r="AAN151" s="196"/>
      <c r="AAO151" s="196"/>
      <c r="AAP151" s="196"/>
      <c r="AAQ151" s="196"/>
      <c r="AAR151" s="196"/>
      <c r="AAS151" s="196"/>
      <c r="AAT151" s="196"/>
      <c r="AAU151" s="196"/>
      <c r="AAV151" s="196"/>
      <c r="AAW151" s="196"/>
      <c r="AAX151" s="196"/>
      <c r="AAY151" s="196"/>
      <c r="AAZ151" s="196"/>
      <c r="ABA151" s="196"/>
      <c r="ABB151" s="196"/>
      <c r="ABC151" s="196"/>
      <c r="ABD151" s="196"/>
      <c r="ABE151" s="196"/>
      <c r="ABF151" s="196"/>
      <c r="ABG151" s="196"/>
      <c r="ABH151" s="196"/>
      <c r="ABI151" s="196"/>
      <c r="ABJ151" s="196"/>
      <c r="ABK151" s="196"/>
      <c r="ABL151" s="196"/>
      <c r="ABM151" s="196"/>
      <c r="ABN151" s="196"/>
      <c r="ABO151" s="196"/>
      <c r="ABP151" s="196"/>
      <c r="ABQ151" s="196"/>
      <c r="ABR151" s="196"/>
      <c r="ABS151" s="196"/>
      <c r="ABT151" s="196"/>
      <c r="ABU151" s="196"/>
      <c r="ABV151" s="196"/>
      <c r="ABW151" s="196"/>
      <c r="ABX151" s="196"/>
      <c r="ABY151" s="196"/>
      <c r="ABZ151" s="196"/>
      <c r="ACA151" s="196"/>
      <c r="ACB151" s="196"/>
      <c r="ACC151" s="196"/>
      <c r="ACD151" s="196"/>
      <c r="ACE151" s="196"/>
      <c r="ACF151" s="196"/>
      <c r="ACG151" s="196"/>
      <c r="ACH151" s="196"/>
      <c r="ACI151" s="196"/>
      <c r="ACJ151" s="196"/>
      <c r="ACK151" s="196"/>
      <c r="ACL151" s="196"/>
      <c r="ACM151" s="196"/>
      <c r="ACN151" s="196"/>
      <c r="ACO151" s="196"/>
      <c r="ACP151" s="196"/>
      <c r="ACQ151" s="196"/>
      <c r="ACR151" s="196"/>
      <c r="ACS151" s="196"/>
      <c r="ACT151" s="196"/>
      <c r="ACU151" s="196"/>
      <c r="ACV151" s="196"/>
      <c r="ACW151" s="196"/>
      <c r="ACX151" s="196"/>
      <c r="ACY151" s="196"/>
      <c r="ACZ151" s="196"/>
      <c r="ADA151" s="196"/>
      <c r="ADB151" s="196"/>
      <c r="ADC151" s="196"/>
      <c r="ADD151" s="196"/>
      <c r="ADE151" s="196"/>
      <c r="ADF151" s="196"/>
      <c r="ADG151" s="196"/>
      <c r="ADH151" s="196"/>
      <c r="ADI151" s="196"/>
      <c r="ADJ151" s="196"/>
      <c r="ADK151" s="196"/>
      <c r="ADL151" s="196"/>
      <c r="ADM151" s="196"/>
      <c r="ADN151" s="196"/>
      <c r="ADO151" s="196"/>
      <c r="ADP151" s="196"/>
      <c r="ADQ151" s="196"/>
      <c r="ADR151" s="196"/>
      <c r="ADS151" s="196"/>
      <c r="ADT151" s="196"/>
      <c r="ADU151" s="196"/>
      <c r="ADV151" s="196"/>
      <c r="ADW151" s="196"/>
      <c r="ADX151" s="196"/>
      <c r="ADY151" s="196"/>
      <c r="ADZ151" s="196"/>
      <c r="AEA151" s="196"/>
      <c r="AEB151" s="196"/>
      <c r="AEC151" s="196"/>
      <c r="AED151" s="196"/>
      <c r="AEE151" s="196"/>
      <c r="AEF151" s="196"/>
      <c r="AEG151" s="196"/>
      <c r="AEH151" s="196"/>
      <c r="AEI151" s="196"/>
      <c r="AEJ151" s="196"/>
      <c r="AEK151" s="196"/>
      <c r="AEL151" s="196"/>
      <c r="AEM151" s="196"/>
      <c r="AEN151" s="196"/>
      <c r="AEO151" s="196"/>
      <c r="AEP151" s="196"/>
      <c r="AEQ151" s="196"/>
      <c r="AER151" s="196"/>
      <c r="AES151" s="196"/>
      <c r="AET151" s="196"/>
      <c r="AEU151" s="196"/>
      <c r="AEV151" s="196"/>
      <c r="AEW151" s="196"/>
      <c r="AEX151" s="196"/>
      <c r="AEY151" s="196"/>
      <c r="AEZ151" s="196"/>
      <c r="AFA151" s="196"/>
      <c r="AFB151" s="196"/>
      <c r="AFC151" s="196"/>
      <c r="AFD151" s="196"/>
      <c r="AFE151" s="196"/>
      <c r="AFF151" s="196"/>
      <c r="AFG151" s="196"/>
      <c r="AFH151" s="196"/>
      <c r="AFI151" s="196"/>
      <c r="AFJ151" s="196"/>
      <c r="AFK151" s="196"/>
      <c r="AFL151" s="196"/>
      <c r="AFM151" s="196"/>
      <c r="AFN151" s="196"/>
      <c r="AFO151" s="196"/>
      <c r="AFP151" s="196"/>
      <c r="AFQ151" s="196"/>
      <c r="AFR151" s="196"/>
      <c r="AFS151" s="196"/>
      <c r="AFT151" s="196"/>
      <c r="AFU151" s="196"/>
      <c r="AFV151" s="196"/>
      <c r="AFW151" s="196"/>
      <c r="AFX151" s="196"/>
      <c r="AFY151" s="196"/>
      <c r="AFZ151" s="196"/>
      <c r="AGA151" s="196"/>
      <c r="AGB151" s="196"/>
      <c r="AGC151" s="196"/>
      <c r="AGD151" s="196"/>
      <c r="AGE151" s="196"/>
      <c r="AGF151" s="196"/>
      <c r="AGG151" s="196"/>
      <c r="AGH151" s="196"/>
      <c r="AGI151" s="196"/>
      <c r="AGJ151" s="196"/>
      <c r="AGK151" s="196"/>
      <c r="AGL151" s="196"/>
      <c r="AGM151" s="196"/>
      <c r="AGN151" s="196"/>
      <c r="AGO151" s="196"/>
      <c r="AGP151" s="196"/>
      <c r="AGQ151" s="196"/>
      <c r="AGR151" s="196"/>
      <c r="AGS151" s="196"/>
      <c r="AGT151" s="196"/>
      <c r="AGU151" s="196"/>
      <c r="AGV151" s="196"/>
      <c r="AGW151" s="196"/>
      <c r="AGX151" s="196"/>
      <c r="AGY151" s="196"/>
      <c r="AGZ151" s="196"/>
      <c r="AHA151" s="196"/>
      <c r="AHB151" s="196"/>
      <c r="AHC151" s="196"/>
      <c r="AHD151" s="196"/>
      <c r="AHE151" s="196"/>
      <c r="AHF151" s="196"/>
      <c r="AHG151" s="196"/>
      <c r="AHH151" s="196"/>
      <c r="AHI151" s="196"/>
      <c r="AHJ151" s="196"/>
      <c r="AHK151" s="196"/>
      <c r="AHL151" s="196"/>
      <c r="AHM151" s="196"/>
      <c r="AHN151" s="196"/>
      <c r="AHO151" s="196"/>
      <c r="AHP151" s="196"/>
      <c r="AHQ151" s="196"/>
      <c r="AHR151" s="196"/>
      <c r="AHS151" s="196"/>
      <c r="AHT151" s="196"/>
      <c r="AHU151" s="196"/>
      <c r="AHV151" s="196"/>
      <c r="AHW151" s="196"/>
      <c r="AHX151" s="196"/>
      <c r="AHY151" s="196"/>
      <c r="AHZ151" s="196"/>
      <c r="AIA151" s="196"/>
      <c r="AIB151" s="196"/>
      <c r="AIC151" s="196"/>
      <c r="AID151" s="196"/>
      <c r="AIE151" s="196"/>
      <c r="AIF151" s="196"/>
      <c r="AIG151" s="196"/>
      <c r="AIH151" s="196"/>
      <c r="AII151" s="196"/>
      <c r="AIJ151" s="196"/>
      <c r="AIK151" s="196"/>
      <c r="AIL151" s="196"/>
      <c r="AIM151" s="196"/>
      <c r="AIN151" s="196"/>
      <c r="AIO151" s="196"/>
      <c r="AIP151" s="196"/>
      <c r="AIQ151" s="196"/>
      <c r="AIR151" s="196"/>
      <c r="AIS151" s="196"/>
      <c r="AIT151" s="196"/>
      <c r="AIU151" s="196"/>
      <c r="AIV151" s="196"/>
      <c r="AIW151" s="196"/>
      <c r="AIX151" s="196"/>
      <c r="AIY151" s="196"/>
      <c r="AIZ151" s="196"/>
      <c r="AJA151" s="196"/>
      <c r="AJB151" s="196"/>
      <c r="AJC151" s="196"/>
      <c r="AJD151" s="196"/>
      <c r="AJE151" s="196"/>
      <c r="AJF151" s="196"/>
      <c r="AJG151" s="196"/>
      <c r="AJH151" s="196"/>
      <c r="AJI151" s="196"/>
      <c r="AJJ151" s="196"/>
      <c r="AJK151" s="196"/>
      <c r="AJL151" s="196"/>
      <c r="AJM151" s="196"/>
      <c r="AJN151" s="196"/>
      <c r="AJO151" s="196"/>
      <c r="AJP151" s="196"/>
      <c r="AJQ151" s="196"/>
      <c r="AJR151" s="196"/>
      <c r="AJS151" s="196"/>
      <c r="AJT151" s="196"/>
      <c r="AJU151" s="196"/>
      <c r="AJV151" s="196"/>
      <c r="AJW151" s="196"/>
      <c r="AJX151" s="196"/>
      <c r="AJY151" s="196"/>
      <c r="AJZ151" s="196"/>
      <c r="AKA151" s="196"/>
      <c r="AKB151" s="196"/>
      <c r="AKC151" s="196"/>
      <c r="AKD151" s="196"/>
      <c r="AKE151" s="196"/>
      <c r="AKF151" s="196"/>
      <c r="AKG151" s="196"/>
      <c r="AKH151" s="196"/>
      <c r="AKI151" s="196"/>
      <c r="AKJ151" s="196"/>
      <c r="AKK151" s="196"/>
      <c r="AKL151" s="196"/>
      <c r="AKM151" s="196"/>
      <c r="AKN151" s="196"/>
      <c r="AKO151" s="196"/>
      <c r="AKP151" s="196"/>
      <c r="AKQ151" s="196"/>
      <c r="AKR151" s="196"/>
      <c r="AKS151" s="196"/>
      <c r="AKT151" s="196"/>
      <c r="AKU151" s="196"/>
      <c r="AKV151" s="196"/>
      <c r="AKW151" s="196"/>
      <c r="AKX151" s="196"/>
      <c r="AKY151" s="196"/>
      <c r="AKZ151" s="196"/>
      <c r="ALA151" s="196"/>
      <c r="ALB151" s="196"/>
      <c r="ALC151" s="196"/>
      <c r="ALD151" s="196"/>
      <c r="ALE151" s="196"/>
      <c r="ALF151" s="196"/>
      <c r="ALG151" s="196"/>
      <c r="ALH151" s="196"/>
      <c r="ALI151" s="196"/>
      <c r="ALJ151" s="196"/>
      <c r="ALK151" s="196"/>
      <c r="ALL151" s="196"/>
      <c r="ALM151" s="196"/>
      <c r="ALN151" s="196"/>
      <c r="ALO151" s="196"/>
      <c r="ALP151" s="196"/>
      <c r="ALQ151" s="196"/>
      <c r="ALR151" s="196"/>
      <c r="ALS151" s="196"/>
      <c r="ALT151" s="196"/>
      <c r="ALU151" s="196"/>
      <c r="ALV151" s="196"/>
      <c r="ALW151" s="196"/>
      <c r="ALX151" s="196"/>
      <c r="ALY151" s="196"/>
      <c r="ALZ151" s="196"/>
      <c r="AMA151" s="196"/>
      <c r="AMB151" s="196"/>
      <c r="AMC151" s="196"/>
      <c r="AMD151" s="196"/>
      <c r="AME151" s="196"/>
      <c r="AMF151" s="196"/>
      <c r="AMG151" s="196"/>
      <c r="AMH151" s="196"/>
      <c r="AMI151" s="196"/>
      <c r="AMJ151" s="196"/>
    </row>
    <row r="152" customFormat="false" ht="15.75" hidden="false" customHeight="true" outlineLevel="0" collapsed="false">
      <c r="A152" s="196"/>
      <c r="B152" s="303" t="s">
        <v>199</v>
      </c>
      <c r="C152" s="316" t="s">
        <v>139</v>
      </c>
      <c r="D152" s="317" t="s">
        <v>2</v>
      </c>
      <c r="E152" s="318" t="s">
        <v>3</v>
      </c>
      <c r="F152" s="319" t="s">
        <v>4</v>
      </c>
      <c r="G152" s="10"/>
      <c r="H152" s="24"/>
      <c r="I152" s="256"/>
      <c r="J152" s="206"/>
      <c r="K152" s="206"/>
      <c r="L152" s="20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  <c r="AA152" s="196"/>
      <c r="AB152" s="196"/>
      <c r="AC152" s="196"/>
      <c r="AD152" s="196"/>
      <c r="AE152" s="196"/>
      <c r="AF152" s="196"/>
      <c r="AG152" s="196"/>
      <c r="AH152" s="196"/>
      <c r="AI152" s="196"/>
      <c r="AJ152" s="196"/>
      <c r="AK152" s="196"/>
      <c r="AL152" s="196"/>
      <c r="AM152" s="196"/>
      <c r="AN152" s="196"/>
      <c r="AO152" s="196"/>
      <c r="AP152" s="196"/>
      <c r="AQ152" s="196"/>
      <c r="AR152" s="196"/>
      <c r="AS152" s="196"/>
      <c r="AT152" s="196"/>
      <c r="AU152" s="196"/>
      <c r="AV152" s="196"/>
      <c r="AW152" s="196"/>
      <c r="AX152" s="196"/>
      <c r="AY152" s="196"/>
      <c r="AZ152" s="196"/>
      <c r="BA152" s="196"/>
      <c r="BB152" s="196"/>
      <c r="BC152" s="196"/>
      <c r="BD152" s="196"/>
      <c r="BE152" s="196"/>
      <c r="BF152" s="196"/>
      <c r="BG152" s="196"/>
      <c r="BH152" s="196"/>
      <c r="BI152" s="196"/>
      <c r="BJ152" s="196"/>
      <c r="BK152" s="196"/>
      <c r="BL152" s="196"/>
      <c r="BM152" s="196"/>
      <c r="BN152" s="196"/>
      <c r="BO152" s="196"/>
      <c r="BP152" s="196"/>
      <c r="BQ152" s="196"/>
      <c r="BR152" s="196"/>
      <c r="BS152" s="196"/>
      <c r="BT152" s="196"/>
      <c r="BU152" s="196"/>
      <c r="BV152" s="196"/>
      <c r="BW152" s="196"/>
      <c r="BX152" s="196"/>
      <c r="BY152" s="196"/>
      <c r="BZ152" s="196"/>
      <c r="CA152" s="196"/>
      <c r="CB152" s="196"/>
      <c r="CC152" s="196"/>
      <c r="CD152" s="196"/>
      <c r="CE152" s="196"/>
      <c r="CF152" s="196"/>
      <c r="CG152" s="196"/>
      <c r="CH152" s="196"/>
      <c r="CI152" s="196"/>
      <c r="CJ152" s="196"/>
      <c r="CK152" s="196"/>
      <c r="CL152" s="196"/>
      <c r="CM152" s="196"/>
      <c r="CN152" s="196"/>
      <c r="CO152" s="196"/>
      <c r="CP152" s="196"/>
      <c r="CQ152" s="196"/>
      <c r="CR152" s="196"/>
      <c r="CS152" s="196"/>
      <c r="CT152" s="196"/>
      <c r="CU152" s="196"/>
      <c r="CV152" s="196"/>
      <c r="CW152" s="196"/>
      <c r="CX152" s="196"/>
      <c r="CY152" s="196"/>
      <c r="CZ152" s="196"/>
      <c r="DA152" s="196"/>
      <c r="DB152" s="196"/>
      <c r="DC152" s="196"/>
      <c r="DD152" s="196"/>
      <c r="DE152" s="196"/>
      <c r="DF152" s="196"/>
      <c r="DG152" s="196"/>
      <c r="DH152" s="196"/>
      <c r="DI152" s="196"/>
      <c r="DJ152" s="196"/>
      <c r="DK152" s="196"/>
      <c r="DL152" s="196"/>
      <c r="DM152" s="196"/>
      <c r="DN152" s="196"/>
      <c r="DO152" s="196"/>
      <c r="DP152" s="196"/>
      <c r="DQ152" s="196"/>
      <c r="DR152" s="196"/>
      <c r="DS152" s="196"/>
      <c r="DT152" s="196"/>
      <c r="DU152" s="196"/>
      <c r="DV152" s="196"/>
      <c r="DW152" s="196"/>
      <c r="DX152" s="196"/>
      <c r="DY152" s="196"/>
      <c r="DZ152" s="196"/>
      <c r="EA152" s="196"/>
      <c r="EB152" s="196"/>
      <c r="EC152" s="196"/>
      <c r="ED152" s="196"/>
      <c r="EE152" s="196"/>
      <c r="EF152" s="196"/>
      <c r="EG152" s="196"/>
      <c r="EH152" s="196"/>
      <c r="EI152" s="196"/>
      <c r="EJ152" s="196"/>
      <c r="EK152" s="196"/>
      <c r="EL152" s="196"/>
      <c r="EM152" s="196"/>
      <c r="EN152" s="196"/>
      <c r="EO152" s="196"/>
      <c r="EP152" s="196"/>
      <c r="EQ152" s="196"/>
      <c r="ER152" s="196"/>
      <c r="ES152" s="196"/>
      <c r="ET152" s="196"/>
      <c r="EU152" s="196"/>
      <c r="EV152" s="196"/>
      <c r="EW152" s="196"/>
      <c r="EX152" s="196"/>
      <c r="EY152" s="196"/>
      <c r="EZ152" s="196"/>
      <c r="FA152" s="196"/>
      <c r="FB152" s="196"/>
      <c r="FC152" s="196"/>
      <c r="FD152" s="196"/>
      <c r="FE152" s="196"/>
      <c r="FF152" s="196"/>
      <c r="FG152" s="196"/>
      <c r="FH152" s="196"/>
      <c r="FI152" s="196"/>
      <c r="FJ152" s="196"/>
      <c r="FK152" s="196"/>
      <c r="FL152" s="196"/>
      <c r="FM152" s="196"/>
      <c r="FN152" s="196"/>
      <c r="FO152" s="196"/>
      <c r="FP152" s="196"/>
      <c r="FQ152" s="196"/>
      <c r="FR152" s="196"/>
      <c r="FS152" s="196"/>
      <c r="FT152" s="196"/>
      <c r="FU152" s="196"/>
      <c r="FV152" s="196"/>
      <c r="FW152" s="196"/>
      <c r="FX152" s="196"/>
      <c r="FY152" s="196"/>
      <c r="FZ152" s="196"/>
      <c r="GA152" s="196"/>
      <c r="GB152" s="196"/>
      <c r="GC152" s="196"/>
      <c r="GD152" s="196"/>
      <c r="GE152" s="196"/>
      <c r="GF152" s="196"/>
      <c r="GG152" s="196"/>
      <c r="GH152" s="196"/>
      <c r="GI152" s="196"/>
      <c r="GJ152" s="196"/>
      <c r="GK152" s="196"/>
      <c r="GL152" s="196"/>
      <c r="GM152" s="196"/>
      <c r="GN152" s="196"/>
      <c r="GO152" s="196"/>
      <c r="GP152" s="196"/>
      <c r="GQ152" s="196"/>
      <c r="GR152" s="196"/>
      <c r="GS152" s="196"/>
      <c r="GT152" s="196"/>
      <c r="GU152" s="196"/>
      <c r="GV152" s="196"/>
      <c r="GW152" s="196"/>
      <c r="GX152" s="196"/>
      <c r="GY152" s="196"/>
      <c r="GZ152" s="196"/>
      <c r="HA152" s="196"/>
      <c r="HB152" s="196"/>
      <c r="HC152" s="196"/>
      <c r="HD152" s="196"/>
      <c r="HE152" s="196"/>
      <c r="HF152" s="196"/>
      <c r="HG152" s="196"/>
      <c r="HH152" s="196"/>
      <c r="HI152" s="196"/>
      <c r="HJ152" s="196"/>
      <c r="HK152" s="196"/>
      <c r="HL152" s="196"/>
      <c r="HM152" s="196"/>
      <c r="HN152" s="196"/>
      <c r="HO152" s="196"/>
      <c r="HP152" s="196"/>
      <c r="HQ152" s="196"/>
      <c r="HR152" s="196"/>
      <c r="HS152" s="196"/>
      <c r="HT152" s="196"/>
      <c r="HU152" s="196"/>
      <c r="HV152" s="196"/>
      <c r="HW152" s="196"/>
      <c r="HX152" s="196"/>
      <c r="HY152" s="196"/>
      <c r="HZ152" s="196"/>
      <c r="IA152" s="196"/>
      <c r="IB152" s="196"/>
      <c r="IC152" s="196"/>
      <c r="ID152" s="196"/>
      <c r="IE152" s="196"/>
      <c r="IF152" s="196"/>
      <c r="IG152" s="196"/>
      <c r="IH152" s="196"/>
      <c r="II152" s="196"/>
      <c r="IJ152" s="196"/>
      <c r="IK152" s="196"/>
      <c r="IL152" s="196"/>
      <c r="IM152" s="196"/>
      <c r="IN152" s="196"/>
      <c r="IO152" s="196"/>
      <c r="IP152" s="196"/>
      <c r="IQ152" s="196"/>
      <c r="IR152" s="196"/>
      <c r="IS152" s="196"/>
      <c r="IT152" s="196"/>
      <c r="IU152" s="196"/>
      <c r="IV152" s="196"/>
      <c r="IW152" s="196"/>
      <c r="IX152" s="196"/>
      <c r="IY152" s="196"/>
      <c r="IZ152" s="196"/>
      <c r="JA152" s="196"/>
      <c r="JB152" s="196"/>
      <c r="JC152" s="196"/>
      <c r="JD152" s="196"/>
      <c r="JE152" s="196"/>
      <c r="JF152" s="196"/>
      <c r="JG152" s="196"/>
      <c r="JH152" s="196"/>
      <c r="JI152" s="196"/>
      <c r="JJ152" s="196"/>
      <c r="JK152" s="196"/>
      <c r="JL152" s="196"/>
      <c r="JM152" s="196"/>
      <c r="JN152" s="196"/>
      <c r="JO152" s="196"/>
      <c r="JP152" s="196"/>
      <c r="JQ152" s="196"/>
      <c r="JR152" s="196"/>
      <c r="JS152" s="196"/>
      <c r="JT152" s="196"/>
      <c r="JU152" s="196"/>
      <c r="JV152" s="196"/>
      <c r="JW152" s="196"/>
      <c r="JX152" s="196"/>
      <c r="JY152" s="196"/>
      <c r="JZ152" s="196"/>
      <c r="KA152" s="196"/>
      <c r="KB152" s="196"/>
      <c r="KC152" s="196"/>
      <c r="KD152" s="196"/>
      <c r="KE152" s="196"/>
      <c r="KF152" s="196"/>
      <c r="KG152" s="196"/>
      <c r="KH152" s="196"/>
      <c r="KI152" s="196"/>
      <c r="KJ152" s="196"/>
      <c r="KK152" s="196"/>
      <c r="KL152" s="196"/>
      <c r="KM152" s="196"/>
      <c r="KN152" s="196"/>
      <c r="KO152" s="196"/>
      <c r="KP152" s="196"/>
      <c r="KQ152" s="196"/>
      <c r="KR152" s="196"/>
      <c r="KS152" s="196"/>
      <c r="KT152" s="196"/>
      <c r="KU152" s="196"/>
      <c r="KV152" s="196"/>
      <c r="KW152" s="196"/>
      <c r="KX152" s="196"/>
      <c r="KY152" s="196"/>
      <c r="KZ152" s="196"/>
      <c r="LA152" s="196"/>
      <c r="LB152" s="196"/>
      <c r="LC152" s="196"/>
      <c r="LD152" s="196"/>
      <c r="LE152" s="196"/>
      <c r="LF152" s="196"/>
      <c r="LG152" s="196"/>
      <c r="LH152" s="196"/>
      <c r="LI152" s="196"/>
      <c r="LJ152" s="196"/>
      <c r="LK152" s="196"/>
      <c r="LL152" s="196"/>
      <c r="LM152" s="196"/>
      <c r="LN152" s="196"/>
      <c r="LO152" s="196"/>
      <c r="LP152" s="196"/>
      <c r="LQ152" s="196"/>
      <c r="LR152" s="196"/>
      <c r="LS152" s="196"/>
      <c r="LT152" s="196"/>
      <c r="LU152" s="196"/>
      <c r="LV152" s="196"/>
      <c r="LW152" s="196"/>
      <c r="LX152" s="196"/>
      <c r="LY152" s="196"/>
      <c r="LZ152" s="196"/>
      <c r="MA152" s="196"/>
      <c r="MB152" s="196"/>
      <c r="MC152" s="196"/>
      <c r="MD152" s="196"/>
      <c r="ME152" s="196"/>
      <c r="MF152" s="196"/>
      <c r="MG152" s="196"/>
      <c r="MH152" s="196"/>
      <c r="MI152" s="196"/>
      <c r="MJ152" s="196"/>
      <c r="MK152" s="196"/>
      <c r="ML152" s="196"/>
      <c r="MM152" s="196"/>
      <c r="MN152" s="196"/>
      <c r="MO152" s="196"/>
      <c r="MP152" s="196"/>
      <c r="MQ152" s="196"/>
      <c r="MR152" s="196"/>
      <c r="MS152" s="196"/>
      <c r="MT152" s="196"/>
      <c r="MU152" s="196"/>
      <c r="MV152" s="196"/>
      <c r="MW152" s="196"/>
      <c r="MX152" s="196"/>
      <c r="MY152" s="196"/>
      <c r="MZ152" s="196"/>
      <c r="NA152" s="196"/>
      <c r="NB152" s="196"/>
      <c r="NC152" s="196"/>
      <c r="ND152" s="196"/>
      <c r="NE152" s="196"/>
      <c r="NF152" s="196"/>
      <c r="NG152" s="196"/>
      <c r="NH152" s="196"/>
      <c r="NI152" s="196"/>
      <c r="NJ152" s="196"/>
      <c r="NK152" s="196"/>
      <c r="NL152" s="196"/>
      <c r="NM152" s="196"/>
      <c r="NN152" s="196"/>
      <c r="NO152" s="196"/>
      <c r="NP152" s="196"/>
      <c r="NQ152" s="196"/>
      <c r="NR152" s="196"/>
      <c r="NS152" s="196"/>
      <c r="NT152" s="196"/>
      <c r="NU152" s="196"/>
      <c r="NV152" s="196"/>
      <c r="NW152" s="196"/>
      <c r="NX152" s="196"/>
      <c r="NY152" s="196"/>
      <c r="NZ152" s="196"/>
      <c r="OA152" s="196"/>
      <c r="OB152" s="196"/>
      <c r="OC152" s="196"/>
      <c r="OD152" s="196"/>
      <c r="OE152" s="196"/>
      <c r="OF152" s="196"/>
      <c r="OG152" s="196"/>
      <c r="OH152" s="196"/>
      <c r="OI152" s="196"/>
      <c r="OJ152" s="196"/>
      <c r="OK152" s="196"/>
      <c r="OL152" s="196"/>
      <c r="OM152" s="196"/>
      <c r="ON152" s="196"/>
      <c r="OO152" s="196"/>
      <c r="OP152" s="196"/>
      <c r="OQ152" s="196"/>
      <c r="OR152" s="196"/>
      <c r="OS152" s="196"/>
      <c r="OT152" s="196"/>
      <c r="OU152" s="196"/>
      <c r="OV152" s="196"/>
      <c r="OW152" s="196"/>
      <c r="OX152" s="196"/>
      <c r="OY152" s="196"/>
      <c r="OZ152" s="196"/>
      <c r="PA152" s="196"/>
      <c r="PB152" s="196"/>
      <c r="PC152" s="196"/>
      <c r="PD152" s="196"/>
      <c r="PE152" s="196"/>
      <c r="PF152" s="196"/>
      <c r="PG152" s="196"/>
      <c r="PH152" s="196"/>
      <c r="PI152" s="196"/>
      <c r="PJ152" s="196"/>
      <c r="PK152" s="196"/>
      <c r="PL152" s="196"/>
      <c r="PM152" s="196"/>
      <c r="PN152" s="196"/>
      <c r="PO152" s="196"/>
      <c r="PP152" s="196"/>
      <c r="PQ152" s="196"/>
      <c r="PR152" s="196"/>
      <c r="PS152" s="196"/>
      <c r="PT152" s="196"/>
      <c r="PU152" s="196"/>
      <c r="PV152" s="196"/>
      <c r="PW152" s="196"/>
      <c r="PX152" s="196"/>
      <c r="PY152" s="196"/>
      <c r="PZ152" s="196"/>
      <c r="QA152" s="196"/>
      <c r="QB152" s="196"/>
      <c r="QC152" s="196"/>
      <c r="QD152" s="196"/>
      <c r="QE152" s="196"/>
      <c r="QF152" s="196"/>
      <c r="QG152" s="196"/>
      <c r="QH152" s="196"/>
      <c r="QI152" s="196"/>
      <c r="QJ152" s="196"/>
      <c r="QK152" s="196"/>
      <c r="QL152" s="196"/>
      <c r="QM152" s="196"/>
      <c r="QN152" s="196"/>
      <c r="QO152" s="196"/>
      <c r="QP152" s="196"/>
      <c r="QQ152" s="196"/>
      <c r="QR152" s="196"/>
      <c r="QS152" s="196"/>
      <c r="QT152" s="196"/>
      <c r="QU152" s="196"/>
      <c r="QV152" s="196"/>
      <c r="QW152" s="196"/>
      <c r="QX152" s="196"/>
      <c r="QY152" s="196"/>
      <c r="QZ152" s="196"/>
      <c r="RA152" s="196"/>
      <c r="RB152" s="196"/>
      <c r="RC152" s="196"/>
      <c r="RD152" s="196"/>
      <c r="RE152" s="196"/>
      <c r="RF152" s="196"/>
      <c r="RG152" s="196"/>
      <c r="RH152" s="196"/>
      <c r="RI152" s="196"/>
      <c r="RJ152" s="196"/>
      <c r="RK152" s="196"/>
      <c r="RL152" s="196"/>
      <c r="RM152" s="196"/>
      <c r="RN152" s="196"/>
      <c r="RO152" s="196"/>
      <c r="RP152" s="196"/>
      <c r="RQ152" s="196"/>
      <c r="RR152" s="196"/>
      <c r="RS152" s="196"/>
      <c r="RT152" s="196"/>
      <c r="RU152" s="196"/>
      <c r="RV152" s="196"/>
      <c r="RW152" s="196"/>
      <c r="RX152" s="196"/>
      <c r="RY152" s="196"/>
      <c r="RZ152" s="196"/>
      <c r="SA152" s="196"/>
      <c r="SB152" s="196"/>
      <c r="SC152" s="196"/>
      <c r="SD152" s="196"/>
      <c r="SE152" s="196"/>
      <c r="SF152" s="196"/>
      <c r="SG152" s="196"/>
      <c r="SH152" s="196"/>
      <c r="SI152" s="196"/>
      <c r="SJ152" s="196"/>
      <c r="SK152" s="196"/>
      <c r="SL152" s="196"/>
      <c r="SM152" s="196"/>
      <c r="SN152" s="196"/>
      <c r="SO152" s="196"/>
      <c r="SP152" s="196"/>
      <c r="SQ152" s="196"/>
      <c r="SR152" s="196"/>
      <c r="SS152" s="196"/>
      <c r="ST152" s="196"/>
      <c r="SU152" s="196"/>
      <c r="SV152" s="196"/>
      <c r="SW152" s="196"/>
      <c r="SX152" s="196"/>
      <c r="SY152" s="196"/>
      <c r="SZ152" s="196"/>
      <c r="TA152" s="196"/>
      <c r="TB152" s="196"/>
      <c r="TC152" s="196"/>
      <c r="TD152" s="196"/>
      <c r="TE152" s="196"/>
      <c r="TF152" s="196"/>
      <c r="TG152" s="196"/>
      <c r="TH152" s="196"/>
      <c r="TI152" s="196"/>
      <c r="TJ152" s="196"/>
      <c r="TK152" s="196"/>
      <c r="TL152" s="196"/>
      <c r="TM152" s="196"/>
      <c r="TN152" s="196"/>
      <c r="TO152" s="196"/>
      <c r="TP152" s="196"/>
      <c r="TQ152" s="196"/>
      <c r="TR152" s="196"/>
      <c r="TS152" s="196"/>
      <c r="TT152" s="196"/>
      <c r="TU152" s="196"/>
      <c r="TV152" s="196"/>
      <c r="TW152" s="196"/>
      <c r="TX152" s="196"/>
      <c r="TY152" s="196"/>
      <c r="TZ152" s="196"/>
      <c r="UA152" s="196"/>
      <c r="UB152" s="196"/>
      <c r="UC152" s="196"/>
      <c r="UD152" s="196"/>
      <c r="UE152" s="196"/>
      <c r="UF152" s="196"/>
      <c r="UG152" s="196"/>
      <c r="UH152" s="196"/>
      <c r="UI152" s="196"/>
      <c r="UJ152" s="196"/>
      <c r="UK152" s="196"/>
      <c r="UL152" s="196"/>
      <c r="UM152" s="196"/>
      <c r="UN152" s="196"/>
      <c r="UO152" s="196"/>
      <c r="UP152" s="196"/>
      <c r="UQ152" s="196"/>
      <c r="UR152" s="196"/>
      <c r="US152" s="196"/>
      <c r="UT152" s="196"/>
      <c r="UU152" s="196"/>
      <c r="UV152" s="196"/>
      <c r="UW152" s="196"/>
      <c r="UX152" s="196"/>
      <c r="UY152" s="196"/>
      <c r="UZ152" s="196"/>
      <c r="VA152" s="196"/>
      <c r="VB152" s="196"/>
      <c r="VC152" s="196"/>
      <c r="VD152" s="196"/>
      <c r="VE152" s="196"/>
      <c r="VF152" s="196"/>
      <c r="VG152" s="196"/>
      <c r="VH152" s="196"/>
      <c r="VI152" s="196"/>
      <c r="VJ152" s="196"/>
      <c r="VK152" s="196"/>
      <c r="VL152" s="196"/>
      <c r="VM152" s="196"/>
      <c r="VN152" s="196"/>
      <c r="VO152" s="196"/>
      <c r="VP152" s="196"/>
      <c r="VQ152" s="196"/>
      <c r="VR152" s="196"/>
      <c r="VS152" s="196"/>
      <c r="VT152" s="196"/>
      <c r="VU152" s="196"/>
      <c r="VV152" s="196"/>
      <c r="VW152" s="196"/>
      <c r="VX152" s="196"/>
      <c r="VY152" s="196"/>
      <c r="VZ152" s="196"/>
      <c r="WA152" s="196"/>
      <c r="WB152" s="196"/>
      <c r="WC152" s="196"/>
      <c r="WD152" s="196"/>
      <c r="WE152" s="196"/>
      <c r="WF152" s="196"/>
      <c r="WG152" s="196"/>
      <c r="WH152" s="196"/>
      <c r="WI152" s="196"/>
      <c r="WJ152" s="196"/>
      <c r="WK152" s="196"/>
      <c r="WL152" s="196"/>
      <c r="WM152" s="196"/>
      <c r="WN152" s="196"/>
      <c r="WO152" s="196"/>
      <c r="WP152" s="196"/>
      <c r="WQ152" s="196"/>
      <c r="WR152" s="196"/>
      <c r="WS152" s="196"/>
      <c r="WT152" s="196"/>
      <c r="WU152" s="196"/>
      <c r="WV152" s="196"/>
      <c r="WW152" s="196"/>
      <c r="WX152" s="196"/>
      <c r="WY152" s="196"/>
      <c r="WZ152" s="196"/>
      <c r="XA152" s="196"/>
      <c r="XB152" s="196"/>
      <c r="XC152" s="196"/>
      <c r="XD152" s="196"/>
      <c r="XE152" s="196"/>
      <c r="XF152" s="196"/>
      <c r="XG152" s="196"/>
      <c r="XH152" s="196"/>
      <c r="XI152" s="196"/>
      <c r="XJ152" s="196"/>
      <c r="XK152" s="196"/>
      <c r="XL152" s="196"/>
      <c r="XM152" s="196"/>
      <c r="XN152" s="196"/>
      <c r="XO152" s="196"/>
      <c r="XP152" s="196"/>
      <c r="XQ152" s="196"/>
      <c r="XR152" s="196"/>
      <c r="XS152" s="196"/>
      <c r="XT152" s="196"/>
      <c r="XU152" s="196"/>
      <c r="XV152" s="196"/>
      <c r="XW152" s="196"/>
      <c r="XX152" s="196"/>
      <c r="XY152" s="196"/>
      <c r="XZ152" s="196"/>
      <c r="YA152" s="196"/>
      <c r="YB152" s="196"/>
      <c r="YC152" s="196"/>
      <c r="YD152" s="196"/>
      <c r="YE152" s="196"/>
      <c r="YF152" s="196"/>
      <c r="YG152" s="196"/>
      <c r="YH152" s="196"/>
      <c r="YI152" s="196"/>
      <c r="YJ152" s="196"/>
      <c r="YK152" s="196"/>
      <c r="YL152" s="196"/>
      <c r="YM152" s="196"/>
      <c r="YN152" s="196"/>
      <c r="YO152" s="196"/>
      <c r="YP152" s="196"/>
      <c r="YQ152" s="196"/>
      <c r="YR152" s="196"/>
      <c r="YS152" s="196"/>
      <c r="YT152" s="196"/>
      <c r="YU152" s="196"/>
      <c r="YV152" s="196"/>
      <c r="YW152" s="196"/>
      <c r="YX152" s="196"/>
      <c r="YY152" s="196"/>
      <c r="YZ152" s="196"/>
      <c r="ZA152" s="196"/>
      <c r="ZB152" s="196"/>
      <c r="ZC152" s="196"/>
      <c r="ZD152" s="196"/>
      <c r="ZE152" s="196"/>
      <c r="ZF152" s="196"/>
      <c r="ZG152" s="196"/>
      <c r="ZH152" s="196"/>
      <c r="ZI152" s="196"/>
      <c r="ZJ152" s="196"/>
      <c r="ZK152" s="196"/>
      <c r="ZL152" s="196"/>
      <c r="ZM152" s="196"/>
      <c r="ZN152" s="196"/>
      <c r="ZO152" s="196"/>
      <c r="ZP152" s="196"/>
      <c r="ZQ152" s="196"/>
      <c r="ZR152" s="196"/>
      <c r="ZS152" s="196"/>
      <c r="ZT152" s="196"/>
      <c r="ZU152" s="196"/>
      <c r="ZV152" s="196"/>
      <c r="ZW152" s="196"/>
      <c r="ZX152" s="196"/>
      <c r="ZY152" s="196"/>
      <c r="ZZ152" s="196"/>
      <c r="AAA152" s="196"/>
      <c r="AAB152" s="196"/>
      <c r="AAC152" s="196"/>
      <c r="AAD152" s="196"/>
      <c r="AAE152" s="196"/>
      <c r="AAF152" s="196"/>
      <c r="AAG152" s="196"/>
      <c r="AAH152" s="196"/>
      <c r="AAI152" s="196"/>
      <c r="AAJ152" s="196"/>
      <c r="AAK152" s="196"/>
      <c r="AAL152" s="196"/>
      <c r="AAM152" s="196"/>
      <c r="AAN152" s="196"/>
      <c r="AAO152" s="196"/>
      <c r="AAP152" s="196"/>
      <c r="AAQ152" s="196"/>
      <c r="AAR152" s="196"/>
      <c r="AAS152" s="196"/>
      <c r="AAT152" s="196"/>
      <c r="AAU152" s="196"/>
      <c r="AAV152" s="196"/>
      <c r="AAW152" s="196"/>
      <c r="AAX152" s="196"/>
      <c r="AAY152" s="196"/>
      <c r="AAZ152" s="196"/>
      <c r="ABA152" s="196"/>
      <c r="ABB152" s="196"/>
      <c r="ABC152" s="196"/>
      <c r="ABD152" s="196"/>
      <c r="ABE152" s="196"/>
      <c r="ABF152" s="196"/>
      <c r="ABG152" s="196"/>
      <c r="ABH152" s="196"/>
      <c r="ABI152" s="196"/>
      <c r="ABJ152" s="196"/>
      <c r="ABK152" s="196"/>
      <c r="ABL152" s="196"/>
      <c r="ABM152" s="196"/>
      <c r="ABN152" s="196"/>
      <c r="ABO152" s="196"/>
      <c r="ABP152" s="196"/>
      <c r="ABQ152" s="196"/>
      <c r="ABR152" s="196"/>
      <c r="ABS152" s="196"/>
      <c r="ABT152" s="196"/>
      <c r="ABU152" s="196"/>
      <c r="ABV152" s="196"/>
      <c r="ABW152" s="196"/>
      <c r="ABX152" s="196"/>
      <c r="ABY152" s="196"/>
      <c r="ABZ152" s="196"/>
      <c r="ACA152" s="196"/>
      <c r="ACB152" s="196"/>
      <c r="ACC152" s="196"/>
      <c r="ACD152" s="196"/>
      <c r="ACE152" s="196"/>
      <c r="ACF152" s="196"/>
      <c r="ACG152" s="196"/>
      <c r="ACH152" s="196"/>
      <c r="ACI152" s="196"/>
      <c r="ACJ152" s="196"/>
      <c r="ACK152" s="196"/>
      <c r="ACL152" s="196"/>
      <c r="ACM152" s="196"/>
      <c r="ACN152" s="196"/>
      <c r="ACO152" s="196"/>
      <c r="ACP152" s="196"/>
      <c r="ACQ152" s="196"/>
      <c r="ACR152" s="196"/>
      <c r="ACS152" s="196"/>
      <c r="ACT152" s="196"/>
      <c r="ACU152" s="196"/>
      <c r="ACV152" s="196"/>
      <c r="ACW152" s="196"/>
      <c r="ACX152" s="196"/>
      <c r="ACY152" s="196"/>
      <c r="ACZ152" s="196"/>
      <c r="ADA152" s="196"/>
      <c r="ADB152" s="196"/>
      <c r="ADC152" s="196"/>
      <c r="ADD152" s="196"/>
      <c r="ADE152" s="196"/>
      <c r="ADF152" s="196"/>
      <c r="ADG152" s="196"/>
      <c r="ADH152" s="196"/>
      <c r="ADI152" s="196"/>
      <c r="ADJ152" s="196"/>
      <c r="ADK152" s="196"/>
      <c r="ADL152" s="196"/>
      <c r="ADM152" s="196"/>
      <c r="ADN152" s="196"/>
      <c r="ADO152" s="196"/>
      <c r="ADP152" s="196"/>
      <c r="ADQ152" s="196"/>
      <c r="ADR152" s="196"/>
      <c r="ADS152" s="196"/>
      <c r="ADT152" s="196"/>
      <c r="ADU152" s="196"/>
      <c r="ADV152" s="196"/>
      <c r="ADW152" s="196"/>
      <c r="ADX152" s="196"/>
      <c r="ADY152" s="196"/>
      <c r="ADZ152" s="196"/>
      <c r="AEA152" s="196"/>
      <c r="AEB152" s="196"/>
      <c r="AEC152" s="196"/>
      <c r="AED152" s="196"/>
      <c r="AEE152" s="196"/>
      <c r="AEF152" s="196"/>
      <c r="AEG152" s="196"/>
      <c r="AEH152" s="196"/>
      <c r="AEI152" s="196"/>
      <c r="AEJ152" s="196"/>
      <c r="AEK152" s="196"/>
      <c r="AEL152" s="196"/>
      <c r="AEM152" s="196"/>
      <c r="AEN152" s="196"/>
      <c r="AEO152" s="196"/>
      <c r="AEP152" s="196"/>
      <c r="AEQ152" s="196"/>
      <c r="AER152" s="196"/>
      <c r="AES152" s="196"/>
      <c r="AET152" s="196"/>
      <c r="AEU152" s="196"/>
      <c r="AEV152" s="196"/>
      <c r="AEW152" s="196"/>
      <c r="AEX152" s="196"/>
      <c r="AEY152" s="196"/>
      <c r="AEZ152" s="196"/>
      <c r="AFA152" s="196"/>
      <c r="AFB152" s="196"/>
      <c r="AFC152" s="196"/>
      <c r="AFD152" s="196"/>
      <c r="AFE152" s="196"/>
      <c r="AFF152" s="196"/>
      <c r="AFG152" s="196"/>
      <c r="AFH152" s="196"/>
      <c r="AFI152" s="196"/>
      <c r="AFJ152" s="196"/>
      <c r="AFK152" s="196"/>
      <c r="AFL152" s="196"/>
      <c r="AFM152" s="196"/>
      <c r="AFN152" s="196"/>
      <c r="AFO152" s="196"/>
      <c r="AFP152" s="196"/>
      <c r="AFQ152" s="196"/>
      <c r="AFR152" s="196"/>
      <c r="AFS152" s="196"/>
      <c r="AFT152" s="196"/>
      <c r="AFU152" s="196"/>
      <c r="AFV152" s="196"/>
      <c r="AFW152" s="196"/>
      <c r="AFX152" s="196"/>
      <c r="AFY152" s="196"/>
      <c r="AFZ152" s="196"/>
      <c r="AGA152" s="196"/>
      <c r="AGB152" s="196"/>
      <c r="AGC152" s="196"/>
      <c r="AGD152" s="196"/>
      <c r="AGE152" s="196"/>
      <c r="AGF152" s="196"/>
      <c r="AGG152" s="196"/>
      <c r="AGH152" s="196"/>
      <c r="AGI152" s="196"/>
      <c r="AGJ152" s="196"/>
      <c r="AGK152" s="196"/>
      <c r="AGL152" s="196"/>
      <c r="AGM152" s="196"/>
      <c r="AGN152" s="196"/>
      <c r="AGO152" s="196"/>
      <c r="AGP152" s="196"/>
      <c r="AGQ152" s="196"/>
      <c r="AGR152" s="196"/>
      <c r="AGS152" s="196"/>
      <c r="AGT152" s="196"/>
      <c r="AGU152" s="196"/>
      <c r="AGV152" s="196"/>
      <c r="AGW152" s="196"/>
      <c r="AGX152" s="196"/>
      <c r="AGY152" s="196"/>
      <c r="AGZ152" s="196"/>
      <c r="AHA152" s="196"/>
      <c r="AHB152" s="196"/>
      <c r="AHC152" s="196"/>
      <c r="AHD152" s="196"/>
      <c r="AHE152" s="196"/>
      <c r="AHF152" s="196"/>
      <c r="AHG152" s="196"/>
      <c r="AHH152" s="196"/>
      <c r="AHI152" s="196"/>
      <c r="AHJ152" s="196"/>
      <c r="AHK152" s="196"/>
      <c r="AHL152" s="196"/>
      <c r="AHM152" s="196"/>
      <c r="AHN152" s="196"/>
      <c r="AHO152" s="196"/>
      <c r="AHP152" s="196"/>
      <c r="AHQ152" s="196"/>
      <c r="AHR152" s="196"/>
      <c r="AHS152" s="196"/>
      <c r="AHT152" s="196"/>
      <c r="AHU152" s="196"/>
      <c r="AHV152" s="196"/>
      <c r="AHW152" s="196"/>
      <c r="AHX152" s="196"/>
      <c r="AHY152" s="196"/>
      <c r="AHZ152" s="196"/>
      <c r="AIA152" s="196"/>
      <c r="AIB152" s="196"/>
      <c r="AIC152" s="196"/>
      <c r="AID152" s="196"/>
      <c r="AIE152" s="196"/>
      <c r="AIF152" s="196"/>
      <c r="AIG152" s="196"/>
      <c r="AIH152" s="196"/>
      <c r="AII152" s="196"/>
      <c r="AIJ152" s="196"/>
      <c r="AIK152" s="196"/>
      <c r="AIL152" s="196"/>
      <c r="AIM152" s="196"/>
      <c r="AIN152" s="196"/>
      <c r="AIO152" s="196"/>
      <c r="AIP152" s="196"/>
      <c r="AIQ152" s="196"/>
      <c r="AIR152" s="196"/>
      <c r="AIS152" s="196"/>
      <c r="AIT152" s="196"/>
      <c r="AIU152" s="196"/>
      <c r="AIV152" s="196"/>
      <c r="AIW152" s="196"/>
      <c r="AIX152" s="196"/>
      <c r="AIY152" s="196"/>
      <c r="AIZ152" s="196"/>
      <c r="AJA152" s="196"/>
      <c r="AJB152" s="196"/>
      <c r="AJC152" s="196"/>
      <c r="AJD152" s="196"/>
      <c r="AJE152" s="196"/>
      <c r="AJF152" s="196"/>
      <c r="AJG152" s="196"/>
      <c r="AJH152" s="196"/>
      <c r="AJI152" s="196"/>
      <c r="AJJ152" s="196"/>
      <c r="AJK152" s="196"/>
      <c r="AJL152" s="196"/>
      <c r="AJM152" s="196"/>
      <c r="AJN152" s="196"/>
      <c r="AJO152" s="196"/>
      <c r="AJP152" s="196"/>
      <c r="AJQ152" s="196"/>
      <c r="AJR152" s="196"/>
      <c r="AJS152" s="196"/>
      <c r="AJT152" s="196"/>
      <c r="AJU152" s="196"/>
      <c r="AJV152" s="196"/>
      <c r="AJW152" s="196"/>
      <c r="AJX152" s="196"/>
      <c r="AJY152" s="196"/>
      <c r="AJZ152" s="196"/>
      <c r="AKA152" s="196"/>
      <c r="AKB152" s="196"/>
      <c r="AKC152" s="196"/>
      <c r="AKD152" s="196"/>
      <c r="AKE152" s="196"/>
      <c r="AKF152" s="196"/>
      <c r="AKG152" s="196"/>
      <c r="AKH152" s="196"/>
      <c r="AKI152" s="196"/>
      <c r="AKJ152" s="196"/>
      <c r="AKK152" s="196"/>
      <c r="AKL152" s="196"/>
      <c r="AKM152" s="196"/>
      <c r="AKN152" s="196"/>
      <c r="AKO152" s="196"/>
      <c r="AKP152" s="196"/>
      <c r="AKQ152" s="196"/>
      <c r="AKR152" s="196"/>
      <c r="AKS152" s="196"/>
      <c r="AKT152" s="196"/>
      <c r="AKU152" s="196"/>
      <c r="AKV152" s="196"/>
      <c r="AKW152" s="196"/>
      <c r="AKX152" s="196"/>
      <c r="AKY152" s="196"/>
      <c r="AKZ152" s="196"/>
      <c r="ALA152" s="196"/>
      <c r="ALB152" s="196"/>
      <c r="ALC152" s="196"/>
      <c r="ALD152" s="196"/>
      <c r="ALE152" s="196"/>
      <c r="ALF152" s="196"/>
      <c r="ALG152" s="196"/>
      <c r="ALH152" s="196"/>
      <c r="ALI152" s="196"/>
      <c r="ALJ152" s="196"/>
      <c r="ALK152" s="196"/>
      <c r="ALL152" s="196"/>
      <c r="ALM152" s="196"/>
      <c r="ALN152" s="196"/>
      <c r="ALO152" s="196"/>
      <c r="ALP152" s="196"/>
      <c r="ALQ152" s="196"/>
      <c r="ALR152" s="196"/>
      <c r="ALS152" s="196"/>
      <c r="ALT152" s="196"/>
      <c r="ALU152" s="196"/>
      <c r="ALV152" s="196"/>
      <c r="ALW152" s="196"/>
      <c r="ALX152" s="196"/>
      <c r="ALY152" s="196"/>
      <c r="ALZ152" s="196"/>
      <c r="AMA152" s="196"/>
      <c r="AMB152" s="196"/>
      <c r="AMC152" s="196"/>
      <c r="AMD152" s="196"/>
      <c r="AME152" s="196"/>
      <c r="AMF152" s="196"/>
      <c r="AMG152" s="196"/>
      <c r="AMH152" s="196"/>
      <c r="AMI152" s="196"/>
      <c r="AMJ152" s="196"/>
    </row>
    <row r="153" customFormat="false" ht="15.75" hidden="false" customHeight="true" outlineLevel="0" collapsed="false">
      <c r="A153" s="196"/>
      <c r="B153" s="210" t="s">
        <v>140</v>
      </c>
      <c r="C153" s="61" t="s">
        <v>36</v>
      </c>
      <c r="D153" s="61"/>
      <c r="E153" s="61"/>
      <c r="F153" s="211" t="n">
        <v>10</v>
      </c>
      <c r="G153" s="10"/>
      <c r="H153" s="257"/>
      <c r="I153" s="258"/>
      <c r="J153" s="258"/>
      <c r="K153" s="258"/>
      <c r="L153" s="259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  <c r="AA153" s="196"/>
      <c r="AB153" s="196"/>
      <c r="AC153" s="196"/>
      <c r="AD153" s="196"/>
      <c r="AE153" s="196"/>
      <c r="AF153" s="196"/>
      <c r="AG153" s="196"/>
      <c r="AH153" s="196"/>
      <c r="AI153" s="196"/>
      <c r="AJ153" s="196"/>
      <c r="AK153" s="196"/>
      <c r="AL153" s="196"/>
      <c r="AM153" s="196"/>
      <c r="AN153" s="196"/>
      <c r="AO153" s="196"/>
      <c r="AP153" s="196"/>
      <c r="AQ153" s="196"/>
      <c r="AR153" s="196"/>
      <c r="AS153" s="196"/>
      <c r="AT153" s="196"/>
      <c r="AU153" s="196"/>
      <c r="AV153" s="196"/>
      <c r="AW153" s="196"/>
      <c r="AX153" s="196"/>
      <c r="AY153" s="196"/>
      <c r="AZ153" s="196"/>
      <c r="BA153" s="196"/>
      <c r="BB153" s="196"/>
      <c r="BC153" s="196"/>
      <c r="BD153" s="196"/>
      <c r="BE153" s="196"/>
      <c r="BF153" s="196"/>
      <c r="BG153" s="196"/>
      <c r="BH153" s="196"/>
      <c r="BI153" s="196"/>
      <c r="BJ153" s="196"/>
      <c r="BK153" s="196"/>
      <c r="BL153" s="196"/>
      <c r="BM153" s="196"/>
      <c r="BN153" s="196"/>
      <c r="BO153" s="196"/>
      <c r="BP153" s="196"/>
      <c r="BQ153" s="196"/>
      <c r="BR153" s="196"/>
      <c r="BS153" s="196"/>
      <c r="BT153" s="196"/>
      <c r="BU153" s="196"/>
      <c r="BV153" s="196"/>
      <c r="BW153" s="196"/>
      <c r="BX153" s="196"/>
      <c r="BY153" s="196"/>
      <c r="BZ153" s="196"/>
      <c r="CA153" s="196"/>
      <c r="CB153" s="196"/>
      <c r="CC153" s="196"/>
      <c r="CD153" s="196"/>
      <c r="CE153" s="196"/>
      <c r="CF153" s="196"/>
      <c r="CG153" s="196"/>
      <c r="CH153" s="196"/>
      <c r="CI153" s="196"/>
      <c r="CJ153" s="196"/>
      <c r="CK153" s="196"/>
      <c r="CL153" s="196"/>
      <c r="CM153" s="196"/>
      <c r="CN153" s="196"/>
      <c r="CO153" s="196"/>
      <c r="CP153" s="196"/>
      <c r="CQ153" s="196"/>
      <c r="CR153" s="196"/>
      <c r="CS153" s="196"/>
      <c r="CT153" s="196"/>
      <c r="CU153" s="196"/>
      <c r="CV153" s="196"/>
      <c r="CW153" s="196"/>
      <c r="CX153" s="196"/>
      <c r="CY153" s="196"/>
      <c r="CZ153" s="196"/>
      <c r="DA153" s="196"/>
      <c r="DB153" s="196"/>
      <c r="DC153" s="196"/>
      <c r="DD153" s="196"/>
      <c r="DE153" s="196"/>
      <c r="DF153" s="196"/>
      <c r="DG153" s="196"/>
      <c r="DH153" s="196"/>
      <c r="DI153" s="196"/>
      <c r="DJ153" s="196"/>
      <c r="DK153" s="196"/>
      <c r="DL153" s="196"/>
      <c r="DM153" s="196"/>
      <c r="DN153" s="196"/>
      <c r="DO153" s="196"/>
      <c r="DP153" s="196"/>
      <c r="DQ153" s="196"/>
      <c r="DR153" s="196"/>
      <c r="DS153" s="196"/>
      <c r="DT153" s="196"/>
      <c r="DU153" s="196"/>
      <c r="DV153" s="196"/>
      <c r="DW153" s="196"/>
      <c r="DX153" s="196"/>
      <c r="DY153" s="196"/>
      <c r="DZ153" s="196"/>
      <c r="EA153" s="196"/>
      <c r="EB153" s="196"/>
      <c r="EC153" s="196"/>
      <c r="ED153" s="196"/>
      <c r="EE153" s="196"/>
      <c r="EF153" s="196"/>
      <c r="EG153" s="196"/>
      <c r="EH153" s="196"/>
      <c r="EI153" s="196"/>
      <c r="EJ153" s="196"/>
      <c r="EK153" s="196"/>
      <c r="EL153" s="196"/>
      <c r="EM153" s="196"/>
      <c r="EN153" s="196"/>
      <c r="EO153" s="196"/>
      <c r="EP153" s="196"/>
      <c r="EQ153" s="196"/>
      <c r="ER153" s="196"/>
      <c r="ES153" s="196"/>
      <c r="ET153" s="196"/>
      <c r="EU153" s="196"/>
      <c r="EV153" s="196"/>
      <c r="EW153" s="196"/>
      <c r="EX153" s="196"/>
      <c r="EY153" s="196"/>
      <c r="EZ153" s="196"/>
      <c r="FA153" s="196"/>
      <c r="FB153" s="196"/>
      <c r="FC153" s="196"/>
      <c r="FD153" s="196"/>
      <c r="FE153" s="196"/>
      <c r="FF153" s="196"/>
      <c r="FG153" s="196"/>
      <c r="FH153" s="196"/>
      <c r="FI153" s="196"/>
      <c r="FJ153" s="196"/>
      <c r="FK153" s="196"/>
      <c r="FL153" s="196"/>
      <c r="FM153" s="196"/>
      <c r="FN153" s="196"/>
      <c r="FO153" s="196"/>
      <c r="FP153" s="196"/>
      <c r="FQ153" s="196"/>
      <c r="FR153" s="196"/>
      <c r="FS153" s="196"/>
      <c r="FT153" s="196"/>
      <c r="FU153" s="196"/>
      <c r="FV153" s="196"/>
      <c r="FW153" s="196"/>
      <c r="FX153" s="196"/>
      <c r="FY153" s="196"/>
      <c r="FZ153" s="196"/>
      <c r="GA153" s="196"/>
      <c r="GB153" s="196"/>
      <c r="GC153" s="196"/>
      <c r="GD153" s="196"/>
      <c r="GE153" s="196"/>
      <c r="GF153" s="196"/>
      <c r="GG153" s="196"/>
      <c r="GH153" s="196"/>
      <c r="GI153" s="196"/>
      <c r="GJ153" s="196"/>
      <c r="GK153" s="196"/>
      <c r="GL153" s="196"/>
      <c r="GM153" s="196"/>
      <c r="GN153" s="196"/>
      <c r="GO153" s="196"/>
      <c r="GP153" s="196"/>
      <c r="GQ153" s="196"/>
      <c r="GR153" s="196"/>
      <c r="GS153" s="196"/>
      <c r="GT153" s="196"/>
      <c r="GU153" s="196"/>
      <c r="GV153" s="196"/>
      <c r="GW153" s="196"/>
      <c r="GX153" s="196"/>
      <c r="GY153" s="196"/>
      <c r="GZ153" s="196"/>
      <c r="HA153" s="196"/>
      <c r="HB153" s="196"/>
      <c r="HC153" s="196"/>
      <c r="HD153" s="196"/>
      <c r="HE153" s="196"/>
      <c r="HF153" s="196"/>
      <c r="HG153" s="196"/>
      <c r="HH153" s="196"/>
      <c r="HI153" s="196"/>
      <c r="HJ153" s="196"/>
      <c r="HK153" s="196"/>
      <c r="HL153" s="196"/>
      <c r="HM153" s="196"/>
      <c r="HN153" s="196"/>
      <c r="HO153" s="196"/>
      <c r="HP153" s="196"/>
      <c r="HQ153" s="196"/>
      <c r="HR153" s="196"/>
      <c r="HS153" s="196"/>
      <c r="HT153" s="196"/>
      <c r="HU153" s="196"/>
      <c r="HV153" s="196"/>
      <c r="HW153" s="196"/>
      <c r="HX153" s="196"/>
      <c r="HY153" s="196"/>
      <c r="HZ153" s="196"/>
      <c r="IA153" s="196"/>
      <c r="IB153" s="196"/>
      <c r="IC153" s="196"/>
      <c r="ID153" s="196"/>
      <c r="IE153" s="196"/>
      <c r="IF153" s="196"/>
      <c r="IG153" s="196"/>
      <c r="IH153" s="196"/>
      <c r="II153" s="196"/>
      <c r="IJ153" s="196"/>
      <c r="IK153" s="196"/>
      <c r="IL153" s="196"/>
      <c r="IM153" s="196"/>
      <c r="IN153" s="196"/>
      <c r="IO153" s="196"/>
      <c r="IP153" s="196"/>
      <c r="IQ153" s="196"/>
      <c r="IR153" s="196"/>
      <c r="IS153" s="196"/>
      <c r="IT153" s="196"/>
      <c r="IU153" s="196"/>
      <c r="IV153" s="196"/>
      <c r="IW153" s="196"/>
      <c r="IX153" s="196"/>
      <c r="IY153" s="196"/>
      <c r="IZ153" s="196"/>
      <c r="JA153" s="196"/>
      <c r="JB153" s="196"/>
      <c r="JC153" s="196"/>
      <c r="JD153" s="196"/>
      <c r="JE153" s="196"/>
      <c r="JF153" s="196"/>
      <c r="JG153" s="196"/>
      <c r="JH153" s="196"/>
      <c r="JI153" s="196"/>
      <c r="JJ153" s="196"/>
      <c r="JK153" s="196"/>
      <c r="JL153" s="196"/>
      <c r="JM153" s="196"/>
      <c r="JN153" s="196"/>
      <c r="JO153" s="196"/>
      <c r="JP153" s="196"/>
      <c r="JQ153" s="196"/>
      <c r="JR153" s="196"/>
      <c r="JS153" s="196"/>
      <c r="JT153" s="196"/>
      <c r="JU153" s="196"/>
      <c r="JV153" s="196"/>
      <c r="JW153" s="196"/>
      <c r="JX153" s="196"/>
      <c r="JY153" s="196"/>
      <c r="JZ153" s="196"/>
      <c r="KA153" s="196"/>
      <c r="KB153" s="196"/>
      <c r="KC153" s="196"/>
      <c r="KD153" s="196"/>
      <c r="KE153" s="196"/>
      <c r="KF153" s="196"/>
      <c r="KG153" s="196"/>
      <c r="KH153" s="196"/>
      <c r="KI153" s="196"/>
      <c r="KJ153" s="196"/>
      <c r="KK153" s="196"/>
      <c r="KL153" s="196"/>
      <c r="KM153" s="196"/>
      <c r="KN153" s="196"/>
      <c r="KO153" s="196"/>
      <c r="KP153" s="196"/>
      <c r="KQ153" s="196"/>
      <c r="KR153" s="196"/>
      <c r="KS153" s="196"/>
      <c r="KT153" s="196"/>
      <c r="KU153" s="196"/>
      <c r="KV153" s="196"/>
      <c r="KW153" s="196"/>
      <c r="KX153" s="196"/>
      <c r="KY153" s="196"/>
      <c r="KZ153" s="196"/>
      <c r="LA153" s="196"/>
      <c r="LB153" s="196"/>
      <c r="LC153" s="196"/>
      <c r="LD153" s="196"/>
      <c r="LE153" s="196"/>
      <c r="LF153" s="196"/>
      <c r="LG153" s="196"/>
      <c r="LH153" s="196"/>
      <c r="LI153" s="196"/>
      <c r="LJ153" s="196"/>
      <c r="LK153" s="196"/>
      <c r="LL153" s="196"/>
      <c r="LM153" s="196"/>
      <c r="LN153" s="196"/>
      <c r="LO153" s="196"/>
      <c r="LP153" s="196"/>
      <c r="LQ153" s="196"/>
      <c r="LR153" s="196"/>
      <c r="LS153" s="196"/>
      <c r="LT153" s="196"/>
      <c r="LU153" s="196"/>
      <c r="LV153" s="196"/>
      <c r="LW153" s="196"/>
      <c r="LX153" s="196"/>
      <c r="LY153" s="196"/>
      <c r="LZ153" s="196"/>
      <c r="MA153" s="196"/>
      <c r="MB153" s="196"/>
      <c r="MC153" s="196"/>
      <c r="MD153" s="196"/>
      <c r="ME153" s="196"/>
      <c r="MF153" s="196"/>
      <c r="MG153" s="196"/>
      <c r="MH153" s="196"/>
      <c r="MI153" s="196"/>
      <c r="MJ153" s="196"/>
      <c r="MK153" s="196"/>
      <c r="ML153" s="196"/>
      <c r="MM153" s="196"/>
      <c r="MN153" s="196"/>
      <c r="MO153" s="196"/>
      <c r="MP153" s="196"/>
      <c r="MQ153" s="196"/>
      <c r="MR153" s="196"/>
      <c r="MS153" s="196"/>
      <c r="MT153" s="196"/>
      <c r="MU153" s="196"/>
      <c r="MV153" s="196"/>
      <c r="MW153" s="196"/>
      <c r="MX153" s="196"/>
      <c r="MY153" s="196"/>
      <c r="MZ153" s="196"/>
      <c r="NA153" s="196"/>
      <c r="NB153" s="196"/>
      <c r="NC153" s="196"/>
      <c r="ND153" s="196"/>
      <c r="NE153" s="196"/>
      <c r="NF153" s="196"/>
      <c r="NG153" s="196"/>
      <c r="NH153" s="196"/>
      <c r="NI153" s="196"/>
      <c r="NJ153" s="196"/>
      <c r="NK153" s="196"/>
      <c r="NL153" s="196"/>
      <c r="NM153" s="196"/>
      <c r="NN153" s="196"/>
      <c r="NO153" s="196"/>
      <c r="NP153" s="196"/>
      <c r="NQ153" s="196"/>
      <c r="NR153" s="196"/>
      <c r="NS153" s="196"/>
      <c r="NT153" s="196"/>
      <c r="NU153" s="196"/>
      <c r="NV153" s="196"/>
      <c r="NW153" s="196"/>
      <c r="NX153" s="196"/>
      <c r="NY153" s="196"/>
      <c r="NZ153" s="196"/>
      <c r="OA153" s="196"/>
      <c r="OB153" s="196"/>
      <c r="OC153" s="196"/>
      <c r="OD153" s="196"/>
      <c r="OE153" s="196"/>
      <c r="OF153" s="196"/>
      <c r="OG153" s="196"/>
      <c r="OH153" s="196"/>
      <c r="OI153" s="196"/>
      <c r="OJ153" s="196"/>
      <c r="OK153" s="196"/>
      <c r="OL153" s="196"/>
      <c r="OM153" s="196"/>
      <c r="ON153" s="196"/>
      <c r="OO153" s="196"/>
      <c r="OP153" s="196"/>
      <c r="OQ153" s="196"/>
      <c r="OR153" s="196"/>
      <c r="OS153" s="196"/>
      <c r="OT153" s="196"/>
      <c r="OU153" s="196"/>
      <c r="OV153" s="196"/>
      <c r="OW153" s="196"/>
      <c r="OX153" s="196"/>
      <c r="OY153" s="196"/>
      <c r="OZ153" s="196"/>
      <c r="PA153" s="196"/>
      <c r="PB153" s="196"/>
      <c r="PC153" s="196"/>
      <c r="PD153" s="196"/>
      <c r="PE153" s="196"/>
      <c r="PF153" s="196"/>
      <c r="PG153" s="196"/>
      <c r="PH153" s="196"/>
      <c r="PI153" s="196"/>
      <c r="PJ153" s="196"/>
      <c r="PK153" s="196"/>
      <c r="PL153" s="196"/>
      <c r="PM153" s="196"/>
      <c r="PN153" s="196"/>
      <c r="PO153" s="196"/>
      <c r="PP153" s="196"/>
      <c r="PQ153" s="196"/>
      <c r="PR153" s="196"/>
      <c r="PS153" s="196"/>
      <c r="PT153" s="196"/>
      <c r="PU153" s="196"/>
      <c r="PV153" s="196"/>
      <c r="PW153" s="196"/>
      <c r="PX153" s="196"/>
      <c r="PY153" s="196"/>
      <c r="PZ153" s="196"/>
      <c r="QA153" s="196"/>
      <c r="QB153" s="196"/>
      <c r="QC153" s="196"/>
      <c r="QD153" s="196"/>
      <c r="QE153" s="196"/>
      <c r="QF153" s="196"/>
      <c r="QG153" s="196"/>
      <c r="QH153" s="196"/>
      <c r="QI153" s="196"/>
      <c r="QJ153" s="196"/>
      <c r="QK153" s="196"/>
      <c r="QL153" s="196"/>
      <c r="QM153" s="196"/>
      <c r="QN153" s="196"/>
      <c r="QO153" s="196"/>
      <c r="QP153" s="196"/>
      <c r="QQ153" s="196"/>
      <c r="QR153" s="196"/>
      <c r="QS153" s="196"/>
      <c r="QT153" s="196"/>
      <c r="QU153" s="196"/>
      <c r="QV153" s="196"/>
      <c r="QW153" s="196"/>
      <c r="QX153" s="196"/>
      <c r="QY153" s="196"/>
      <c r="QZ153" s="196"/>
      <c r="RA153" s="196"/>
      <c r="RB153" s="196"/>
      <c r="RC153" s="196"/>
      <c r="RD153" s="196"/>
      <c r="RE153" s="196"/>
      <c r="RF153" s="196"/>
      <c r="RG153" s="196"/>
      <c r="RH153" s="196"/>
      <c r="RI153" s="196"/>
      <c r="RJ153" s="196"/>
      <c r="RK153" s="196"/>
      <c r="RL153" s="196"/>
      <c r="RM153" s="196"/>
      <c r="RN153" s="196"/>
      <c r="RO153" s="196"/>
      <c r="RP153" s="196"/>
      <c r="RQ153" s="196"/>
      <c r="RR153" s="196"/>
      <c r="RS153" s="196"/>
      <c r="RT153" s="196"/>
      <c r="RU153" s="196"/>
      <c r="RV153" s="196"/>
      <c r="RW153" s="196"/>
      <c r="RX153" s="196"/>
      <c r="RY153" s="196"/>
      <c r="RZ153" s="196"/>
      <c r="SA153" s="196"/>
      <c r="SB153" s="196"/>
      <c r="SC153" s="196"/>
      <c r="SD153" s="196"/>
      <c r="SE153" s="196"/>
      <c r="SF153" s="196"/>
      <c r="SG153" s="196"/>
      <c r="SH153" s="196"/>
      <c r="SI153" s="196"/>
      <c r="SJ153" s="196"/>
      <c r="SK153" s="196"/>
      <c r="SL153" s="196"/>
      <c r="SM153" s="196"/>
      <c r="SN153" s="196"/>
      <c r="SO153" s="196"/>
      <c r="SP153" s="196"/>
      <c r="SQ153" s="196"/>
      <c r="SR153" s="196"/>
      <c r="SS153" s="196"/>
      <c r="ST153" s="196"/>
      <c r="SU153" s="196"/>
      <c r="SV153" s="196"/>
      <c r="SW153" s="196"/>
      <c r="SX153" s="196"/>
      <c r="SY153" s="196"/>
      <c r="SZ153" s="196"/>
      <c r="TA153" s="196"/>
      <c r="TB153" s="196"/>
      <c r="TC153" s="196"/>
      <c r="TD153" s="196"/>
      <c r="TE153" s="196"/>
      <c r="TF153" s="196"/>
      <c r="TG153" s="196"/>
      <c r="TH153" s="196"/>
      <c r="TI153" s="196"/>
      <c r="TJ153" s="196"/>
      <c r="TK153" s="196"/>
      <c r="TL153" s="196"/>
      <c r="TM153" s="196"/>
      <c r="TN153" s="196"/>
      <c r="TO153" s="196"/>
      <c r="TP153" s="196"/>
      <c r="TQ153" s="196"/>
      <c r="TR153" s="196"/>
      <c r="TS153" s="196"/>
      <c r="TT153" s="196"/>
      <c r="TU153" s="196"/>
      <c r="TV153" s="196"/>
      <c r="TW153" s="196"/>
      <c r="TX153" s="196"/>
      <c r="TY153" s="196"/>
      <c r="TZ153" s="196"/>
      <c r="UA153" s="196"/>
      <c r="UB153" s="196"/>
      <c r="UC153" s="196"/>
      <c r="UD153" s="196"/>
      <c r="UE153" s="196"/>
      <c r="UF153" s="196"/>
      <c r="UG153" s="196"/>
      <c r="UH153" s="196"/>
      <c r="UI153" s="196"/>
      <c r="UJ153" s="196"/>
      <c r="UK153" s="196"/>
      <c r="UL153" s="196"/>
      <c r="UM153" s="196"/>
      <c r="UN153" s="196"/>
      <c r="UO153" s="196"/>
      <c r="UP153" s="196"/>
      <c r="UQ153" s="196"/>
      <c r="UR153" s="196"/>
      <c r="US153" s="196"/>
      <c r="UT153" s="196"/>
      <c r="UU153" s="196"/>
      <c r="UV153" s="196"/>
      <c r="UW153" s="196"/>
      <c r="UX153" s="196"/>
      <c r="UY153" s="196"/>
      <c r="UZ153" s="196"/>
      <c r="VA153" s="196"/>
      <c r="VB153" s="196"/>
      <c r="VC153" s="196"/>
      <c r="VD153" s="196"/>
      <c r="VE153" s="196"/>
      <c r="VF153" s="196"/>
      <c r="VG153" s="196"/>
      <c r="VH153" s="196"/>
      <c r="VI153" s="196"/>
      <c r="VJ153" s="196"/>
      <c r="VK153" s="196"/>
      <c r="VL153" s="196"/>
      <c r="VM153" s="196"/>
      <c r="VN153" s="196"/>
      <c r="VO153" s="196"/>
      <c r="VP153" s="196"/>
      <c r="VQ153" s="196"/>
      <c r="VR153" s="196"/>
      <c r="VS153" s="196"/>
      <c r="VT153" s="196"/>
      <c r="VU153" s="196"/>
      <c r="VV153" s="196"/>
      <c r="VW153" s="196"/>
      <c r="VX153" s="196"/>
      <c r="VY153" s="196"/>
      <c r="VZ153" s="196"/>
      <c r="WA153" s="196"/>
      <c r="WB153" s="196"/>
      <c r="WC153" s="196"/>
      <c r="WD153" s="196"/>
      <c r="WE153" s="196"/>
      <c r="WF153" s="196"/>
      <c r="WG153" s="196"/>
      <c r="WH153" s="196"/>
      <c r="WI153" s="196"/>
      <c r="WJ153" s="196"/>
      <c r="WK153" s="196"/>
      <c r="WL153" s="196"/>
      <c r="WM153" s="196"/>
      <c r="WN153" s="196"/>
      <c r="WO153" s="196"/>
      <c r="WP153" s="196"/>
      <c r="WQ153" s="196"/>
      <c r="WR153" s="196"/>
      <c r="WS153" s="196"/>
      <c r="WT153" s="196"/>
      <c r="WU153" s="196"/>
      <c r="WV153" s="196"/>
      <c r="WW153" s="196"/>
      <c r="WX153" s="196"/>
      <c r="WY153" s="196"/>
      <c r="WZ153" s="196"/>
      <c r="XA153" s="196"/>
      <c r="XB153" s="196"/>
      <c r="XC153" s="196"/>
      <c r="XD153" s="196"/>
      <c r="XE153" s="196"/>
      <c r="XF153" s="196"/>
      <c r="XG153" s="196"/>
      <c r="XH153" s="196"/>
      <c r="XI153" s="196"/>
      <c r="XJ153" s="196"/>
      <c r="XK153" s="196"/>
      <c r="XL153" s="196"/>
      <c r="XM153" s="196"/>
      <c r="XN153" s="196"/>
      <c r="XO153" s="196"/>
      <c r="XP153" s="196"/>
      <c r="XQ153" s="196"/>
      <c r="XR153" s="196"/>
      <c r="XS153" s="196"/>
      <c r="XT153" s="196"/>
      <c r="XU153" s="196"/>
      <c r="XV153" s="196"/>
      <c r="XW153" s="196"/>
      <c r="XX153" s="196"/>
      <c r="XY153" s="196"/>
      <c r="XZ153" s="196"/>
      <c r="YA153" s="196"/>
      <c r="YB153" s="196"/>
      <c r="YC153" s="196"/>
      <c r="YD153" s="196"/>
      <c r="YE153" s="196"/>
      <c r="YF153" s="196"/>
      <c r="YG153" s="196"/>
      <c r="YH153" s="196"/>
      <c r="YI153" s="196"/>
      <c r="YJ153" s="196"/>
      <c r="YK153" s="196"/>
      <c r="YL153" s="196"/>
      <c r="YM153" s="196"/>
      <c r="YN153" s="196"/>
      <c r="YO153" s="196"/>
      <c r="YP153" s="196"/>
      <c r="YQ153" s="196"/>
      <c r="YR153" s="196"/>
      <c r="YS153" s="196"/>
      <c r="YT153" s="196"/>
      <c r="YU153" s="196"/>
      <c r="YV153" s="196"/>
      <c r="YW153" s="196"/>
      <c r="YX153" s="196"/>
      <c r="YY153" s="196"/>
      <c r="YZ153" s="196"/>
      <c r="ZA153" s="196"/>
      <c r="ZB153" s="196"/>
      <c r="ZC153" s="196"/>
      <c r="ZD153" s="196"/>
      <c r="ZE153" s="196"/>
      <c r="ZF153" s="196"/>
      <c r="ZG153" s="196"/>
      <c r="ZH153" s="196"/>
      <c r="ZI153" s="196"/>
      <c r="ZJ153" s="196"/>
      <c r="ZK153" s="196"/>
      <c r="ZL153" s="196"/>
      <c r="ZM153" s="196"/>
      <c r="ZN153" s="196"/>
      <c r="ZO153" s="196"/>
      <c r="ZP153" s="196"/>
      <c r="ZQ153" s="196"/>
      <c r="ZR153" s="196"/>
      <c r="ZS153" s="196"/>
      <c r="ZT153" s="196"/>
      <c r="ZU153" s="196"/>
      <c r="ZV153" s="196"/>
      <c r="ZW153" s="196"/>
      <c r="ZX153" s="196"/>
      <c r="ZY153" s="196"/>
      <c r="ZZ153" s="196"/>
      <c r="AAA153" s="196"/>
      <c r="AAB153" s="196"/>
      <c r="AAC153" s="196"/>
      <c r="AAD153" s="196"/>
      <c r="AAE153" s="196"/>
      <c r="AAF153" s="196"/>
      <c r="AAG153" s="196"/>
      <c r="AAH153" s="196"/>
      <c r="AAI153" s="196"/>
      <c r="AAJ153" s="196"/>
      <c r="AAK153" s="196"/>
      <c r="AAL153" s="196"/>
      <c r="AAM153" s="196"/>
      <c r="AAN153" s="196"/>
      <c r="AAO153" s="196"/>
      <c r="AAP153" s="196"/>
      <c r="AAQ153" s="196"/>
      <c r="AAR153" s="196"/>
      <c r="AAS153" s="196"/>
      <c r="AAT153" s="196"/>
      <c r="AAU153" s="196"/>
      <c r="AAV153" s="196"/>
      <c r="AAW153" s="196"/>
      <c r="AAX153" s="196"/>
      <c r="AAY153" s="196"/>
      <c r="AAZ153" s="196"/>
      <c r="ABA153" s="196"/>
      <c r="ABB153" s="196"/>
      <c r="ABC153" s="196"/>
      <c r="ABD153" s="196"/>
      <c r="ABE153" s="196"/>
      <c r="ABF153" s="196"/>
      <c r="ABG153" s="196"/>
      <c r="ABH153" s="196"/>
      <c r="ABI153" s="196"/>
      <c r="ABJ153" s="196"/>
      <c r="ABK153" s="196"/>
      <c r="ABL153" s="196"/>
      <c r="ABM153" s="196"/>
      <c r="ABN153" s="196"/>
      <c r="ABO153" s="196"/>
      <c r="ABP153" s="196"/>
      <c r="ABQ153" s="196"/>
      <c r="ABR153" s="196"/>
      <c r="ABS153" s="196"/>
      <c r="ABT153" s="196"/>
      <c r="ABU153" s="196"/>
      <c r="ABV153" s="196"/>
      <c r="ABW153" s="196"/>
      <c r="ABX153" s="196"/>
      <c r="ABY153" s="196"/>
      <c r="ABZ153" s="196"/>
      <c r="ACA153" s="196"/>
      <c r="ACB153" s="196"/>
      <c r="ACC153" s="196"/>
      <c r="ACD153" s="196"/>
      <c r="ACE153" s="196"/>
      <c r="ACF153" s="196"/>
      <c r="ACG153" s="196"/>
      <c r="ACH153" s="196"/>
      <c r="ACI153" s="196"/>
      <c r="ACJ153" s="196"/>
      <c r="ACK153" s="196"/>
      <c r="ACL153" s="196"/>
      <c r="ACM153" s="196"/>
      <c r="ACN153" s="196"/>
      <c r="ACO153" s="196"/>
      <c r="ACP153" s="196"/>
      <c r="ACQ153" s="196"/>
      <c r="ACR153" s="196"/>
      <c r="ACS153" s="196"/>
      <c r="ACT153" s="196"/>
      <c r="ACU153" s="196"/>
      <c r="ACV153" s="196"/>
      <c r="ACW153" s="196"/>
      <c r="ACX153" s="196"/>
      <c r="ACY153" s="196"/>
      <c r="ACZ153" s="196"/>
      <c r="ADA153" s="196"/>
      <c r="ADB153" s="196"/>
      <c r="ADC153" s="196"/>
      <c r="ADD153" s="196"/>
      <c r="ADE153" s="196"/>
      <c r="ADF153" s="196"/>
      <c r="ADG153" s="196"/>
      <c r="ADH153" s="196"/>
      <c r="ADI153" s="196"/>
      <c r="ADJ153" s="196"/>
      <c r="ADK153" s="196"/>
      <c r="ADL153" s="196"/>
      <c r="ADM153" s="196"/>
      <c r="ADN153" s="196"/>
      <c r="ADO153" s="196"/>
      <c r="ADP153" s="196"/>
      <c r="ADQ153" s="196"/>
      <c r="ADR153" s="196"/>
      <c r="ADS153" s="196"/>
      <c r="ADT153" s="196"/>
      <c r="ADU153" s="196"/>
      <c r="ADV153" s="196"/>
      <c r="ADW153" s="196"/>
      <c r="ADX153" s="196"/>
      <c r="ADY153" s="196"/>
      <c r="ADZ153" s="196"/>
      <c r="AEA153" s="196"/>
      <c r="AEB153" s="196"/>
      <c r="AEC153" s="196"/>
      <c r="AED153" s="196"/>
      <c r="AEE153" s="196"/>
      <c r="AEF153" s="196"/>
      <c r="AEG153" s="196"/>
      <c r="AEH153" s="196"/>
      <c r="AEI153" s="196"/>
      <c r="AEJ153" s="196"/>
      <c r="AEK153" s="196"/>
      <c r="AEL153" s="196"/>
      <c r="AEM153" s="196"/>
      <c r="AEN153" s="196"/>
      <c r="AEO153" s="196"/>
      <c r="AEP153" s="196"/>
      <c r="AEQ153" s="196"/>
      <c r="AER153" s="196"/>
      <c r="AES153" s="196"/>
      <c r="AET153" s="196"/>
      <c r="AEU153" s="196"/>
      <c r="AEV153" s="196"/>
      <c r="AEW153" s="196"/>
      <c r="AEX153" s="196"/>
      <c r="AEY153" s="196"/>
      <c r="AEZ153" s="196"/>
      <c r="AFA153" s="196"/>
      <c r="AFB153" s="196"/>
      <c r="AFC153" s="196"/>
      <c r="AFD153" s="196"/>
      <c r="AFE153" s="196"/>
      <c r="AFF153" s="196"/>
      <c r="AFG153" s="196"/>
      <c r="AFH153" s="196"/>
      <c r="AFI153" s="196"/>
      <c r="AFJ153" s="196"/>
      <c r="AFK153" s="196"/>
      <c r="AFL153" s="196"/>
      <c r="AFM153" s="196"/>
      <c r="AFN153" s="196"/>
      <c r="AFO153" s="196"/>
      <c r="AFP153" s="196"/>
      <c r="AFQ153" s="196"/>
      <c r="AFR153" s="196"/>
      <c r="AFS153" s="196"/>
      <c r="AFT153" s="196"/>
      <c r="AFU153" s="196"/>
      <c r="AFV153" s="196"/>
      <c r="AFW153" s="196"/>
      <c r="AFX153" s="196"/>
      <c r="AFY153" s="196"/>
      <c r="AFZ153" s="196"/>
      <c r="AGA153" s="196"/>
      <c r="AGB153" s="196"/>
      <c r="AGC153" s="196"/>
      <c r="AGD153" s="196"/>
      <c r="AGE153" s="196"/>
      <c r="AGF153" s="196"/>
      <c r="AGG153" s="196"/>
      <c r="AGH153" s="196"/>
      <c r="AGI153" s="196"/>
      <c r="AGJ153" s="196"/>
      <c r="AGK153" s="196"/>
      <c r="AGL153" s="196"/>
      <c r="AGM153" s="196"/>
      <c r="AGN153" s="196"/>
      <c r="AGO153" s="196"/>
      <c r="AGP153" s="196"/>
      <c r="AGQ153" s="196"/>
      <c r="AGR153" s="196"/>
      <c r="AGS153" s="196"/>
      <c r="AGT153" s="196"/>
      <c r="AGU153" s="196"/>
      <c r="AGV153" s="196"/>
      <c r="AGW153" s="196"/>
      <c r="AGX153" s="196"/>
      <c r="AGY153" s="196"/>
      <c r="AGZ153" s="196"/>
      <c r="AHA153" s="196"/>
      <c r="AHB153" s="196"/>
      <c r="AHC153" s="196"/>
      <c r="AHD153" s="196"/>
      <c r="AHE153" s="196"/>
      <c r="AHF153" s="196"/>
      <c r="AHG153" s="196"/>
      <c r="AHH153" s="196"/>
      <c r="AHI153" s="196"/>
      <c r="AHJ153" s="196"/>
      <c r="AHK153" s="196"/>
      <c r="AHL153" s="196"/>
      <c r="AHM153" s="196"/>
      <c r="AHN153" s="196"/>
      <c r="AHO153" s="196"/>
      <c r="AHP153" s="196"/>
      <c r="AHQ153" s="196"/>
      <c r="AHR153" s="196"/>
      <c r="AHS153" s="196"/>
      <c r="AHT153" s="196"/>
      <c r="AHU153" s="196"/>
      <c r="AHV153" s="196"/>
      <c r="AHW153" s="196"/>
      <c r="AHX153" s="196"/>
      <c r="AHY153" s="196"/>
      <c r="AHZ153" s="196"/>
      <c r="AIA153" s="196"/>
      <c r="AIB153" s="196"/>
      <c r="AIC153" s="196"/>
      <c r="AID153" s="196"/>
      <c r="AIE153" s="196"/>
      <c r="AIF153" s="196"/>
      <c r="AIG153" s="196"/>
      <c r="AIH153" s="196"/>
      <c r="AII153" s="196"/>
      <c r="AIJ153" s="196"/>
      <c r="AIK153" s="196"/>
      <c r="AIL153" s="196"/>
      <c r="AIM153" s="196"/>
      <c r="AIN153" s="196"/>
      <c r="AIO153" s="196"/>
      <c r="AIP153" s="196"/>
      <c r="AIQ153" s="196"/>
      <c r="AIR153" s="196"/>
      <c r="AIS153" s="196"/>
      <c r="AIT153" s="196"/>
      <c r="AIU153" s="196"/>
      <c r="AIV153" s="196"/>
      <c r="AIW153" s="196"/>
      <c r="AIX153" s="196"/>
      <c r="AIY153" s="196"/>
      <c r="AIZ153" s="196"/>
      <c r="AJA153" s="196"/>
      <c r="AJB153" s="196"/>
      <c r="AJC153" s="196"/>
      <c r="AJD153" s="196"/>
      <c r="AJE153" s="196"/>
      <c r="AJF153" s="196"/>
      <c r="AJG153" s="196"/>
      <c r="AJH153" s="196"/>
      <c r="AJI153" s="196"/>
      <c r="AJJ153" s="196"/>
      <c r="AJK153" s="196"/>
      <c r="AJL153" s="196"/>
      <c r="AJM153" s="196"/>
      <c r="AJN153" s="196"/>
      <c r="AJO153" s="196"/>
      <c r="AJP153" s="196"/>
      <c r="AJQ153" s="196"/>
      <c r="AJR153" s="196"/>
      <c r="AJS153" s="196"/>
      <c r="AJT153" s="196"/>
      <c r="AJU153" s="196"/>
      <c r="AJV153" s="196"/>
      <c r="AJW153" s="196"/>
      <c r="AJX153" s="196"/>
      <c r="AJY153" s="196"/>
      <c r="AJZ153" s="196"/>
      <c r="AKA153" s="196"/>
      <c r="AKB153" s="196"/>
      <c r="AKC153" s="196"/>
      <c r="AKD153" s="196"/>
      <c r="AKE153" s="196"/>
      <c r="AKF153" s="196"/>
      <c r="AKG153" s="196"/>
      <c r="AKH153" s="196"/>
      <c r="AKI153" s="196"/>
      <c r="AKJ153" s="196"/>
      <c r="AKK153" s="196"/>
      <c r="AKL153" s="196"/>
      <c r="AKM153" s="196"/>
      <c r="AKN153" s="196"/>
      <c r="AKO153" s="196"/>
      <c r="AKP153" s="196"/>
      <c r="AKQ153" s="196"/>
      <c r="AKR153" s="196"/>
      <c r="AKS153" s="196"/>
      <c r="AKT153" s="196"/>
      <c r="AKU153" s="196"/>
      <c r="AKV153" s="196"/>
      <c r="AKW153" s="196"/>
      <c r="AKX153" s="196"/>
      <c r="AKY153" s="196"/>
      <c r="AKZ153" s="196"/>
      <c r="ALA153" s="196"/>
      <c r="ALB153" s="196"/>
      <c r="ALC153" s="196"/>
      <c r="ALD153" s="196"/>
      <c r="ALE153" s="196"/>
      <c r="ALF153" s="196"/>
      <c r="ALG153" s="196"/>
      <c r="ALH153" s="196"/>
      <c r="ALI153" s="196"/>
      <c r="ALJ153" s="196"/>
      <c r="ALK153" s="196"/>
      <c r="ALL153" s="196"/>
      <c r="ALM153" s="196"/>
      <c r="ALN153" s="196"/>
      <c r="ALO153" s="196"/>
      <c r="ALP153" s="196"/>
      <c r="ALQ153" s="196"/>
      <c r="ALR153" s="196"/>
      <c r="ALS153" s="196"/>
      <c r="ALT153" s="196"/>
      <c r="ALU153" s="196"/>
      <c r="ALV153" s="196"/>
      <c r="ALW153" s="196"/>
      <c r="ALX153" s="196"/>
      <c r="ALY153" s="196"/>
      <c r="ALZ153" s="196"/>
      <c r="AMA153" s="196"/>
      <c r="AMB153" s="196"/>
      <c r="AMC153" s="196"/>
      <c r="AMD153" s="196"/>
      <c r="AME153" s="196"/>
      <c r="AMF153" s="196"/>
      <c r="AMG153" s="196"/>
      <c r="AMH153" s="196"/>
      <c r="AMI153" s="196"/>
      <c r="AMJ153" s="196"/>
    </row>
    <row r="154" customFormat="false" ht="15.75" hidden="false" customHeight="true" outlineLevel="0" collapsed="false">
      <c r="A154" s="196"/>
      <c r="B154" s="210"/>
      <c r="C154" s="212" t="s">
        <v>141</v>
      </c>
      <c r="D154" s="213" t="s">
        <v>142</v>
      </c>
      <c r="E154" s="213" t="n">
        <v>1</v>
      </c>
      <c r="F154" s="211"/>
      <c r="G154" s="10"/>
      <c r="H154" s="257"/>
      <c r="I154" s="260"/>
      <c r="J154" s="8"/>
      <c r="K154" s="8"/>
      <c r="L154" s="259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  <c r="AA154" s="196"/>
      <c r="AB154" s="196"/>
      <c r="AC154" s="196"/>
      <c r="AD154" s="196"/>
      <c r="AE154" s="196"/>
      <c r="AF154" s="196"/>
      <c r="AG154" s="196"/>
      <c r="AH154" s="196"/>
      <c r="AI154" s="196"/>
      <c r="AJ154" s="196"/>
      <c r="AK154" s="196"/>
      <c r="AL154" s="196"/>
      <c r="AM154" s="196"/>
      <c r="AN154" s="196"/>
      <c r="AO154" s="196"/>
      <c r="AP154" s="196"/>
      <c r="AQ154" s="196"/>
      <c r="AR154" s="196"/>
      <c r="AS154" s="196"/>
      <c r="AT154" s="196"/>
      <c r="AU154" s="196"/>
      <c r="AV154" s="196"/>
      <c r="AW154" s="196"/>
      <c r="AX154" s="196"/>
      <c r="AY154" s="196"/>
      <c r="AZ154" s="196"/>
      <c r="BA154" s="196"/>
      <c r="BB154" s="196"/>
      <c r="BC154" s="196"/>
      <c r="BD154" s="196"/>
      <c r="BE154" s="196"/>
      <c r="BF154" s="196"/>
      <c r="BG154" s="196"/>
      <c r="BH154" s="196"/>
      <c r="BI154" s="196"/>
      <c r="BJ154" s="196"/>
      <c r="BK154" s="196"/>
      <c r="BL154" s="196"/>
      <c r="BM154" s="196"/>
      <c r="BN154" s="196"/>
      <c r="BO154" s="196"/>
      <c r="BP154" s="196"/>
      <c r="BQ154" s="196"/>
      <c r="BR154" s="196"/>
      <c r="BS154" s="196"/>
      <c r="BT154" s="196"/>
      <c r="BU154" s="196"/>
      <c r="BV154" s="196"/>
      <c r="BW154" s="196"/>
      <c r="BX154" s="196"/>
      <c r="BY154" s="196"/>
      <c r="BZ154" s="196"/>
      <c r="CA154" s="196"/>
      <c r="CB154" s="196"/>
      <c r="CC154" s="196"/>
      <c r="CD154" s="196"/>
      <c r="CE154" s="196"/>
      <c r="CF154" s="196"/>
      <c r="CG154" s="196"/>
      <c r="CH154" s="196"/>
      <c r="CI154" s="196"/>
      <c r="CJ154" s="196"/>
      <c r="CK154" s="196"/>
      <c r="CL154" s="196"/>
      <c r="CM154" s="196"/>
      <c r="CN154" s="196"/>
      <c r="CO154" s="196"/>
      <c r="CP154" s="196"/>
      <c r="CQ154" s="196"/>
      <c r="CR154" s="196"/>
      <c r="CS154" s="196"/>
      <c r="CT154" s="196"/>
      <c r="CU154" s="196"/>
      <c r="CV154" s="196"/>
      <c r="CW154" s="196"/>
      <c r="CX154" s="196"/>
      <c r="CY154" s="196"/>
      <c r="CZ154" s="196"/>
      <c r="DA154" s="196"/>
      <c r="DB154" s="196"/>
      <c r="DC154" s="196"/>
      <c r="DD154" s="196"/>
      <c r="DE154" s="196"/>
      <c r="DF154" s="196"/>
      <c r="DG154" s="196"/>
      <c r="DH154" s="196"/>
      <c r="DI154" s="196"/>
      <c r="DJ154" s="196"/>
      <c r="DK154" s="196"/>
      <c r="DL154" s="196"/>
      <c r="DM154" s="196"/>
      <c r="DN154" s="196"/>
      <c r="DO154" s="196"/>
      <c r="DP154" s="196"/>
      <c r="DQ154" s="196"/>
      <c r="DR154" s="196"/>
      <c r="DS154" s="196"/>
      <c r="DT154" s="196"/>
      <c r="DU154" s="196"/>
      <c r="DV154" s="196"/>
      <c r="DW154" s="196"/>
      <c r="DX154" s="196"/>
      <c r="DY154" s="196"/>
      <c r="DZ154" s="196"/>
      <c r="EA154" s="196"/>
      <c r="EB154" s="196"/>
      <c r="EC154" s="196"/>
      <c r="ED154" s="196"/>
      <c r="EE154" s="196"/>
      <c r="EF154" s="196"/>
      <c r="EG154" s="196"/>
      <c r="EH154" s="196"/>
      <c r="EI154" s="196"/>
      <c r="EJ154" s="196"/>
      <c r="EK154" s="196"/>
      <c r="EL154" s="196"/>
      <c r="EM154" s="196"/>
      <c r="EN154" s="196"/>
      <c r="EO154" s="196"/>
      <c r="EP154" s="196"/>
      <c r="EQ154" s="196"/>
      <c r="ER154" s="196"/>
      <c r="ES154" s="196"/>
      <c r="ET154" s="196"/>
      <c r="EU154" s="196"/>
      <c r="EV154" s="196"/>
      <c r="EW154" s="196"/>
      <c r="EX154" s="196"/>
      <c r="EY154" s="196"/>
      <c r="EZ154" s="196"/>
      <c r="FA154" s="196"/>
      <c r="FB154" s="196"/>
      <c r="FC154" s="196"/>
      <c r="FD154" s="196"/>
      <c r="FE154" s="196"/>
      <c r="FF154" s="196"/>
      <c r="FG154" s="196"/>
      <c r="FH154" s="196"/>
      <c r="FI154" s="196"/>
      <c r="FJ154" s="196"/>
      <c r="FK154" s="196"/>
      <c r="FL154" s="196"/>
      <c r="FM154" s="196"/>
      <c r="FN154" s="196"/>
      <c r="FO154" s="196"/>
      <c r="FP154" s="196"/>
      <c r="FQ154" s="196"/>
      <c r="FR154" s="196"/>
      <c r="FS154" s="196"/>
      <c r="FT154" s="196"/>
      <c r="FU154" s="196"/>
      <c r="FV154" s="196"/>
      <c r="FW154" s="196"/>
      <c r="FX154" s="196"/>
      <c r="FY154" s="196"/>
      <c r="FZ154" s="196"/>
      <c r="GA154" s="196"/>
      <c r="GB154" s="196"/>
      <c r="GC154" s="196"/>
      <c r="GD154" s="196"/>
      <c r="GE154" s="196"/>
      <c r="GF154" s="196"/>
      <c r="GG154" s="196"/>
      <c r="GH154" s="196"/>
      <c r="GI154" s="196"/>
      <c r="GJ154" s="196"/>
      <c r="GK154" s="196"/>
      <c r="GL154" s="196"/>
      <c r="GM154" s="196"/>
      <c r="GN154" s="196"/>
      <c r="GO154" s="196"/>
      <c r="GP154" s="196"/>
      <c r="GQ154" s="196"/>
      <c r="GR154" s="196"/>
      <c r="GS154" s="196"/>
      <c r="GT154" s="196"/>
      <c r="GU154" s="196"/>
      <c r="GV154" s="196"/>
      <c r="GW154" s="196"/>
      <c r="GX154" s="196"/>
      <c r="GY154" s="196"/>
      <c r="GZ154" s="196"/>
      <c r="HA154" s="196"/>
      <c r="HB154" s="196"/>
      <c r="HC154" s="196"/>
      <c r="HD154" s="196"/>
      <c r="HE154" s="196"/>
      <c r="HF154" s="196"/>
      <c r="HG154" s="196"/>
      <c r="HH154" s="196"/>
      <c r="HI154" s="196"/>
      <c r="HJ154" s="196"/>
      <c r="HK154" s="196"/>
      <c r="HL154" s="196"/>
      <c r="HM154" s="196"/>
      <c r="HN154" s="196"/>
      <c r="HO154" s="196"/>
      <c r="HP154" s="196"/>
      <c r="HQ154" s="196"/>
      <c r="HR154" s="196"/>
      <c r="HS154" s="196"/>
      <c r="HT154" s="196"/>
      <c r="HU154" s="196"/>
      <c r="HV154" s="196"/>
      <c r="HW154" s="196"/>
      <c r="HX154" s="196"/>
      <c r="HY154" s="196"/>
      <c r="HZ154" s="196"/>
      <c r="IA154" s="196"/>
      <c r="IB154" s="196"/>
      <c r="IC154" s="196"/>
      <c r="ID154" s="196"/>
      <c r="IE154" s="196"/>
      <c r="IF154" s="196"/>
      <c r="IG154" s="196"/>
      <c r="IH154" s="196"/>
      <c r="II154" s="196"/>
      <c r="IJ154" s="196"/>
      <c r="IK154" s="196"/>
      <c r="IL154" s="196"/>
      <c r="IM154" s="196"/>
      <c r="IN154" s="196"/>
      <c r="IO154" s="196"/>
      <c r="IP154" s="196"/>
      <c r="IQ154" s="196"/>
      <c r="IR154" s="196"/>
      <c r="IS154" s="196"/>
      <c r="IT154" s="196"/>
      <c r="IU154" s="196"/>
      <c r="IV154" s="196"/>
      <c r="IW154" s="196"/>
      <c r="IX154" s="196"/>
      <c r="IY154" s="196"/>
      <c r="IZ154" s="196"/>
      <c r="JA154" s="196"/>
      <c r="JB154" s="196"/>
      <c r="JC154" s="196"/>
      <c r="JD154" s="196"/>
      <c r="JE154" s="196"/>
      <c r="JF154" s="196"/>
      <c r="JG154" s="196"/>
      <c r="JH154" s="196"/>
      <c r="JI154" s="196"/>
      <c r="JJ154" s="196"/>
      <c r="JK154" s="196"/>
      <c r="JL154" s="196"/>
      <c r="JM154" s="196"/>
      <c r="JN154" s="196"/>
      <c r="JO154" s="196"/>
      <c r="JP154" s="196"/>
      <c r="JQ154" s="196"/>
      <c r="JR154" s="196"/>
      <c r="JS154" s="196"/>
      <c r="JT154" s="196"/>
      <c r="JU154" s="196"/>
      <c r="JV154" s="196"/>
      <c r="JW154" s="196"/>
      <c r="JX154" s="196"/>
      <c r="JY154" s="196"/>
      <c r="JZ154" s="196"/>
      <c r="KA154" s="196"/>
      <c r="KB154" s="196"/>
      <c r="KC154" s="196"/>
      <c r="KD154" s="196"/>
      <c r="KE154" s="196"/>
      <c r="KF154" s="196"/>
      <c r="KG154" s="196"/>
      <c r="KH154" s="196"/>
      <c r="KI154" s="196"/>
      <c r="KJ154" s="196"/>
      <c r="KK154" s="196"/>
      <c r="KL154" s="196"/>
      <c r="KM154" s="196"/>
      <c r="KN154" s="196"/>
      <c r="KO154" s="196"/>
      <c r="KP154" s="196"/>
      <c r="KQ154" s="196"/>
      <c r="KR154" s="196"/>
      <c r="KS154" s="196"/>
      <c r="KT154" s="196"/>
      <c r="KU154" s="196"/>
      <c r="KV154" s="196"/>
      <c r="KW154" s="196"/>
      <c r="KX154" s="196"/>
      <c r="KY154" s="196"/>
      <c r="KZ154" s="196"/>
      <c r="LA154" s="196"/>
      <c r="LB154" s="196"/>
      <c r="LC154" s="196"/>
      <c r="LD154" s="196"/>
      <c r="LE154" s="196"/>
      <c r="LF154" s="196"/>
      <c r="LG154" s="196"/>
      <c r="LH154" s="196"/>
      <c r="LI154" s="196"/>
      <c r="LJ154" s="196"/>
      <c r="LK154" s="196"/>
      <c r="LL154" s="196"/>
      <c r="LM154" s="196"/>
      <c r="LN154" s="196"/>
      <c r="LO154" s="196"/>
      <c r="LP154" s="196"/>
      <c r="LQ154" s="196"/>
      <c r="LR154" s="196"/>
      <c r="LS154" s="196"/>
      <c r="LT154" s="196"/>
      <c r="LU154" s="196"/>
      <c r="LV154" s="196"/>
      <c r="LW154" s="196"/>
      <c r="LX154" s="196"/>
      <c r="LY154" s="196"/>
      <c r="LZ154" s="196"/>
      <c r="MA154" s="196"/>
      <c r="MB154" s="196"/>
      <c r="MC154" s="196"/>
      <c r="MD154" s="196"/>
      <c r="ME154" s="196"/>
      <c r="MF154" s="196"/>
      <c r="MG154" s="196"/>
      <c r="MH154" s="196"/>
      <c r="MI154" s="196"/>
      <c r="MJ154" s="196"/>
      <c r="MK154" s="196"/>
      <c r="ML154" s="196"/>
      <c r="MM154" s="196"/>
      <c r="MN154" s="196"/>
      <c r="MO154" s="196"/>
      <c r="MP154" s="196"/>
      <c r="MQ154" s="196"/>
      <c r="MR154" s="196"/>
      <c r="MS154" s="196"/>
      <c r="MT154" s="196"/>
      <c r="MU154" s="196"/>
      <c r="MV154" s="196"/>
      <c r="MW154" s="196"/>
      <c r="MX154" s="196"/>
      <c r="MY154" s="196"/>
      <c r="MZ154" s="196"/>
      <c r="NA154" s="196"/>
      <c r="NB154" s="196"/>
      <c r="NC154" s="196"/>
      <c r="ND154" s="196"/>
      <c r="NE154" s="196"/>
      <c r="NF154" s="196"/>
      <c r="NG154" s="196"/>
      <c r="NH154" s="196"/>
      <c r="NI154" s="196"/>
      <c r="NJ154" s="196"/>
      <c r="NK154" s="196"/>
      <c r="NL154" s="196"/>
      <c r="NM154" s="196"/>
      <c r="NN154" s="196"/>
      <c r="NO154" s="196"/>
      <c r="NP154" s="196"/>
      <c r="NQ154" s="196"/>
      <c r="NR154" s="196"/>
      <c r="NS154" s="196"/>
      <c r="NT154" s="196"/>
      <c r="NU154" s="196"/>
      <c r="NV154" s="196"/>
      <c r="NW154" s="196"/>
      <c r="NX154" s="196"/>
      <c r="NY154" s="196"/>
      <c r="NZ154" s="196"/>
      <c r="OA154" s="196"/>
      <c r="OB154" s="196"/>
      <c r="OC154" s="196"/>
      <c r="OD154" s="196"/>
      <c r="OE154" s="196"/>
      <c r="OF154" s="196"/>
      <c r="OG154" s="196"/>
      <c r="OH154" s="196"/>
      <c r="OI154" s="196"/>
      <c r="OJ154" s="196"/>
      <c r="OK154" s="196"/>
      <c r="OL154" s="196"/>
      <c r="OM154" s="196"/>
      <c r="ON154" s="196"/>
      <c r="OO154" s="196"/>
      <c r="OP154" s="196"/>
      <c r="OQ154" s="196"/>
      <c r="OR154" s="196"/>
      <c r="OS154" s="196"/>
      <c r="OT154" s="196"/>
      <c r="OU154" s="196"/>
      <c r="OV154" s="196"/>
      <c r="OW154" s="196"/>
      <c r="OX154" s="196"/>
      <c r="OY154" s="196"/>
      <c r="OZ154" s="196"/>
      <c r="PA154" s="196"/>
      <c r="PB154" s="196"/>
      <c r="PC154" s="196"/>
      <c r="PD154" s="196"/>
      <c r="PE154" s="196"/>
      <c r="PF154" s="196"/>
      <c r="PG154" s="196"/>
      <c r="PH154" s="196"/>
      <c r="PI154" s="196"/>
      <c r="PJ154" s="196"/>
      <c r="PK154" s="196"/>
      <c r="PL154" s="196"/>
      <c r="PM154" s="196"/>
      <c r="PN154" s="196"/>
      <c r="PO154" s="196"/>
      <c r="PP154" s="196"/>
      <c r="PQ154" s="196"/>
      <c r="PR154" s="196"/>
      <c r="PS154" s="196"/>
      <c r="PT154" s="196"/>
      <c r="PU154" s="196"/>
      <c r="PV154" s="196"/>
      <c r="PW154" s="196"/>
      <c r="PX154" s="196"/>
      <c r="PY154" s="196"/>
      <c r="PZ154" s="196"/>
      <c r="QA154" s="196"/>
      <c r="QB154" s="196"/>
      <c r="QC154" s="196"/>
      <c r="QD154" s="196"/>
      <c r="QE154" s="196"/>
      <c r="QF154" s="196"/>
      <c r="QG154" s="196"/>
      <c r="QH154" s="196"/>
      <c r="QI154" s="196"/>
      <c r="QJ154" s="196"/>
      <c r="QK154" s="196"/>
      <c r="QL154" s="196"/>
      <c r="QM154" s="196"/>
      <c r="QN154" s="196"/>
      <c r="QO154" s="196"/>
      <c r="QP154" s="196"/>
      <c r="QQ154" s="196"/>
      <c r="QR154" s="196"/>
      <c r="QS154" s="196"/>
      <c r="QT154" s="196"/>
      <c r="QU154" s="196"/>
      <c r="QV154" s="196"/>
      <c r="QW154" s="196"/>
      <c r="QX154" s="196"/>
      <c r="QY154" s="196"/>
      <c r="QZ154" s="196"/>
      <c r="RA154" s="196"/>
      <c r="RB154" s="196"/>
      <c r="RC154" s="196"/>
      <c r="RD154" s="196"/>
      <c r="RE154" s="196"/>
      <c r="RF154" s="196"/>
      <c r="RG154" s="196"/>
      <c r="RH154" s="196"/>
      <c r="RI154" s="196"/>
      <c r="RJ154" s="196"/>
      <c r="RK154" s="196"/>
      <c r="RL154" s="196"/>
      <c r="RM154" s="196"/>
      <c r="RN154" s="196"/>
      <c r="RO154" s="196"/>
      <c r="RP154" s="196"/>
      <c r="RQ154" s="196"/>
      <c r="RR154" s="196"/>
      <c r="RS154" s="196"/>
      <c r="RT154" s="196"/>
      <c r="RU154" s="196"/>
      <c r="RV154" s="196"/>
      <c r="RW154" s="196"/>
      <c r="RX154" s="196"/>
      <c r="RY154" s="196"/>
      <c r="RZ154" s="196"/>
      <c r="SA154" s="196"/>
      <c r="SB154" s="196"/>
      <c r="SC154" s="196"/>
      <c r="SD154" s="196"/>
      <c r="SE154" s="196"/>
      <c r="SF154" s="196"/>
      <c r="SG154" s="196"/>
      <c r="SH154" s="196"/>
      <c r="SI154" s="196"/>
      <c r="SJ154" s="196"/>
      <c r="SK154" s="196"/>
      <c r="SL154" s="196"/>
      <c r="SM154" s="196"/>
      <c r="SN154" s="196"/>
      <c r="SO154" s="196"/>
      <c r="SP154" s="196"/>
      <c r="SQ154" s="196"/>
      <c r="SR154" s="196"/>
      <c r="SS154" s="196"/>
      <c r="ST154" s="196"/>
      <c r="SU154" s="196"/>
      <c r="SV154" s="196"/>
      <c r="SW154" s="196"/>
      <c r="SX154" s="196"/>
      <c r="SY154" s="196"/>
      <c r="SZ154" s="196"/>
      <c r="TA154" s="196"/>
      <c r="TB154" s="196"/>
      <c r="TC154" s="196"/>
      <c r="TD154" s="196"/>
      <c r="TE154" s="196"/>
      <c r="TF154" s="196"/>
      <c r="TG154" s="196"/>
      <c r="TH154" s="196"/>
      <c r="TI154" s="196"/>
      <c r="TJ154" s="196"/>
      <c r="TK154" s="196"/>
      <c r="TL154" s="196"/>
      <c r="TM154" s="196"/>
      <c r="TN154" s="196"/>
      <c r="TO154" s="196"/>
      <c r="TP154" s="196"/>
      <c r="TQ154" s="196"/>
      <c r="TR154" s="196"/>
      <c r="TS154" s="196"/>
      <c r="TT154" s="196"/>
      <c r="TU154" s="196"/>
      <c r="TV154" s="196"/>
      <c r="TW154" s="196"/>
      <c r="TX154" s="196"/>
      <c r="TY154" s="196"/>
      <c r="TZ154" s="196"/>
      <c r="UA154" s="196"/>
      <c r="UB154" s="196"/>
      <c r="UC154" s="196"/>
      <c r="UD154" s="196"/>
      <c r="UE154" s="196"/>
      <c r="UF154" s="196"/>
      <c r="UG154" s="196"/>
      <c r="UH154" s="196"/>
      <c r="UI154" s="196"/>
      <c r="UJ154" s="196"/>
      <c r="UK154" s="196"/>
      <c r="UL154" s="196"/>
      <c r="UM154" s="196"/>
      <c r="UN154" s="196"/>
      <c r="UO154" s="196"/>
      <c r="UP154" s="196"/>
      <c r="UQ154" s="196"/>
      <c r="UR154" s="196"/>
      <c r="US154" s="196"/>
      <c r="UT154" s="196"/>
      <c r="UU154" s="196"/>
      <c r="UV154" s="196"/>
      <c r="UW154" s="196"/>
      <c r="UX154" s="196"/>
      <c r="UY154" s="196"/>
      <c r="UZ154" s="196"/>
      <c r="VA154" s="196"/>
      <c r="VB154" s="196"/>
      <c r="VC154" s="196"/>
      <c r="VD154" s="196"/>
      <c r="VE154" s="196"/>
      <c r="VF154" s="196"/>
      <c r="VG154" s="196"/>
      <c r="VH154" s="196"/>
      <c r="VI154" s="196"/>
      <c r="VJ154" s="196"/>
      <c r="VK154" s="196"/>
      <c r="VL154" s="196"/>
      <c r="VM154" s="196"/>
      <c r="VN154" s="196"/>
      <c r="VO154" s="196"/>
      <c r="VP154" s="196"/>
      <c r="VQ154" s="196"/>
      <c r="VR154" s="196"/>
      <c r="VS154" s="196"/>
      <c r="VT154" s="196"/>
      <c r="VU154" s="196"/>
      <c r="VV154" s="196"/>
      <c r="VW154" s="196"/>
      <c r="VX154" s="196"/>
      <c r="VY154" s="196"/>
      <c r="VZ154" s="196"/>
      <c r="WA154" s="196"/>
      <c r="WB154" s="196"/>
      <c r="WC154" s="196"/>
      <c r="WD154" s="196"/>
      <c r="WE154" s="196"/>
      <c r="WF154" s="196"/>
      <c r="WG154" s="196"/>
      <c r="WH154" s="196"/>
      <c r="WI154" s="196"/>
      <c r="WJ154" s="196"/>
      <c r="WK154" s="196"/>
      <c r="WL154" s="196"/>
      <c r="WM154" s="196"/>
      <c r="WN154" s="196"/>
      <c r="WO154" s="196"/>
      <c r="WP154" s="196"/>
      <c r="WQ154" s="196"/>
      <c r="WR154" s="196"/>
      <c r="WS154" s="196"/>
      <c r="WT154" s="196"/>
      <c r="WU154" s="196"/>
      <c r="WV154" s="196"/>
      <c r="WW154" s="196"/>
      <c r="WX154" s="196"/>
      <c r="WY154" s="196"/>
      <c r="WZ154" s="196"/>
      <c r="XA154" s="196"/>
      <c r="XB154" s="196"/>
      <c r="XC154" s="196"/>
      <c r="XD154" s="196"/>
      <c r="XE154" s="196"/>
      <c r="XF154" s="196"/>
      <c r="XG154" s="196"/>
      <c r="XH154" s="196"/>
      <c r="XI154" s="196"/>
      <c r="XJ154" s="196"/>
      <c r="XK154" s="196"/>
      <c r="XL154" s="196"/>
      <c r="XM154" s="196"/>
      <c r="XN154" s="196"/>
      <c r="XO154" s="196"/>
      <c r="XP154" s="196"/>
      <c r="XQ154" s="196"/>
      <c r="XR154" s="196"/>
      <c r="XS154" s="196"/>
      <c r="XT154" s="196"/>
      <c r="XU154" s="196"/>
      <c r="XV154" s="196"/>
      <c r="XW154" s="196"/>
      <c r="XX154" s="196"/>
      <c r="XY154" s="196"/>
      <c r="XZ154" s="196"/>
      <c r="YA154" s="196"/>
      <c r="YB154" s="196"/>
      <c r="YC154" s="196"/>
      <c r="YD154" s="196"/>
      <c r="YE154" s="196"/>
      <c r="YF154" s="196"/>
      <c r="YG154" s="196"/>
      <c r="YH154" s="196"/>
      <c r="YI154" s="196"/>
      <c r="YJ154" s="196"/>
      <c r="YK154" s="196"/>
      <c r="YL154" s="196"/>
      <c r="YM154" s="196"/>
      <c r="YN154" s="196"/>
      <c r="YO154" s="196"/>
      <c r="YP154" s="196"/>
      <c r="YQ154" s="196"/>
      <c r="YR154" s="196"/>
      <c r="YS154" s="196"/>
      <c r="YT154" s="196"/>
      <c r="YU154" s="196"/>
      <c r="YV154" s="196"/>
      <c r="YW154" s="196"/>
      <c r="YX154" s="196"/>
      <c r="YY154" s="196"/>
      <c r="YZ154" s="196"/>
      <c r="ZA154" s="196"/>
      <c r="ZB154" s="196"/>
      <c r="ZC154" s="196"/>
      <c r="ZD154" s="196"/>
      <c r="ZE154" s="196"/>
      <c r="ZF154" s="196"/>
      <c r="ZG154" s="196"/>
      <c r="ZH154" s="196"/>
      <c r="ZI154" s="196"/>
      <c r="ZJ154" s="196"/>
      <c r="ZK154" s="196"/>
      <c r="ZL154" s="196"/>
      <c r="ZM154" s="196"/>
      <c r="ZN154" s="196"/>
      <c r="ZO154" s="196"/>
      <c r="ZP154" s="196"/>
      <c r="ZQ154" s="196"/>
      <c r="ZR154" s="196"/>
      <c r="ZS154" s="196"/>
      <c r="ZT154" s="196"/>
      <c r="ZU154" s="196"/>
      <c r="ZV154" s="196"/>
      <c r="ZW154" s="196"/>
      <c r="ZX154" s="196"/>
      <c r="ZY154" s="196"/>
      <c r="ZZ154" s="196"/>
      <c r="AAA154" s="196"/>
      <c r="AAB154" s="196"/>
      <c r="AAC154" s="196"/>
      <c r="AAD154" s="196"/>
      <c r="AAE154" s="196"/>
      <c r="AAF154" s="196"/>
      <c r="AAG154" s="196"/>
      <c r="AAH154" s="196"/>
      <c r="AAI154" s="196"/>
      <c r="AAJ154" s="196"/>
      <c r="AAK154" s="196"/>
      <c r="AAL154" s="196"/>
      <c r="AAM154" s="196"/>
      <c r="AAN154" s="196"/>
      <c r="AAO154" s="196"/>
      <c r="AAP154" s="196"/>
      <c r="AAQ154" s="196"/>
      <c r="AAR154" s="196"/>
      <c r="AAS154" s="196"/>
      <c r="AAT154" s="196"/>
      <c r="AAU154" s="196"/>
      <c r="AAV154" s="196"/>
      <c r="AAW154" s="196"/>
      <c r="AAX154" s="196"/>
      <c r="AAY154" s="196"/>
      <c r="AAZ154" s="196"/>
      <c r="ABA154" s="196"/>
      <c r="ABB154" s="196"/>
      <c r="ABC154" s="196"/>
      <c r="ABD154" s="196"/>
      <c r="ABE154" s="196"/>
      <c r="ABF154" s="196"/>
      <c r="ABG154" s="196"/>
      <c r="ABH154" s="196"/>
      <c r="ABI154" s="196"/>
      <c r="ABJ154" s="196"/>
      <c r="ABK154" s="196"/>
      <c r="ABL154" s="196"/>
      <c r="ABM154" s="196"/>
      <c r="ABN154" s="196"/>
      <c r="ABO154" s="196"/>
      <c r="ABP154" s="196"/>
      <c r="ABQ154" s="196"/>
      <c r="ABR154" s="196"/>
      <c r="ABS154" s="196"/>
      <c r="ABT154" s="196"/>
      <c r="ABU154" s="196"/>
      <c r="ABV154" s="196"/>
      <c r="ABW154" s="196"/>
      <c r="ABX154" s="196"/>
      <c r="ABY154" s="196"/>
      <c r="ABZ154" s="196"/>
      <c r="ACA154" s="196"/>
      <c r="ACB154" s="196"/>
      <c r="ACC154" s="196"/>
      <c r="ACD154" s="196"/>
      <c r="ACE154" s="196"/>
      <c r="ACF154" s="196"/>
      <c r="ACG154" s="196"/>
      <c r="ACH154" s="196"/>
      <c r="ACI154" s="196"/>
      <c r="ACJ154" s="196"/>
      <c r="ACK154" s="196"/>
      <c r="ACL154" s="196"/>
      <c r="ACM154" s="196"/>
      <c r="ACN154" s="196"/>
      <c r="ACO154" s="196"/>
      <c r="ACP154" s="196"/>
      <c r="ACQ154" s="196"/>
      <c r="ACR154" s="196"/>
      <c r="ACS154" s="196"/>
      <c r="ACT154" s="196"/>
      <c r="ACU154" s="196"/>
      <c r="ACV154" s="196"/>
      <c r="ACW154" s="196"/>
      <c r="ACX154" s="196"/>
      <c r="ACY154" s="196"/>
      <c r="ACZ154" s="196"/>
      <c r="ADA154" s="196"/>
      <c r="ADB154" s="196"/>
      <c r="ADC154" s="196"/>
      <c r="ADD154" s="196"/>
      <c r="ADE154" s="196"/>
      <c r="ADF154" s="196"/>
      <c r="ADG154" s="196"/>
      <c r="ADH154" s="196"/>
      <c r="ADI154" s="196"/>
      <c r="ADJ154" s="196"/>
      <c r="ADK154" s="196"/>
      <c r="ADL154" s="196"/>
      <c r="ADM154" s="196"/>
      <c r="ADN154" s="196"/>
      <c r="ADO154" s="196"/>
      <c r="ADP154" s="196"/>
      <c r="ADQ154" s="196"/>
      <c r="ADR154" s="196"/>
      <c r="ADS154" s="196"/>
      <c r="ADT154" s="196"/>
      <c r="ADU154" s="196"/>
      <c r="ADV154" s="196"/>
      <c r="ADW154" s="196"/>
      <c r="ADX154" s="196"/>
      <c r="ADY154" s="196"/>
      <c r="ADZ154" s="196"/>
      <c r="AEA154" s="196"/>
      <c r="AEB154" s="196"/>
      <c r="AEC154" s="196"/>
      <c r="AED154" s="196"/>
      <c r="AEE154" s="196"/>
      <c r="AEF154" s="196"/>
      <c r="AEG154" s="196"/>
      <c r="AEH154" s="196"/>
      <c r="AEI154" s="196"/>
      <c r="AEJ154" s="196"/>
      <c r="AEK154" s="196"/>
      <c r="AEL154" s="196"/>
      <c r="AEM154" s="196"/>
      <c r="AEN154" s="196"/>
      <c r="AEO154" s="196"/>
      <c r="AEP154" s="196"/>
      <c r="AEQ154" s="196"/>
      <c r="AER154" s="196"/>
      <c r="AES154" s="196"/>
      <c r="AET154" s="196"/>
      <c r="AEU154" s="196"/>
      <c r="AEV154" s="196"/>
      <c r="AEW154" s="196"/>
      <c r="AEX154" s="196"/>
      <c r="AEY154" s="196"/>
      <c r="AEZ154" s="196"/>
      <c r="AFA154" s="196"/>
      <c r="AFB154" s="196"/>
      <c r="AFC154" s="196"/>
      <c r="AFD154" s="196"/>
      <c r="AFE154" s="196"/>
      <c r="AFF154" s="196"/>
      <c r="AFG154" s="196"/>
      <c r="AFH154" s="196"/>
      <c r="AFI154" s="196"/>
      <c r="AFJ154" s="196"/>
      <c r="AFK154" s="196"/>
      <c r="AFL154" s="196"/>
      <c r="AFM154" s="196"/>
      <c r="AFN154" s="196"/>
      <c r="AFO154" s="196"/>
      <c r="AFP154" s="196"/>
      <c r="AFQ154" s="196"/>
      <c r="AFR154" s="196"/>
      <c r="AFS154" s="196"/>
      <c r="AFT154" s="196"/>
      <c r="AFU154" s="196"/>
      <c r="AFV154" s="196"/>
      <c r="AFW154" s="196"/>
      <c r="AFX154" s="196"/>
      <c r="AFY154" s="196"/>
      <c r="AFZ154" s="196"/>
      <c r="AGA154" s="196"/>
      <c r="AGB154" s="196"/>
      <c r="AGC154" s="196"/>
      <c r="AGD154" s="196"/>
      <c r="AGE154" s="196"/>
      <c r="AGF154" s="196"/>
      <c r="AGG154" s="196"/>
      <c r="AGH154" s="196"/>
      <c r="AGI154" s="196"/>
      <c r="AGJ154" s="196"/>
      <c r="AGK154" s="196"/>
      <c r="AGL154" s="196"/>
      <c r="AGM154" s="196"/>
      <c r="AGN154" s="196"/>
      <c r="AGO154" s="196"/>
      <c r="AGP154" s="196"/>
      <c r="AGQ154" s="196"/>
      <c r="AGR154" s="196"/>
      <c r="AGS154" s="196"/>
      <c r="AGT154" s="196"/>
      <c r="AGU154" s="196"/>
      <c r="AGV154" s="196"/>
      <c r="AGW154" s="196"/>
      <c r="AGX154" s="196"/>
      <c r="AGY154" s="196"/>
      <c r="AGZ154" s="196"/>
      <c r="AHA154" s="196"/>
      <c r="AHB154" s="196"/>
      <c r="AHC154" s="196"/>
      <c r="AHD154" s="196"/>
      <c r="AHE154" s="196"/>
      <c r="AHF154" s="196"/>
      <c r="AHG154" s="196"/>
      <c r="AHH154" s="196"/>
      <c r="AHI154" s="196"/>
      <c r="AHJ154" s="196"/>
      <c r="AHK154" s="196"/>
      <c r="AHL154" s="196"/>
      <c r="AHM154" s="196"/>
      <c r="AHN154" s="196"/>
      <c r="AHO154" s="196"/>
      <c r="AHP154" s="196"/>
      <c r="AHQ154" s="196"/>
      <c r="AHR154" s="196"/>
      <c r="AHS154" s="196"/>
      <c r="AHT154" s="196"/>
      <c r="AHU154" s="196"/>
      <c r="AHV154" s="196"/>
      <c r="AHW154" s="196"/>
      <c r="AHX154" s="196"/>
      <c r="AHY154" s="196"/>
      <c r="AHZ154" s="196"/>
      <c r="AIA154" s="196"/>
      <c r="AIB154" s="196"/>
      <c r="AIC154" s="196"/>
      <c r="AID154" s="196"/>
      <c r="AIE154" s="196"/>
      <c r="AIF154" s="196"/>
      <c r="AIG154" s="196"/>
      <c r="AIH154" s="196"/>
      <c r="AII154" s="196"/>
      <c r="AIJ154" s="196"/>
      <c r="AIK154" s="196"/>
      <c r="AIL154" s="196"/>
      <c r="AIM154" s="196"/>
      <c r="AIN154" s="196"/>
      <c r="AIO154" s="196"/>
      <c r="AIP154" s="196"/>
      <c r="AIQ154" s="196"/>
      <c r="AIR154" s="196"/>
      <c r="AIS154" s="196"/>
      <c r="AIT154" s="196"/>
      <c r="AIU154" s="196"/>
      <c r="AIV154" s="196"/>
      <c r="AIW154" s="196"/>
      <c r="AIX154" s="196"/>
      <c r="AIY154" s="196"/>
      <c r="AIZ154" s="196"/>
      <c r="AJA154" s="196"/>
      <c r="AJB154" s="196"/>
      <c r="AJC154" s="196"/>
      <c r="AJD154" s="196"/>
      <c r="AJE154" s="196"/>
      <c r="AJF154" s="196"/>
      <c r="AJG154" s="196"/>
      <c r="AJH154" s="196"/>
      <c r="AJI154" s="196"/>
      <c r="AJJ154" s="196"/>
      <c r="AJK154" s="196"/>
      <c r="AJL154" s="196"/>
      <c r="AJM154" s="196"/>
      <c r="AJN154" s="196"/>
      <c r="AJO154" s="196"/>
      <c r="AJP154" s="196"/>
      <c r="AJQ154" s="196"/>
      <c r="AJR154" s="196"/>
      <c r="AJS154" s="196"/>
      <c r="AJT154" s="196"/>
      <c r="AJU154" s="196"/>
      <c r="AJV154" s="196"/>
      <c r="AJW154" s="196"/>
      <c r="AJX154" s="196"/>
      <c r="AJY154" s="196"/>
      <c r="AJZ154" s="196"/>
      <c r="AKA154" s="196"/>
      <c r="AKB154" s="196"/>
      <c r="AKC154" s="196"/>
      <c r="AKD154" s="196"/>
      <c r="AKE154" s="196"/>
      <c r="AKF154" s="196"/>
      <c r="AKG154" s="196"/>
      <c r="AKH154" s="196"/>
      <c r="AKI154" s="196"/>
      <c r="AKJ154" s="196"/>
      <c r="AKK154" s="196"/>
      <c r="AKL154" s="196"/>
      <c r="AKM154" s="196"/>
      <c r="AKN154" s="196"/>
      <c r="AKO154" s="196"/>
      <c r="AKP154" s="196"/>
      <c r="AKQ154" s="196"/>
      <c r="AKR154" s="196"/>
      <c r="AKS154" s="196"/>
      <c r="AKT154" s="196"/>
      <c r="AKU154" s="196"/>
      <c r="AKV154" s="196"/>
      <c r="AKW154" s="196"/>
      <c r="AKX154" s="196"/>
      <c r="AKY154" s="196"/>
      <c r="AKZ154" s="196"/>
      <c r="ALA154" s="196"/>
      <c r="ALB154" s="196"/>
      <c r="ALC154" s="196"/>
      <c r="ALD154" s="196"/>
      <c r="ALE154" s="196"/>
      <c r="ALF154" s="196"/>
      <c r="ALG154" s="196"/>
      <c r="ALH154" s="196"/>
      <c r="ALI154" s="196"/>
      <c r="ALJ154" s="196"/>
      <c r="ALK154" s="196"/>
      <c r="ALL154" s="196"/>
      <c r="ALM154" s="196"/>
      <c r="ALN154" s="196"/>
      <c r="ALO154" s="196"/>
      <c r="ALP154" s="196"/>
      <c r="ALQ154" s="196"/>
      <c r="ALR154" s="196"/>
      <c r="ALS154" s="196"/>
      <c r="ALT154" s="196"/>
      <c r="ALU154" s="196"/>
      <c r="ALV154" s="196"/>
      <c r="ALW154" s="196"/>
      <c r="ALX154" s="196"/>
      <c r="ALY154" s="196"/>
      <c r="ALZ154" s="196"/>
      <c r="AMA154" s="196"/>
      <c r="AMB154" s="196"/>
      <c r="AMC154" s="196"/>
      <c r="AMD154" s="196"/>
      <c r="AME154" s="196"/>
      <c r="AMF154" s="196"/>
      <c r="AMG154" s="196"/>
      <c r="AMH154" s="196"/>
      <c r="AMI154" s="196"/>
      <c r="AMJ154" s="196"/>
    </row>
    <row r="155" customFormat="false" ht="15.75" hidden="false" customHeight="true" outlineLevel="0" collapsed="false">
      <c r="A155" s="196"/>
      <c r="B155" s="214"/>
      <c r="C155" s="173" t="s">
        <v>38</v>
      </c>
      <c r="D155" s="215"/>
      <c r="E155" s="216"/>
      <c r="F155" s="217" t="n">
        <v>10</v>
      </c>
      <c r="G155" s="10"/>
      <c r="H155" s="77"/>
      <c r="I155" s="261"/>
      <c r="J155" s="8"/>
      <c r="K155" s="78"/>
      <c r="L155" s="262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  <c r="AA155" s="196"/>
      <c r="AB155" s="196"/>
      <c r="AC155" s="196"/>
      <c r="AD155" s="196"/>
      <c r="AE155" s="196"/>
      <c r="AF155" s="196"/>
      <c r="AG155" s="196"/>
      <c r="AH155" s="196"/>
      <c r="AI155" s="196"/>
      <c r="AJ155" s="196"/>
      <c r="AK155" s="196"/>
      <c r="AL155" s="196"/>
      <c r="AM155" s="196"/>
      <c r="AN155" s="196"/>
      <c r="AO155" s="196"/>
      <c r="AP155" s="196"/>
      <c r="AQ155" s="196"/>
      <c r="AR155" s="196"/>
      <c r="AS155" s="196"/>
      <c r="AT155" s="196"/>
      <c r="AU155" s="196"/>
      <c r="AV155" s="196"/>
      <c r="AW155" s="196"/>
      <c r="AX155" s="196"/>
      <c r="AY155" s="196"/>
      <c r="AZ155" s="196"/>
      <c r="BA155" s="196"/>
      <c r="BB155" s="196"/>
      <c r="BC155" s="196"/>
      <c r="BD155" s="196"/>
      <c r="BE155" s="196"/>
      <c r="BF155" s="196"/>
      <c r="BG155" s="196"/>
      <c r="BH155" s="196"/>
      <c r="BI155" s="196"/>
      <c r="BJ155" s="196"/>
      <c r="BK155" s="196"/>
      <c r="BL155" s="196"/>
      <c r="BM155" s="196"/>
      <c r="BN155" s="196"/>
      <c r="BO155" s="196"/>
      <c r="BP155" s="196"/>
      <c r="BQ155" s="196"/>
      <c r="BR155" s="196"/>
      <c r="BS155" s="196"/>
      <c r="BT155" s="196"/>
      <c r="BU155" s="196"/>
      <c r="BV155" s="196"/>
      <c r="BW155" s="196"/>
      <c r="BX155" s="196"/>
      <c r="BY155" s="196"/>
      <c r="BZ155" s="196"/>
      <c r="CA155" s="196"/>
      <c r="CB155" s="196"/>
      <c r="CC155" s="196"/>
      <c r="CD155" s="196"/>
      <c r="CE155" s="196"/>
      <c r="CF155" s="196"/>
      <c r="CG155" s="196"/>
      <c r="CH155" s="196"/>
      <c r="CI155" s="196"/>
      <c r="CJ155" s="196"/>
      <c r="CK155" s="196"/>
      <c r="CL155" s="196"/>
      <c r="CM155" s="196"/>
      <c r="CN155" s="196"/>
      <c r="CO155" s="196"/>
      <c r="CP155" s="196"/>
      <c r="CQ155" s="196"/>
      <c r="CR155" s="196"/>
      <c r="CS155" s="196"/>
      <c r="CT155" s="196"/>
      <c r="CU155" s="196"/>
      <c r="CV155" s="196"/>
      <c r="CW155" s="196"/>
      <c r="CX155" s="196"/>
      <c r="CY155" s="196"/>
      <c r="CZ155" s="196"/>
      <c r="DA155" s="196"/>
      <c r="DB155" s="196"/>
      <c r="DC155" s="196"/>
      <c r="DD155" s="196"/>
      <c r="DE155" s="196"/>
      <c r="DF155" s="196"/>
      <c r="DG155" s="196"/>
      <c r="DH155" s="196"/>
      <c r="DI155" s="196"/>
      <c r="DJ155" s="196"/>
      <c r="DK155" s="196"/>
      <c r="DL155" s="196"/>
      <c r="DM155" s="196"/>
      <c r="DN155" s="196"/>
      <c r="DO155" s="196"/>
      <c r="DP155" s="196"/>
      <c r="DQ155" s="196"/>
      <c r="DR155" s="196"/>
      <c r="DS155" s="196"/>
      <c r="DT155" s="196"/>
      <c r="DU155" s="196"/>
      <c r="DV155" s="196"/>
      <c r="DW155" s="196"/>
      <c r="DX155" s="196"/>
      <c r="DY155" s="196"/>
      <c r="DZ155" s="196"/>
      <c r="EA155" s="196"/>
      <c r="EB155" s="196"/>
      <c r="EC155" s="196"/>
      <c r="ED155" s="196"/>
      <c r="EE155" s="196"/>
      <c r="EF155" s="196"/>
      <c r="EG155" s="196"/>
      <c r="EH155" s="196"/>
      <c r="EI155" s="196"/>
      <c r="EJ155" s="196"/>
      <c r="EK155" s="196"/>
      <c r="EL155" s="196"/>
      <c r="EM155" s="196"/>
      <c r="EN155" s="196"/>
      <c r="EO155" s="196"/>
      <c r="EP155" s="196"/>
      <c r="EQ155" s="196"/>
      <c r="ER155" s="196"/>
      <c r="ES155" s="196"/>
      <c r="ET155" s="196"/>
      <c r="EU155" s="196"/>
      <c r="EV155" s="196"/>
      <c r="EW155" s="196"/>
      <c r="EX155" s="196"/>
      <c r="EY155" s="196"/>
      <c r="EZ155" s="196"/>
      <c r="FA155" s="196"/>
      <c r="FB155" s="196"/>
      <c r="FC155" s="196"/>
      <c r="FD155" s="196"/>
      <c r="FE155" s="196"/>
      <c r="FF155" s="196"/>
      <c r="FG155" s="196"/>
      <c r="FH155" s="196"/>
      <c r="FI155" s="196"/>
      <c r="FJ155" s="196"/>
      <c r="FK155" s="196"/>
      <c r="FL155" s="196"/>
      <c r="FM155" s="196"/>
      <c r="FN155" s="196"/>
      <c r="FO155" s="196"/>
      <c r="FP155" s="196"/>
      <c r="FQ155" s="196"/>
      <c r="FR155" s="196"/>
      <c r="FS155" s="196"/>
      <c r="FT155" s="196"/>
      <c r="FU155" s="196"/>
      <c r="FV155" s="196"/>
      <c r="FW155" s="196"/>
      <c r="FX155" s="196"/>
      <c r="FY155" s="196"/>
      <c r="FZ155" s="196"/>
      <c r="GA155" s="196"/>
      <c r="GB155" s="196"/>
      <c r="GC155" s="196"/>
      <c r="GD155" s="196"/>
      <c r="GE155" s="196"/>
      <c r="GF155" s="196"/>
      <c r="GG155" s="196"/>
      <c r="GH155" s="196"/>
      <c r="GI155" s="196"/>
      <c r="GJ155" s="196"/>
      <c r="GK155" s="196"/>
      <c r="GL155" s="196"/>
      <c r="GM155" s="196"/>
      <c r="GN155" s="196"/>
      <c r="GO155" s="196"/>
      <c r="GP155" s="196"/>
      <c r="GQ155" s="196"/>
      <c r="GR155" s="196"/>
      <c r="GS155" s="196"/>
      <c r="GT155" s="196"/>
      <c r="GU155" s="196"/>
      <c r="GV155" s="196"/>
      <c r="GW155" s="196"/>
      <c r="GX155" s="196"/>
      <c r="GY155" s="196"/>
      <c r="GZ155" s="196"/>
      <c r="HA155" s="196"/>
      <c r="HB155" s="196"/>
      <c r="HC155" s="196"/>
      <c r="HD155" s="196"/>
      <c r="HE155" s="196"/>
      <c r="HF155" s="196"/>
      <c r="HG155" s="196"/>
      <c r="HH155" s="196"/>
      <c r="HI155" s="196"/>
      <c r="HJ155" s="196"/>
      <c r="HK155" s="196"/>
      <c r="HL155" s="196"/>
      <c r="HM155" s="196"/>
      <c r="HN155" s="196"/>
      <c r="HO155" s="196"/>
      <c r="HP155" s="196"/>
      <c r="HQ155" s="196"/>
      <c r="HR155" s="196"/>
      <c r="HS155" s="196"/>
      <c r="HT155" s="196"/>
      <c r="HU155" s="196"/>
      <c r="HV155" s="196"/>
      <c r="HW155" s="196"/>
      <c r="HX155" s="196"/>
      <c r="HY155" s="196"/>
      <c r="HZ155" s="196"/>
      <c r="IA155" s="196"/>
      <c r="IB155" s="196"/>
      <c r="IC155" s="196"/>
      <c r="ID155" s="196"/>
      <c r="IE155" s="196"/>
      <c r="IF155" s="196"/>
      <c r="IG155" s="196"/>
      <c r="IH155" s="196"/>
      <c r="II155" s="196"/>
      <c r="IJ155" s="196"/>
      <c r="IK155" s="196"/>
      <c r="IL155" s="196"/>
      <c r="IM155" s="196"/>
      <c r="IN155" s="196"/>
      <c r="IO155" s="196"/>
      <c r="IP155" s="196"/>
      <c r="IQ155" s="196"/>
      <c r="IR155" s="196"/>
      <c r="IS155" s="196"/>
      <c r="IT155" s="196"/>
      <c r="IU155" s="196"/>
      <c r="IV155" s="196"/>
      <c r="IW155" s="196"/>
      <c r="IX155" s="196"/>
      <c r="IY155" s="196"/>
      <c r="IZ155" s="196"/>
      <c r="JA155" s="196"/>
      <c r="JB155" s="196"/>
      <c r="JC155" s="196"/>
      <c r="JD155" s="196"/>
      <c r="JE155" s="196"/>
      <c r="JF155" s="196"/>
      <c r="JG155" s="196"/>
      <c r="JH155" s="196"/>
      <c r="JI155" s="196"/>
      <c r="JJ155" s="196"/>
      <c r="JK155" s="196"/>
      <c r="JL155" s="196"/>
      <c r="JM155" s="196"/>
      <c r="JN155" s="196"/>
      <c r="JO155" s="196"/>
      <c r="JP155" s="196"/>
      <c r="JQ155" s="196"/>
      <c r="JR155" s="196"/>
      <c r="JS155" s="196"/>
      <c r="JT155" s="196"/>
      <c r="JU155" s="196"/>
      <c r="JV155" s="196"/>
      <c r="JW155" s="196"/>
      <c r="JX155" s="196"/>
      <c r="JY155" s="196"/>
      <c r="JZ155" s="196"/>
      <c r="KA155" s="196"/>
      <c r="KB155" s="196"/>
      <c r="KC155" s="196"/>
      <c r="KD155" s="196"/>
      <c r="KE155" s="196"/>
      <c r="KF155" s="196"/>
      <c r="KG155" s="196"/>
      <c r="KH155" s="196"/>
      <c r="KI155" s="196"/>
      <c r="KJ155" s="196"/>
      <c r="KK155" s="196"/>
      <c r="KL155" s="196"/>
      <c r="KM155" s="196"/>
      <c r="KN155" s="196"/>
      <c r="KO155" s="196"/>
      <c r="KP155" s="196"/>
      <c r="KQ155" s="196"/>
      <c r="KR155" s="196"/>
      <c r="KS155" s="196"/>
      <c r="KT155" s="196"/>
      <c r="KU155" s="196"/>
      <c r="KV155" s="196"/>
      <c r="KW155" s="196"/>
      <c r="KX155" s="196"/>
      <c r="KY155" s="196"/>
      <c r="KZ155" s="196"/>
      <c r="LA155" s="196"/>
      <c r="LB155" s="196"/>
      <c r="LC155" s="196"/>
      <c r="LD155" s="196"/>
      <c r="LE155" s="196"/>
      <c r="LF155" s="196"/>
      <c r="LG155" s="196"/>
      <c r="LH155" s="196"/>
      <c r="LI155" s="196"/>
      <c r="LJ155" s="196"/>
      <c r="LK155" s="196"/>
      <c r="LL155" s="196"/>
      <c r="LM155" s="196"/>
      <c r="LN155" s="196"/>
      <c r="LO155" s="196"/>
      <c r="LP155" s="196"/>
      <c r="LQ155" s="196"/>
      <c r="LR155" s="196"/>
      <c r="LS155" s="196"/>
      <c r="LT155" s="196"/>
      <c r="LU155" s="196"/>
      <c r="LV155" s="196"/>
      <c r="LW155" s="196"/>
      <c r="LX155" s="196"/>
      <c r="LY155" s="196"/>
      <c r="LZ155" s="196"/>
      <c r="MA155" s="196"/>
      <c r="MB155" s="196"/>
      <c r="MC155" s="196"/>
      <c r="MD155" s="196"/>
      <c r="ME155" s="196"/>
      <c r="MF155" s="196"/>
      <c r="MG155" s="196"/>
      <c r="MH155" s="196"/>
      <c r="MI155" s="196"/>
      <c r="MJ155" s="196"/>
      <c r="MK155" s="196"/>
      <c r="ML155" s="196"/>
      <c r="MM155" s="196"/>
      <c r="MN155" s="196"/>
      <c r="MO155" s="196"/>
      <c r="MP155" s="196"/>
      <c r="MQ155" s="196"/>
      <c r="MR155" s="196"/>
      <c r="MS155" s="196"/>
      <c r="MT155" s="196"/>
      <c r="MU155" s="196"/>
      <c r="MV155" s="196"/>
      <c r="MW155" s="196"/>
      <c r="MX155" s="196"/>
      <c r="MY155" s="196"/>
      <c r="MZ155" s="196"/>
      <c r="NA155" s="196"/>
      <c r="NB155" s="196"/>
      <c r="NC155" s="196"/>
      <c r="ND155" s="196"/>
      <c r="NE155" s="196"/>
      <c r="NF155" s="196"/>
      <c r="NG155" s="196"/>
      <c r="NH155" s="196"/>
      <c r="NI155" s="196"/>
      <c r="NJ155" s="196"/>
      <c r="NK155" s="196"/>
      <c r="NL155" s="196"/>
      <c r="NM155" s="196"/>
      <c r="NN155" s="196"/>
      <c r="NO155" s="196"/>
      <c r="NP155" s="196"/>
      <c r="NQ155" s="196"/>
      <c r="NR155" s="196"/>
      <c r="NS155" s="196"/>
      <c r="NT155" s="196"/>
      <c r="NU155" s="196"/>
      <c r="NV155" s="196"/>
      <c r="NW155" s="196"/>
      <c r="NX155" s="196"/>
      <c r="NY155" s="196"/>
      <c r="NZ155" s="196"/>
      <c r="OA155" s="196"/>
      <c r="OB155" s="196"/>
      <c r="OC155" s="196"/>
      <c r="OD155" s="196"/>
      <c r="OE155" s="196"/>
      <c r="OF155" s="196"/>
      <c r="OG155" s="196"/>
      <c r="OH155" s="196"/>
      <c r="OI155" s="196"/>
      <c r="OJ155" s="196"/>
      <c r="OK155" s="196"/>
      <c r="OL155" s="196"/>
      <c r="OM155" s="196"/>
      <c r="ON155" s="196"/>
      <c r="OO155" s="196"/>
      <c r="OP155" s="196"/>
      <c r="OQ155" s="196"/>
      <c r="OR155" s="196"/>
      <c r="OS155" s="196"/>
      <c r="OT155" s="196"/>
      <c r="OU155" s="196"/>
      <c r="OV155" s="196"/>
      <c r="OW155" s="196"/>
      <c r="OX155" s="196"/>
      <c r="OY155" s="196"/>
      <c r="OZ155" s="196"/>
      <c r="PA155" s="196"/>
      <c r="PB155" s="196"/>
      <c r="PC155" s="196"/>
      <c r="PD155" s="196"/>
      <c r="PE155" s="196"/>
      <c r="PF155" s="196"/>
      <c r="PG155" s="196"/>
      <c r="PH155" s="196"/>
      <c r="PI155" s="196"/>
      <c r="PJ155" s="196"/>
      <c r="PK155" s="196"/>
      <c r="PL155" s="196"/>
      <c r="PM155" s="196"/>
      <c r="PN155" s="196"/>
      <c r="PO155" s="196"/>
      <c r="PP155" s="196"/>
      <c r="PQ155" s="196"/>
      <c r="PR155" s="196"/>
      <c r="PS155" s="196"/>
      <c r="PT155" s="196"/>
      <c r="PU155" s="196"/>
      <c r="PV155" s="196"/>
      <c r="PW155" s="196"/>
      <c r="PX155" s="196"/>
      <c r="PY155" s="196"/>
      <c r="PZ155" s="196"/>
      <c r="QA155" s="196"/>
      <c r="QB155" s="196"/>
      <c r="QC155" s="196"/>
      <c r="QD155" s="196"/>
      <c r="QE155" s="196"/>
      <c r="QF155" s="196"/>
      <c r="QG155" s="196"/>
      <c r="QH155" s="196"/>
      <c r="QI155" s="196"/>
      <c r="QJ155" s="196"/>
      <c r="QK155" s="196"/>
      <c r="QL155" s="196"/>
      <c r="QM155" s="196"/>
      <c r="QN155" s="196"/>
      <c r="QO155" s="196"/>
      <c r="QP155" s="196"/>
      <c r="QQ155" s="196"/>
      <c r="QR155" s="196"/>
      <c r="QS155" s="196"/>
      <c r="QT155" s="196"/>
      <c r="QU155" s="196"/>
      <c r="QV155" s="196"/>
      <c r="QW155" s="196"/>
      <c r="QX155" s="196"/>
      <c r="QY155" s="196"/>
      <c r="QZ155" s="196"/>
      <c r="RA155" s="196"/>
      <c r="RB155" s="196"/>
      <c r="RC155" s="196"/>
      <c r="RD155" s="196"/>
      <c r="RE155" s="196"/>
      <c r="RF155" s="196"/>
      <c r="RG155" s="196"/>
      <c r="RH155" s="196"/>
      <c r="RI155" s="196"/>
      <c r="RJ155" s="196"/>
      <c r="RK155" s="196"/>
      <c r="RL155" s="196"/>
      <c r="RM155" s="196"/>
      <c r="RN155" s="196"/>
      <c r="RO155" s="196"/>
      <c r="RP155" s="196"/>
      <c r="RQ155" s="196"/>
      <c r="RR155" s="196"/>
      <c r="RS155" s="196"/>
      <c r="RT155" s="196"/>
      <c r="RU155" s="196"/>
      <c r="RV155" s="196"/>
      <c r="RW155" s="196"/>
      <c r="RX155" s="196"/>
      <c r="RY155" s="196"/>
      <c r="RZ155" s="196"/>
      <c r="SA155" s="196"/>
      <c r="SB155" s="196"/>
      <c r="SC155" s="196"/>
      <c r="SD155" s="196"/>
      <c r="SE155" s="196"/>
      <c r="SF155" s="196"/>
      <c r="SG155" s="196"/>
      <c r="SH155" s="196"/>
      <c r="SI155" s="196"/>
      <c r="SJ155" s="196"/>
      <c r="SK155" s="196"/>
      <c r="SL155" s="196"/>
      <c r="SM155" s="196"/>
      <c r="SN155" s="196"/>
      <c r="SO155" s="196"/>
      <c r="SP155" s="196"/>
      <c r="SQ155" s="196"/>
      <c r="SR155" s="196"/>
      <c r="SS155" s="196"/>
      <c r="ST155" s="196"/>
      <c r="SU155" s="196"/>
      <c r="SV155" s="196"/>
      <c r="SW155" s="196"/>
      <c r="SX155" s="196"/>
      <c r="SY155" s="196"/>
      <c r="SZ155" s="196"/>
      <c r="TA155" s="196"/>
      <c r="TB155" s="196"/>
      <c r="TC155" s="196"/>
      <c r="TD155" s="196"/>
      <c r="TE155" s="196"/>
      <c r="TF155" s="196"/>
      <c r="TG155" s="196"/>
      <c r="TH155" s="196"/>
      <c r="TI155" s="196"/>
      <c r="TJ155" s="196"/>
      <c r="TK155" s="196"/>
      <c r="TL155" s="196"/>
      <c r="TM155" s="196"/>
      <c r="TN155" s="196"/>
      <c r="TO155" s="196"/>
      <c r="TP155" s="196"/>
      <c r="TQ155" s="196"/>
      <c r="TR155" s="196"/>
      <c r="TS155" s="196"/>
      <c r="TT155" s="196"/>
      <c r="TU155" s="196"/>
      <c r="TV155" s="196"/>
      <c r="TW155" s="196"/>
      <c r="TX155" s="196"/>
      <c r="TY155" s="196"/>
      <c r="TZ155" s="196"/>
      <c r="UA155" s="196"/>
      <c r="UB155" s="196"/>
      <c r="UC155" s="196"/>
      <c r="UD155" s="196"/>
      <c r="UE155" s="196"/>
      <c r="UF155" s="196"/>
      <c r="UG155" s="196"/>
      <c r="UH155" s="196"/>
      <c r="UI155" s="196"/>
      <c r="UJ155" s="196"/>
      <c r="UK155" s="196"/>
      <c r="UL155" s="196"/>
      <c r="UM155" s="196"/>
      <c r="UN155" s="196"/>
      <c r="UO155" s="196"/>
      <c r="UP155" s="196"/>
      <c r="UQ155" s="196"/>
      <c r="UR155" s="196"/>
      <c r="US155" s="196"/>
      <c r="UT155" s="196"/>
      <c r="UU155" s="196"/>
      <c r="UV155" s="196"/>
      <c r="UW155" s="196"/>
      <c r="UX155" s="196"/>
      <c r="UY155" s="196"/>
      <c r="UZ155" s="196"/>
      <c r="VA155" s="196"/>
      <c r="VB155" s="196"/>
      <c r="VC155" s="196"/>
      <c r="VD155" s="196"/>
      <c r="VE155" s="196"/>
      <c r="VF155" s="196"/>
      <c r="VG155" s="196"/>
      <c r="VH155" s="196"/>
      <c r="VI155" s="196"/>
      <c r="VJ155" s="196"/>
      <c r="VK155" s="196"/>
      <c r="VL155" s="196"/>
      <c r="VM155" s="196"/>
      <c r="VN155" s="196"/>
      <c r="VO155" s="196"/>
      <c r="VP155" s="196"/>
      <c r="VQ155" s="196"/>
      <c r="VR155" s="196"/>
      <c r="VS155" s="196"/>
      <c r="VT155" s="196"/>
      <c r="VU155" s="196"/>
      <c r="VV155" s="196"/>
      <c r="VW155" s="196"/>
      <c r="VX155" s="196"/>
      <c r="VY155" s="196"/>
      <c r="VZ155" s="196"/>
      <c r="WA155" s="196"/>
      <c r="WB155" s="196"/>
      <c r="WC155" s="196"/>
      <c r="WD155" s="196"/>
      <c r="WE155" s="196"/>
      <c r="WF155" s="196"/>
      <c r="WG155" s="196"/>
      <c r="WH155" s="196"/>
      <c r="WI155" s="196"/>
      <c r="WJ155" s="196"/>
      <c r="WK155" s="196"/>
      <c r="WL155" s="196"/>
      <c r="WM155" s="196"/>
      <c r="WN155" s="196"/>
      <c r="WO155" s="196"/>
      <c r="WP155" s="196"/>
      <c r="WQ155" s="196"/>
      <c r="WR155" s="196"/>
      <c r="WS155" s="196"/>
      <c r="WT155" s="196"/>
      <c r="WU155" s="196"/>
      <c r="WV155" s="196"/>
      <c r="WW155" s="196"/>
      <c r="WX155" s="196"/>
      <c r="WY155" s="196"/>
      <c r="WZ155" s="196"/>
      <c r="XA155" s="196"/>
      <c r="XB155" s="196"/>
      <c r="XC155" s="196"/>
      <c r="XD155" s="196"/>
      <c r="XE155" s="196"/>
      <c r="XF155" s="196"/>
      <c r="XG155" s="196"/>
      <c r="XH155" s="196"/>
      <c r="XI155" s="196"/>
      <c r="XJ155" s="196"/>
      <c r="XK155" s="196"/>
      <c r="XL155" s="196"/>
      <c r="XM155" s="196"/>
      <c r="XN155" s="196"/>
      <c r="XO155" s="196"/>
      <c r="XP155" s="196"/>
      <c r="XQ155" s="196"/>
      <c r="XR155" s="196"/>
      <c r="XS155" s="196"/>
      <c r="XT155" s="196"/>
      <c r="XU155" s="196"/>
      <c r="XV155" s="196"/>
      <c r="XW155" s="196"/>
      <c r="XX155" s="196"/>
      <c r="XY155" s="196"/>
      <c r="XZ155" s="196"/>
      <c r="YA155" s="196"/>
      <c r="YB155" s="196"/>
      <c r="YC155" s="196"/>
      <c r="YD155" s="196"/>
      <c r="YE155" s="196"/>
      <c r="YF155" s="196"/>
      <c r="YG155" s="196"/>
      <c r="YH155" s="196"/>
      <c r="YI155" s="196"/>
      <c r="YJ155" s="196"/>
      <c r="YK155" s="196"/>
      <c r="YL155" s="196"/>
      <c r="YM155" s="196"/>
      <c r="YN155" s="196"/>
      <c r="YO155" s="196"/>
      <c r="YP155" s="196"/>
      <c r="YQ155" s="196"/>
      <c r="YR155" s="196"/>
      <c r="YS155" s="196"/>
      <c r="YT155" s="196"/>
      <c r="YU155" s="196"/>
      <c r="YV155" s="196"/>
      <c r="YW155" s="196"/>
      <c r="YX155" s="196"/>
      <c r="YY155" s="196"/>
      <c r="YZ155" s="196"/>
      <c r="ZA155" s="196"/>
      <c r="ZB155" s="196"/>
      <c r="ZC155" s="196"/>
      <c r="ZD155" s="196"/>
      <c r="ZE155" s="196"/>
      <c r="ZF155" s="196"/>
      <c r="ZG155" s="196"/>
      <c r="ZH155" s="196"/>
      <c r="ZI155" s="196"/>
      <c r="ZJ155" s="196"/>
      <c r="ZK155" s="196"/>
      <c r="ZL155" s="196"/>
      <c r="ZM155" s="196"/>
      <c r="ZN155" s="196"/>
      <c r="ZO155" s="196"/>
      <c r="ZP155" s="196"/>
      <c r="ZQ155" s="196"/>
      <c r="ZR155" s="196"/>
      <c r="ZS155" s="196"/>
      <c r="ZT155" s="196"/>
      <c r="ZU155" s="196"/>
      <c r="ZV155" s="196"/>
      <c r="ZW155" s="196"/>
      <c r="ZX155" s="196"/>
      <c r="ZY155" s="196"/>
      <c r="ZZ155" s="196"/>
      <c r="AAA155" s="196"/>
      <c r="AAB155" s="196"/>
      <c r="AAC155" s="196"/>
      <c r="AAD155" s="196"/>
      <c r="AAE155" s="196"/>
      <c r="AAF155" s="196"/>
      <c r="AAG155" s="196"/>
      <c r="AAH155" s="196"/>
      <c r="AAI155" s="196"/>
      <c r="AAJ155" s="196"/>
      <c r="AAK155" s="196"/>
      <c r="AAL155" s="196"/>
      <c r="AAM155" s="196"/>
      <c r="AAN155" s="196"/>
      <c r="AAO155" s="196"/>
      <c r="AAP155" s="196"/>
      <c r="AAQ155" s="196"/>
      <c r="AAR155" s="196"/>
      <c r="AAS155" s="196"/>
      <c r="AAT155" s="196"/>
      <c r="AAU155" s="196"/>
      <c r="AAV155" s="196"/>
      <c r="AAW155" s="196"/>
      <c r="AAX155" s="196"/>
      <c r="AAY155" s="196"/>
      <c r="AAZ155" s="196"/>
      <c r="ABA155" s="196"/>
      <c r="ABB155" s="196"/>
      <c r="ABC155" s="196"/>
      <c r="ABD155" s="196"/>
      <c r="ABE155" s="196"/>
      <c r="ABF155" s="196"/>
      <c r="ABG155" s="196"/>
      <c r="ABH155" s="196"/>
      <c r="ABI155" s="196"/>
      <c r="ABJ155" s="196"/>
      <c r="ABK155" s="196"/>
      <c r="ABL155" s="196"/>
      <c r="ABM155" s="196"/>
      <c r="ABN155" s="196"/>
      <c r="ABO155" s="196"/>
      <c r="ABP155" s="196"/>
      <c r="ABQ155" s="196"/>
      <c r="ABR155" s="196"/>
      <c r="ABS155" s="196"/>
      <c r="ABT155" s="196"/>
      <c r="ABU155" s="196"/>
      <c r="ABV155" s="196"/>
      <c r="ABW155" s="196"/>
      <c r="ABX155" s="196"/>
      <c r="ABY155" s="196"/>
      <c r="ABZ155" s="196"/>
      <c r="ACA155" s="196"/>
      <c r="ACB155" s="196"/>
      <c r="ACC155" s="196"/>
      <c r="ACD155" s="196"/>
      <c r="ACE155" s="196"/>
      <c r="ACF155" s="196"/>
      <c r="ACG155" s="196"/>
      <c r="ACH155" s="196"/>
      <c r="ACI155" s="196"/>
      <c r="ACJ155" s="196"/>
      <c r="ACK155" s="196"/>
      <c r="ACL155" s="196"/>
      <c r="ACM155" s="196"/>
      <c r="ACN155" s="196"/>
      <c r="ACO155" s="196"/>
      <c r="ACP155" s="196"/>
      <c r="ACQ155" s="196"/>
      <c r="ACR155" s="196"/>
      <c r="ACS155" s="196"/>
      <c r="ACT155" s="196"/>
      <c r="ACU155" s="196"/>
      <c r="ACV155" s="196"/>
      <c r="ACW155" s="196"/>
      <c r="ACX155" s="196"/>
      <c r="ACY155" s="196"/>
      <c r="ACZ155" s="196"/>
      <c r="ADA155" s="196"/>
      <c r="ADB155" s="196"/>
      <c r="ADC155" s="196"/>
      <c r="ADD155" s="196"/>
      <c r="ADE155" s="196"/>
      <c r="ADF155" s="196"/>
      <c r="ADG155" s="196"/>
      <c r="ADH155" s="196"/>
      <c r="ADI155" s="196"/>
      <c r="ADJ155" s="196"/>
      <c r="ADK155" s="196"/>
      <c r="ADL155" s="196"/>
      <c r="ADM155" s="196"/>
      <c r="ADN155" s="196"/>
      <c r="ADO155" s="196"/>
      <c r="ADP155" s="196"/>
      <c r="ADQ155" s="196"/>
      <c r="ADR155" s="196"/>
      <c r="ADS155" s="196"/>
      <c r="ADT155" s="196"/>
      <c r="ADU155" s="196"/>
      <c r="ADV155" s="196"/>
      <c r="ADW155" s="196"/>
      <c r="ADX155" s="196"/>
      <c r="ADY155" s="196"/>
      <c r="ADZ155" s="196"/>
      <c r="AEA155" s="196"/>
      <c r="AEB155" s="196"/>
      <c r="AEC155" s="196"/>
      <c r="AED155" s="196"/>
      <c r="AEE155" s="196"/>
      <c r="AEF155" s="196"/>
      <c r="AEG155" s="196"/>
      <c r="AEH155" s="196"/>
      <c r="AEI155" s="196"/>
      <c r="AEJ155" s="196"/>
      <c r="AEK155" s="196"/>
      <c r="AEL155" s="196"/>
      <c r="AEM155" s="196"/>
      <c r="AEN155" s="196"/>
      <c r="AEO155" s="196"/>
      <c r="AEP155" s="196"/>
      <c r="AEQ155" s="196"/>
      <c r="AER155" s="196"/>
      <c r="AES155" s="196"/>
      <c r="AET155" s="196"/>
      <c r="AEU155" s="196"/>
      <c r="AEV155" s="196"/>
      <c r="AEW155" s="196"/>
      <c r="AEX155" s="196"/>
      <c r="AEY155" s="196"/>
      <c r="AEZ155" s="196"/>
      <c r="AFA155" s="196"/>
      <c r="AFB155" s="196"/>
      <c r="AFC155" s="196"/>
      <c r="AFD155" s="196"/>
      <c r="AFE155" s="196"/>
      <c r="AFF155" s="196"/>
      <c r="AFG155" s="196"/>
      <c r="AFH155" s="196"/>
      <c r="AFI155" s="196"/>
      <c r="AFJ155" s="196"/>
      <c r="AFK155" s="196"/>
      <c r="AFL155" s="196"/>
      <c r="AFM155" s="196"/>
      <c r="AFN155" s="196"/>
      <c r="AFO155" s="196"/>
      <c r="AFP155" s="196"/>
      <c r="AFQ155" s="196"/>
      <c r="AFR155" s="196"/>
      <c r="AFS155" s="196"/>
      <c r="AFT155" s="196"/>
      <c r="AFU155" s="196"/>
      <c r="AFV155" s="196"/>
      <c r="AFW155" s="196"/>
      <c r="AFX155" s="196"/>
      <c r="AFY155" s="196"/>
      <c r="AFZ155" s="196"/>
      <c r="AGA155" s="196"/>
      <c r="AGB155" s="196"/>
      <c r="AGC155" s="196"/>
      <c r="AGD155" s="196"/>
      <c r="AGE155" s="196"/>
      <c r="AGF155" s="196"/>
      <c r="AGG155" s="196"/>
      <c r="AGH155" s="196"/>
      <c r="AGI155" s="196"/>
      <c r="AGJ155" s="196"/>
      <c r="AGK155" s="196"/>
      <c r="AGL155" s="196"/>
      <c r="AGM155" s="196"/>
      <c r="AGN155" s="196"/>
      <c r="AGO155" s="196"/>
      <c r="AGP155" s="196"/>
      <c r="AGQ155" s="196"/>
      <c r="AGR155" s="196"/>
      <c r="AGS155" s="196"/>
      <c r="AGT155" s="196"/>
      <c r="AGU155" s="196"/>
      <c r="AGV155" s="196"/>
      <c r="AGW155" s="196"/>
      <c r="AGX155" s="196"/>
      <c r="AGY155" s="196"/>
      <c r="AGZ155" s="196"/>
      <c r="AHA155" s="196"/>
      <c r="AHB155" s="196"/>
      <c r="AHC155" s="196"/>
      <c r="AHD155" s="196"/>
      <c r="AHE155" s="196"/>
      <c r="AHF155" s="196"/>
      <c r="AHG155" s="196"/>
      <c r="AHH155" s="196"/>
      <c r="AHI155" s="196"/>
      <c r="AHJ155" s="196"/>
      <c r="AHK155" s="196"/>
      <c r="AHL155" s="196"/>
      <c r="AHM155" s="196"/>
      <c r="AHN155" s="196"/>
      <c r="AHO155" s="196"/>
      <c r="AHP155" s="196"/>
      <c r="AHQ155" s="196"/>
      <c r="AHR155" s="196"/>
      <c r="AHS155" s="196"/>
      <c r="AHT155" s="196"/>
      <c r="AHU155" s="196"/>
      <c r="AHV155" s="196"/>
      <c r="AHW155" s="196"/>
      <c r="AHX155" s="196"/>
      <c r="AHY155" s="196"/>
      <c r="AHZ155" s="196"/>
      <c r="AIA155" s="196"/>
      <c r="AIB155" s="196"/>
      <c r="AIC155" s="196"/>
      <c r="AID155" s="196"/>
      <c r="AIE155" s="196"/>
      <c r="AIF155" s="196"/>
      <c r="AIG155" s="196"/>
      <c r="AIH155" s="196"/>
      <c r="AII155" s="196"/>
      <c r="AIJ155" s="196"/>
      <c r="AIK155" s="196"/>
      <c r="AIL155" s="196"/>
      <c r="AIM155" s="196"/>
      <c r="AIN155" s="196"/>
      <c r="AIO155" s="196"/>
      <c r="AIP155" s="196"/>
      <c r="AIQ155" s="196"/>
      <c r="AIR155" s="196"/>
      <c r="AIS155" s="196"/>
      <c r="AIT155" s="196"/>
      <c r="AIU155" s="196"/>
      <c r="AIV155" s="196"/>
      <c r="AIW155" s="196"/>
      <c r="AIX155" s="196"/>
      <c r="AIY155" s="196"/>
      <c r="AIZ155" s="196"/>
      <c r="AJA155" s="196"/>
      <c r="AJB155" s="196"/>
      <c r="AJC155" s="196"/>
      <c r="AJD155" s="196"/>
      <c r="AJE155" s="196"/>
      <c r="AJF155" s="196"/>
      <c r="AJG155" s="196"/>
      <c r="AJH155" s="196"/>
      <c r="AJI155" s="196"/>
      <c r="AJJ155" s="196"/>
      <c r="AJK155" s="196"/>
      <c r="AJL155" s="196"/>
      <c r="AJM155" s="196"/>
      <c r="AJN155" s="196"/>
      <c r="AJO155" s="196"/>
      <c r="AJP155" s="196"/>
      <c r="AJQ155" s="196"/>
      <c r="AJR155" s="196"/>
      <c r="AJS155" s="196"/>
      <c r="AJT155" s="196"/>
      <c r="AJU155" s="196"/>
      <c r="AJV155" s="196"/>
      <c r="AJW155" s="196"/>
      <c r="AJX155" s="196"/>
      <c r="AJY155" s="196"/>
      <c r="AJZ155" s="196"/>
      <c r="AKA155" s="196"/>
      <c r="AKB155" s="196"/>
      <c r="AKC155" s="196"/>
      <c r="AKD155" s="196"/>
      <c r="AKE155" s="196"/>
      <c r="AKF155" s="196"/>
      <c r="AKG155" s="196"/>
      <c r="AKH155" s="196"/>
      <c r="AKI155" s="196"/>
      <c r="AKJ155" s="196"/>
      <c r="AKK155" s="196"/>
      <c r="AKL155" s="196"/>
      <c r="AKM155" s="196"/>
      <c r="AKN155" s="196"/>
      <c r="AKO155" s="196"/>
      <c r="AKP155" s="196"/>
      <c r="AKQ155" s="196"/>
      <c r="AKR155" s="196"/>
      <c r="AKS155" s="196"/>
      <c r="AKT155" s="196"/>
      <c r="AKU155" s="196"/>
      <c r="AKV155" s="196"/>
      <c r="AKW155" s="196"/>
      <c r="AKX155" s="196"/>
      <c r="AKY155" s="196"/>
      <c r="AKZ155" s="196"/>
      <c r="ALA155" s="196"/>
      <c r="ALB155" s="196"/>
      <c r="ALC155" s="196"/>
      <c r="ALD155" s="196"/>
      <c r="ALE155" s="196"/>
      <c r="ALF155" s="196"/>
      <c r="ALG155" s="196"/>
      <c r="ALH155" s="196"/>
      <c r="ALI155" s="196"/>
      <c r="ALJ155" s="196"/>
      <c r="ALK155" s="196"/>
      <c r="ALL155" s="196"/>
      <c r="ALM155" s="196"/>
      <c r="ALN155" s="196"/>
      <c r="ALO155" s="196"/>
      <c r="ALP155" s="196"/>
      <c r="ALQ155" s="196"/>
      <c r="ALR155" s="196"/>
      <c r="ALS155" s="196"/>
      <c r="ALT155" s="196"/>
      <c r="ALU155" s="196"/>
      <c r="ALV155" s="196"/>
      <c r="ALW155" s="196"/>
      <c r="ALX155" s="196"/>
      <c r="ALY155" s="196"/>
      <c r="ALZ155" s="196"/>
      <c r="AMA155" s="196"/>
      <c r="AMB155" s="196"/>
      <c r="AMC155" s="196"/>
      <c r="AMD155" s="196"/>
      <c r="AME155" s="196"/>
      <c r="AMF155" s="196"/>
      <c r="AMG155" s="196"/>
      <c r="AMH155" s="196"/>
      <c r="AMI155" s="196"/>
      <c r="AMJ155" s="196"/>
    </row>
    <row r="156" customFormat="false" ht="15.75" hidden="false" customHeight="true" outlineLevel="0" collapsed="false">
      <c r="A156" s="196"/>
      <c r="B156" s="72" t="s">
        <v>143</v>
      </c>
      <c r="C156" s="73" t="s">
        <v>137</v>
      </c>
      <c r="D156" s="74" t="n">
        <v>910</v>
      </c>
      <c r="E156" s="74"/>
      <c r="F156" s="157" t="n">
        <v>20</v>
      </c>
      <c r="G156" s="10"/>
      <c r="H156" s="206"/>
      <c r="I156" s="207"/>
      <c r="J156" s="208"/>
      <c r="K156" s="208"/>
      <c r="L156" s="209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  <c r="AA156" s="196"/>
      <c r="AB156" s="196"/>
      <c r="AC156" s="196"/>
      <c r="AD156" s="196"/>
      <c r="AE156" s="196"/>
      <c r="AF156" s="196"/>
      <c r="AG156" s="196"/>
      <c r="AH156" s="196"/>
      <c r="AI156" s="196"/>
      <c r="AJ156" s="196"/>
      <c r="AK156" s="196"/>
      <c r="AL156" s="196"/>
      <c r="AM156" s="196"/>
      <c r="AN156" s="196"/>
      <c r="AO156" s="196"/>
      <c r="AP156" s="196"/>
      <c r="AQ156" s="196"/>
      <c r="AR156" s="196"/>
      <c r="AS156" s="196"/>
      <c r="AT156" s="196"/>
      <c r="AU156" s="196"/>
      <c r="AV156" s="196"/>
      <c r="AW156" s="196"/>
      <c r="AX156" s="196"/>
      <c r="AY156" s="196"/>
      <c r="AZ156" s="196"/>
      <c r="BA156" s="196"/>
      <c r="BB156" s="196"/>
      <c r="BC156" s="196"/>
      <c r="BD156" s="196"/>
      <c r="BE156" s="196"/>
      <c r="BF156" s="196"/>
      <c r="BG156" s="196"/>
      <c r="BH156" s="196"/>
      <c r="BI156" s="196"/>
      <c r="BJ156" s="196"/>
      <c r="BK156" s="196"/>
      <c r="BL156" s="196"/>
      <c r="BM156" s="196"/>
      <c r="BN156" s="196"/>
      <c r="BO156" s="196"/>
      <c r="BP156" s="196"/>
      <c r="BQ156" s="196"/>
      <c r="BR156" s="196"/>
      <c r="BS156" s="196"/>
      <c r="BT156" s="196"/>
      <c r="BU156" s="196"/>
      <c r="BV156" s="196"/>
      <c r="BW156" s="196"/>
      <c r="BX156" s="196"/>
      <c r="BY156" s="196"/>
      <c r="BZ156" s="196"/>
      <c r="CA156" s="196"/>
      <c r="CB156" s="196"/>
      <c r="CC156" s="196"/>
      <c r="CD156" s="196"/>
      <c r="CE156" s="196"/>
      <c r="CF156" s="196"/>
      <c r="CG156" s="196"/>
      <c r="CH156" s="196"/>
      <c r="CI156" s="196"/>
      <c r="CJ156" s="196"/>
      <c r="CK156" s="196"/>
      <c r="CL156" s="196"/>
      <c r="CM156" s="196"/>
      <c r="CN156" s="196"/>
      <c r="CO156" s="196"/>
      <c r="CP156" s="196"/>
      <c r="CQ156" s="196"/>
      <c r="CR156" s="196"/>
      <c r="CS156" s="196"/>
      <c r="CT156" s="196"/>
      <c r="CU156" s="196"/>
      <c r="CV156" s="196"/>
      <c r="CW156" s="196"/>
      <c r="CX156" s="196"/>
      <c r="CY156" s="196"/>
      <c r="CZ156" s="196"/>
      <c r="DA156" s="196"/>
      <c r="DB156" s="196"/>
      <c r="DC156" s="196"/>
      <c r="DD156" s="196"/>
      <c r="DE156" s="196"/>
      <c r="DF156" s="196"/>
      <c r="DG156" s="196"/>
      <c r="DH156" s="196"/>
      <c r="DI156" s="196"/>
      <c r="DJ156" s="196"/>
      <c r="DK156" s="196"/>
      <c r="DL156" s="196"/>
      <c r="DM156" s="196"/>
      <c r="DN156" s="196"/>
      <c r="DO156" s="196"/>
      <c r="DP156" s="196"/>
      <c r="DQ156" s="196"/>
      <c r="DR156" s="196"/>
      <c r="DS156" s="196"/>
      <c r="DT156" s="196"/>
      <c r="DU156" s="196"/>
      <c r="DV156" s="196"/>
      <c r="DW156" s="196"/>
      <c r="DX156" s="196"/>
      <c r="DY156" s="196"/>
      <c r="DZ156" s="196"/>
      <c r="EA156" s="196"/>
      <c r="EB156" s="196"/>
      <c r="EC156" s="196"/>
      <c r="ED156" s="196"/>
      <c r="EE156" s="196"/>
      <c r="EF156" s="196"/>
      <c r="EG156" s="196"/>
      <c r="EH156" s="196"/>
      <c r="EI156" s="196"/>
      <c r="EJ156" s="196"/>
      <c r="EK156" s="196"/>
      <c r="EL156" s="196"/>
      <c r="EM156" s="196"/>
      <c r="EN156" s="196"/>
      <c r="EO156" s="196"/>
      <c r="EP156" s="196"/>
      <c r="EQ156" s="196"/>
      <c r="ER156" s="196"/>
      <c r="ES156" s="196"/>
      <c r="ET156" s="196"/>
      <c r="EU156" s="196"/>
      <c r="EV156" s="196"/>
      <c r="EW156" s="196"/>
      <c r="EX156" s="196"/>
      <c r="EY156" s="196"/>
      <c r="EZ156" s="196"/>
      <c r="FA156" s="196"/>
      <c r="FB156" s="196"/>
      <c r="FC156" s="196"/>
      <c r="FD156" s="196"/>
      <c r="FE156" s="196"/>
      <c r="FF156" s="196"/>
      <c r="FG156" s="196"/>
      <c r="FH156" s="196"/>
      <c r="FI156" s="196"/>
      <c r="FJ156" s="196"/>
      <c r="FK156" s="196"/>
      <c r="FL156" s="196"/>
      <c r="FM156" s="196"/>
      <c r="FN156" s="196"/>
      <c r="FO156" s="196"/>
      <c r="FP156" s="196"/>
      <c r="FQ156" s="196"/>
      <c r="FR156" s="196"/>
      <c r="FS156" s="196"/>
      <c r="FT156" s="196"/>
      <c r="FU156" s="196"/>
      <c r="FV156" s="196"/>
      <c r="FW156" s="196"/>
      <c r="FX156" s="196"/>
      <c r="FY156" s="196"/>
      <c r="FZ156" s="196"/>
      <c r="GA156" s="196"/>
      <c r="GB156" s="196"/>
      <c r="GC156" s="196"/>
      <c r="GD156" s="196"/>
      <c r="GE156" s="196"/>
      <c r="GF156" s="196"/>
      <c r="GG156" s="196"/>
      <c r="GH156" s="196"/>
      <c r="GI156" s="196"/>
      <c r="GJ156" s="196"/>
      <c r="GK156" s="196"/>
      <c r="GL156" s="196"/>
      <c r="GM156" s="196"/>
      <c r="GN156" s="196"/>
      <c r="GO156" s="196"/>
      <c r="GP156" s="196"/>
      <c r="GQ156" s="196"/>
      <c r="GR156" s="196"/>
      <c r="GS156" s="196"/>
      <c r="GT156" s="196"/>
      <c r="GU156" s="196"/>
      <c r="GV156" s="196"/>
      <c r="GW156" s="196"/>
      <c r="GX156" s="196"/>
      <c r="GY156" s="196"/>
      <c r="GZ156" s="196"/>
      <c r="HA156" s="196"/>
      <c r="HB156" s="196"/>
      <c r="HC156" s="196"/>
      <c r="HD156" s="196"/>
      <c r="HE156" s="196"/>
      <c r="HF156" s="196"/>
      <c r="HG156" s="196"/>
      <c r="HH156" s="196"/>
      <c r="HI156" s="196"/>
      <c r="HJ156" s="196"/>
      <c r="HK156" s="196"/>
      <c r="HL156" s="196"/>
      <c r="HM156" s="196"/>
      <c r="HN156" s="196"/>
      <c r="HO156" s="196"/>
      <c r="HP156" s="196"/>
      <c r="HQ156" s="196"/>
      <c r="HR156" s="196"/>
      <c r="HS156" s="196"/>
      <c r="HT156" s="196"/>
      <c r="HU156" s="196"/>
      <c r="HV156" s="196"/>
      <c r="HW156" s="196"/>
      <c r="HX156" s="196"/>
      <c r="HY156" s="196"/>
      <c r="HZ156" s="196"/>
      <c r="IA156" s="196"/>
      <c r="IB156" s="196"/>
      <c r="IC156" s="196"/>
      <c r="ID156" s="196"/>
      <c r="IE156" s="196"/>
      <c r="IF156" s="196"/>
      <c r="IG156" s="196"/>
      <c r="IH156" s="196"/>
      <c r="II156" s="196"/>
      <c r="IJ156" s="196"/>
      <c r="IK156" s="196"/>
      <c r="IL156" s="196"/>
      <c r="IM156" s="196"/>
      <c r="IN156" s="196"/>
      <c r="IO156" s="196"/>
      <c r="IP156" s="196"/>
      <c r="IQ156" s="196"/>
      <c r="IR156" s="196"/>
      <c r="IS156" s="196"/>
      <c r="IT156" s="196"/>
      <c r="IU156" s="196"/>
      <c r="IV156" s="196"/>
      <c r="IW156" s="196"/>
      <c r="IX156" s="196"/>
      <c r="IY156" s="196"/>
      <c r="IZ156" s="196"/>
      <c r="JA156" s="196"/>
      <c r="JB156" s="196"/>
      <c r="JC156" s="196"/>
      <c r="JD156" s="196"/>
      <c r="JE156" s="196"/>
      <c r="JF156" s="196"/>
      <c r="JG156" s="196"/>
      <c r="JH156" s="196"/>
      <c r="JI156" s="196"/>
      <c r="JJ156" s="196"/>
      <c r="JK156" s="196"/>
      <c r="JL156" s="196"/>
      <c r="JM156" s="196"/>
      <c r="JN156" s="196"/>
      <c r="JO156" s="196"/>
      <c r="JP156" s="196"/>
      <c r="JQ156" s="196"/>
      <c r="JR156" s="196"/>
      <c r="JS156" s="196"/>
      <c r="JT156" s="196"/>
      <c r="JU156" s="196"/>
      <c r="JV156" s="196"/>
      <c r="JW156" s="196"/>
      <c r="JX156" s="196"/>
      <c r="JY156" s="196"/>
      <c r="JZ156" s="196"/>
      <c r="KA156" s="196"/>
      <c r="KB156" s="196"/>
      <c r="KC156" s="196"/>
      <c r="KD156" s="196"/>
      <c r="KE156" s="196"/>
      <c r="KF156" s="196"/>
      <c r="KG156" s="196"/>
      <c r="KH156" s="196"/>
      <c r="KI156" s="196"/>
      <c r="KJ156" s="196"/>
      <c r="KK156" s="196"/>
      <c r="KL156" s="196"/>
      <c r="KM156" s="196"/>
      <c r="KN156" s="196"/>
      <c r="KO156" s="196"/>
      <c r="KP156" s="196"/>
      <c r="KQ156" s="196"/>
      <c r="KR156" s="196"/>
      <c r="KS156" s="196"/>
      <c r="KT156" s="196"/>
      <c r="KU156" s="196"/>
      <c r="KV156" s="196"/>
      <c r="KW156" s="196"/>
      <c r="KX156" s="196"/>
      <c r="KY156" s="196"/>
      <c r="KZ156" s="196"/>
      <c r="LA156" s="196"/>
      <c r="LB156" s="196"/>
      <c r="LC156" s="196"/>
      <c r="LD156" s="196"/>
      <c r="LE156" s="196"/>
      <c r="LF156" s="196"/>
      <c r="LG156" s="196"/>
      <c r="LH156" s="196"/>
      <c r="LI156" s="196"/>
      <c r="LJ156" s="196"/>
      <c r="LK156" s="196"/>
      <c r="LL156" s="196"/>
      <c r="LM156" s="196"/>
      <c r="LN156" s="196"/>
      <c r="LO156" s="196"/>
      <c r="LP156" s="196"/>
      <c r="LQ156" s="196"/>
      <c r="LR156" s="196"/>
      <c r="LS156" s="196"/>
      <c r="LT156" s="196"/>
      <c r="LU156" s="196"/>
      <c r="LV156" s="196"/>
      <c r="LW156" s="196"/>
      <c r="LX156" s="196"/>
      <c r="LY156" s="196"/>
      <c r="LZ156" s="196"/>
      <c r="MA156" s="196"/>
      <c r="MB156" s="196"/>
      <c r="MC156" s="196"/>
      <c r="MD156" s="196"/>
      <c r="ME156" s="196"/>
      <c r="MF156" s="196"/>
      <c r="MG156" s="196"/>
      <c r="MH156" s="196"/>
      <c r="MI156" s="196"/>
      <c r="MJ156" s="196"/>
      <c r="MK156" s="196"/>
      <c r="ML156" s="196"/>
      <c r="MM156" s="196"/>
      <c r="MN156" s="196"/>
      <c r="MO156" s="196"/>
      <c r="MP156" s="196"/>
      <c r="MQ156" s="196"/>
      <c r="MR156" s="196"/>
      <c r="MS156" s="196"/>
      <c r="MT156" s="196"/>
      <c r="MU156" s="196"/>
      <c r="MV156" s="196"/>
      <c r="MW156" s="196"/>
      <c r="MX156" s="196"/>
      <c r="MY156" s="196"/>
      <c r="MZ156" s="196"/>
      <c r="NA156" s="196"/>
      <c r="NB156" s="196"/>
      <c r="NC156" s="196"/>
      <c r="ND156" s="196"/>
      <c r="NE156" s="196"/>
      <c r="NF156" s="196"/>
      <c r="NG156" s="196"/>
      <c r="NH156" s="196"/>
      <c r="NI156" s="196"/>
      <c r="NJ156" s="196"/>
      <c r="NK156" s="196"/>
      <c r="NL156" s="196"/>
      <c r="NM156" s="196"/>
      <c r="NN156" s="196"/>
      <c r="NO156" s="196"/>
      <c r="NP156" s="196"/>
      <c r="NQ156" s="196"/>
      <c r="NR156" s="196"/>
      <c r="NS156" s="196"/>
      <c r="NT156" s="196"/>
      <c r="NU156" s="196"/>
      <c r="NV156" s="196"/>
      <c r="NW156" s="196"/>
      <c r="NX156" s="196"/>
      <c r="NY156" s="196"/>
      <c r="NZ156" s="196"/>
      <c r="OA156" s="196"/>
      <c r="OB156" s="196"/>
      <c r="OC156" s="196"/>
      <c r="OD156" s="196"/>
      <c r="OE156" s="196"/>
      <c r="OF156" s="196"/>
      <c r="OG156" s="196"/>
      <c r="OH156" s="196"/>
      <c r="OI156" s="196"/>
      <c r="OJ156" s="196"/>
      <c r="OK156" s="196"/>
      <c r="OL156" s="196"/>
      <c r="OM156" s="196"/>
      <c r="ON156" s="196"/>
      <c r="OO156" s="196"/>
      <c r="OP156" s="196"/>
      <c r="OQ156" s="196"/>
      <c r="OR156" s="196"/>
      <c r="OS156" s="196"/>
      <c r="OT156" s="196"/>
      <c r="OU156" s="196"/>
      <c r="OV156" s="196"/>
      <c r="OW156" s="196"/>
      <c r="OX156" s="196"/>
      <c r="OY156" s="196"/>
      <c r="OZ156" s="196"/>
      <c r="PA156" s="196"/>
      <c r="PB156" s="196"/>
      <c r="PC156" s="196"/>
      <c r="PD156" s="196"/>
      <c r="PE156" s="196"/>
      <c r="PF156" s="196"/>
      <c r="PG156" s="196"/>
      <c r="PH156" s="196"/>
      <c r="PI156" s="196"/>
      <c r="PJ156" s="196"/>
      <c r="PK156" s="196"/>
      <c r="PL156" s="196"/>
      <c r="PM156" s="196"/>
      <c r="PN156" s="196"/>
      <c r="PO156" s="196"/>
      <c r="PP156" s="196"/>
      <c r="PQ156" s="196"/>
      <c r="PR156" s="196"/>
      <c r="PS156" s="196"/>
      <c r="PT156" s="196"/>
      <c r="PU156" s="196"/>
      <c r="PV156" s="196"/>
      <c r="PW156" s="196"/>
      <c r="PX156" s="196"/>
      <c r="PY156" s="196"/>
      <c r="PZ156" s="196"/>
      <c r="QA156" s="196"/>
      <c r="QB156" s="196"/>
      <c r="QC156" s="196"/>
      <c r="QD156" s="196"/>
      <c r="QE156" s="196"/>
      <c r="QF156" s="196"/>
      <c r="QG156" s="196"/>
      <c r="QH156" s="196"/>
      <c r="QI156" s="196"/>
      <c r="QJ156" s="196"/>
      <c r="QK156" s="196"/>
      <c r="QL156" s="196"/>
      <c r="QM156" s="196"/>
      <c r="QN156" s="196"/>
      <c r="QO156" s="196"/>
      <c r="QP156" s="196"/>
      <c r="QQ156" s="196"/>
      <c r="QR156" s="196"/>
      <c r="QS156" s="196"/>
      <c r="QT156" s="196"/>
      <c r="QU156" s="196"/>
      <c r="QV156" s="196"/>
      <c r="QW156" s="196"/>
      <c r="QX156" s="196"/>
      <c r="QY156" s="196"/>
      <c r="QZ156" s="196"/>
      <c r="RA156" s="196"/>
      <c r="RB156" s="196"/>
      <c r="RC156" s="196"/>
      <c r="RD156" s="196"/>
      <c r="RE156" s="196"/>
      <c r="RF156" s="196"/>
      <c r="RG156" s="196"/>
      <c r="RH156" s="196"/>
      <c r="RI156" s="196"/>
      <c r="RJ156" s="196"/>
      <c r="RK156" s="196"/>
      <c r="RL156" s="196"/>
      <c r="RM156" s="196"/>
      <c r="RN156" s="196"/>
      <c r="RO156" s="196"/>
      <c r="RP156" s="196"/>
      <c r="RQ156" s="196"/>
      <c r="RR156" s="196"/>
      <c r="RS156" s="196"/>
      <c r="RT156" s="196"/>
      <c r="RU156" s="196"/>
      <c r="RV156" s="196"/>
      <c r="RW156" s="196"/>
      <c r="RX156" s="196"/>
      <c r="RY156" s="196"/>
      <c r="RZ156" s="196"/>
      <c r="SA156" s="196"/>
      <c r="SB156" s="196"/>
      <c r="SC156" s="196"/>
      <c r="SD156" s="196"/>
      <c r="SE156" s="196"/>
      <c r="SF156" s="196"/>
      <c r="SG156" s="196"/>
      <c r="SH156" s="196"/>
      <c r="SI156" s="196"/>
      <c r="SJ156" s="196"/>
      <c r="SK156" s="196"/>
      <c r="SL156" s="196"/>
      <c r="SM156" s="196"/>
      <c r="SN156" s="196"/>
      <c r="SO156" s="196"/>
      <c r="SP156" s="196"/>
      <c r="SQ156" s="196"/>
      <c r="SR156" s="196"/>
      <c r="SS156" s="196"/>
      <c r="ST156" s="196"/>
      <c r="SU156" s="196"/>
      <c r="SV156" s="196"/>
      <c r="SW156" s="196"/>
      <c r="SX156" s="196"/>
      <c r="SY156" s="196"/>
      <c r="SZ156" s="196"/>
      <c r="TA156" s="196"/>
      <c r="TB156" s="196"/>
      <c r="TC156" s="196"/>
      <c r="TD156" s="196"/>
      <c r="TE156" s="196"/>
      <c r="TF156" s="196"/>
      <c r="TG156" s="196"/>
      <c r="TH156" s="196"/>
      <c r="TI156" s="196"/>
      <c r="TJ156" s="196"/>
      <c r="TK156" s="196"/>
      <c r="TL156" s="196"/>
      <c r="TM156" s="196"/>
      <c r="TN156" s="196"/>
      <c r="TO156" s="196"/>
      <c r="TP156" s="196"/>
      <c r="TQ156" s="196"/>
      <c r="TR156" s="196"/>
      <c r="TS156" s="196"/>
      <c r="TT156" s="196"/>
      <c r="TU156" s="196"/>
      <c r="TV156" s="196"/>
      <c r="TW156" s="196"/>
      <c r="TX156" s="196"/>
      <c r="TY156" s="196"/>
      <c r="TZ156" s="196"/>
      <c r="UA156" s="196"/>
      <c r="UB156" s="196"/>
      <c r="UC156" s="196"/>
      <c r="UD156" s="196"/>
      <c r="UE156" s="196"/>
      <c r="UF156" s="196"/>
      <c r="UG156" s="196"/>
      <c r="UH156" s="196"/>
      <c r="UI156" s="196"/>
      <c r="UJ156" s="196"/>
      <c r="UK156" s="196"/>
      <c r="UL156" s="196"/>
      <c r="UM156" s="196"/>
      <c r="UN156" s="196"/>
      <c r="UO156" s="196"/>
      <c r="UP156" s="196"/>
      <c r="UQ156" s="196"/>
      <c r="UR156" s="196"/>
      <c r="US156" s="196"/>
      <c r="UT156" s="196"/>
      <c r="UU156" s="196"/>
      <c r="UV156" s="196"/>
      <c r="UW156" s="196"/>
      <c r="UX156" s="196"/>
      <c r="UY156" s="196"/>
      <c r="UZ156" s="196"/>
      <c r="VA156" s="196"/>
      <c r="VB156" s="196"/>
      <c r="VC156" s="196"/>
      <c r="VD156" s="196"/>
      <c r="VE156" s="196"/>
      <c r="VF156" s="196"/>
      <c r="VG156" s="196"/>
      <c r="VH156" s="196"/>
      <c r="VI156" s="196"/>
      <c r="VJ156" s="196"/>
      <c r="VK156" s="196"/>
      <c r="VL156" s="196"/>
      <c r="VM156" s="196"/>
      <c r="VN156" s="196"/>
      <c r="VO156" s="196"/>
      <c r="VP156" s="196"/>
      <c r="VQ156" s="196"/>
      <c r="VR156" s="196"/>
      <c r="VS156" s="196"/>
      <c r="VT156" s="196"/>
      <c r="VU156" s="196"/>
      <c r="VV156" s="196"/>
      <c r="VW156" s="196"/>
      <c r="VX156" s="196"/>
      <c r="VY156" s="196"/>
      <c r="VZ156" s="196"/>
      <c r="WA156" s="196"/>
      <c r="WB156" s="196"/>
      <c r="WC156" s="196"/>
      <c r="WD156" s="196"/>
      <c r="WE156" s="196"/>
      <c r="WF156" s="196"/>
      <c r="WG156" s="196"/>
      <c r="WH156" s="196"/>
      <c r="WI156" s="196"/>
      <c r="WJ156" s="196"/>
      <c r="WK156" s="196"/>
      <c r="WL156" s="196"/>
      <c r="WM156" s="196"/>
      <c r="WN156" s="196"/>
      <c r="WO156" s="196"/>
      <c r="WP156" s="196"/>
      <c r="WQ156" s="196"/>
      <c r="WR156" s="196"/>
      <c r="WS156" s="196"/>
      <c r="WT156" s="196"/>
      <c r="WU156" s="196"/>
      <c r="WV156" s="196"/>
      <c r="WW156" s="196"/>
      <c r="WX156" s="196"/>
      <c r="WY156" s="196"/>
      <c r="WZ156" s="196"/>
      <c r="XA156" s="196"/>
      <c r="XB156" s="196"/>
      <c r="XC156" s="196"/>
      <c r="XD156" s="196"/>
      <c r="XE156" s="196"/>
      <c r="XF156" s="196"/>
      <c r="XG156" s="196"/>
      <c r="XH156" s="196"/>
      <c r="XI156" s="196"/>
      <c r="XJ156" s="196"/>
      <c r="XK156" s="196"/>
      <c r="XL156" s="196"/>
      <c r="XM156" s="196"/>
      <c r="XN156" s="196"/>
      <c r="XO156" s="196"/>
      <c r="XP156" s="196"/>
      <c r="XQ156" s="196"/>
      <c r="XR156" s="196"/>
      <c r="XS156" s="196"/>
      <c r="XT156" s="196"/>
      <c r="XU156" s="196"/>
      <c r="XV156" s="196"/>
      <c r="XW156" s="196"/>
      <c r="XX156" s="196"/>
      <c r="XY156" s="196"/>
      <c r="XZ156" s="196"/>
      <c r="YA156" s="196"/>
      <c r="YB156" s="196"/>
      <c r="YC156" s="196"/>
      <c r="YD156" s="196"/>
      <c r="YE156" s="196"/>
      <c r="YF156" s="196"/>
      <c r="YG156" s="196"/>
      <c r="YH156" s="196"/>
      <c r="YI156" s="196"/>
      <c r="YJ156" s="196"/>
      <c r="YK156" s="196"/>
      <c r="YL156" s="196"/>
      <c r="YM156" s="196"/>
      <c r="YN156" s="196"/>
      <c r="YO156" s="196"/>
      <c r="YP156" s="196"/>
      <c r="YQ156" s="196"/>
      <c r="YR156" s="196"/>
      <c r="YS156" s="196"/>
      <c r="YT156" s="196"/>
      <c r="YU156" s="196"/>
      <c r="YV156" s="196"/>
      <c r="YW156" s="196"/>
      <c r="YX156" s="196"/>
      <c r="YY156" s="196"/>
      <c r="YZ156" s="196"/>
      <c r="ZA156" s="196"/>
      <c r="ZB156" s="196"/>
      <c r="ZC156" s="196"/>
      <c r="ZD156" s="196"/>
      <c r="ZE156" s="196"/>
      <c r="ZF156" s="196"/>
      <c r="ZG156" s="196"/>
      <c r="ZH156" s="196"/>
      <c r="ZI156" s="196"/>
      <c r="ZJ156" s="196"/>
      <c r="ZK156" s="196"/>
      <c r="ZL156" s="196"/>
      <c r="ZM156" s="196"/>
      <c r="ZN156" s="196"/>
      <c r="ZO156" s="196"/>
      <c r="ZP156" s="196"/>
      <c r="ZQ156" s="196"/>
      <c r="ZR156" s="196"/>
      <c r="ZS156" s="196"/>
      <c r="ZT156" s="196"/>
      <c r="ZU156" s="196"/>
      <c r="ZV156" s="196"/>
      <c r="ZW156" s="196"/>
      <c r="ZX156" s="196"/>
      <c r="ZY156" s="196"/>
      <c r="ZZ156" s="196"/>
      <c r="AAA156" s="196"/>
      <c r="AAB156" s="196"/>
      <c r="AAC156" s="196"/>
      <c r="AAD156" s="196"/>
      <c r="AAE156" s="196"/>
      <c r="AAF156" s="196"/>
      <c r="AAG156" s="196"/>
      <c r="AAH156" s="196"/>
      <c r="AAI156" s="196"/>
      <c r="AAJ156" s="196"/>
      <c r="AAK156" s="196"/>
      <c r="AAL156" s="196"/>
      <c r="AAM156" s="196"/>
      <c r="AAN156" s="196"/>
      <c r="AAO156" s="196"/>
      <c r="AAP156" s="196"/>
      <c r="AAQ156" s="196"/>
      <c r="AAR156" s="196"/>
      <c r="AAS156" s="196"/>
      <c r="AAT156" s="196"/>
      <c r="AAU156" s="196"/>
      <c r="AAV156" s="196"/>
      <c r="AAW156" s="196"/>
      <c r="AAX156" s="196"/>
      <c r="AAY156" s="196"/>
      <c r="AAZ156" s="196"/>
      <c r="ABA156" s="196"/>
      <c r="ABB156" s="196"/>
      <c r="ABC156" s="196"/>
      <c r="ABD156" s="196"/>
      <c r="ABE156" s="196"/>
      <c r="ABF156" s="196"/>
      <c r="ABG156" s="196"/>
      <c r="ABH156" s="196"/>
      <c r="ABI156" s="196"/>
      <c r="ABJ156" s="196"/>
      <c r="ABK156" s="196"/>
      <c r="ABL156" s="196"/>
      <c r="ABM156" s="196"/>
      <c r="ABN156" s="196"/>
      <c r="ABO156" s="196"/>
      <c r="ABP156" s="196"/>
      <c r="ABQ156" s="196"/>
      <c r="ABR156" s="196"/>
      <c r="ABS156" s="196"/>
      <c r="ABT156" s="196"/>
      <c r="ABU156" s="196"/>
      <c r="ABV156" s="196"/>
      <c r="ABW156" s="196"/>
      <c r="ABX156" s="196"/>
      <c r="ABY156" s="196"/>
      <c r="ABZ156" s="196"/>
      <c r="ACA156" s="196"/>
      <c r="ACB156" s="196"/>
      <c r="ACC156" s="196"/>
      <c r="ACD156" s="196"/>
      <c r="ACE156" s="196"/>
      <c r="ACF156" s="196"/>
      <c r="ACG156" s="196"/>
      <c r="ACH156" s="196"/>
      <c r="ACI156" s="196"/>
      <c r="ACJ156" s="196"/>
      <c r="ACK156" s="196"/>
      <c r="ACL156" s="196"/>
      <c r="ACM156" s="196"/>
      <c r="ACN156" s="196"/>
      <c r="ACO156" s="196"/>
      <c r="ACP156" s="196"/>
      <c r="ACQ156" s="196"/>
      <c r="ACR156" s="196"/>
      <c r="ACS156" s="196"/>
      <c r="ACT156" s="196"/>
      <c r="ACU156" s="196"/>
      <c r="ACV156" s="196"/>
      <c r="ACW156" s="196"/>
      <c r="ACX156" s="196"/>
      <c r="ACY156" s="196"/>
      <c r="ACZ156" s="196"/>
      <c r="ADA156" s="196"/>
      <c r="ADB156" s="196"/>
      <c r="ADC156" s="196"/>
      <c r="ADD156" s="196"/>
      <c r="ADE156" s="196"/>
      <c r="ADF156" s="196"/>
      <c r="ADG156" s="196"/>
      <c r="ADH156" s="196"/>
      <c r="ADI156" s="196"/>
      <c r="ADJ156" s="196"/>
      <c r="ADK156" s="196"/>
      <c r="ADL156" s="196"/>
      <c r="ADM156" s="196"/>
      <c r="ADN156" s="196"/>
      <c r="ADO156" s="196"/>
      <c r="ADP156" s="196"/>
      <c r="ADQ156" s="196"/>
      <c r="ADR156" s="196"/>
      <c r="ADS156" s="196"/>
      <c r="ADT156" s="196"/>
      <c r="ADU156" s="196"/>
      <c r="ADV156" s="196"/>
      <c r="ADW156" s="196"/>
      <c r="ADX156" s="196"/>
      <c r="ADY156" s="196"/>
      <c r="ADZ156" s="196"/>
      <c r="AEA156" s="196"/>
      <c r="AEB156" s="196"/>
      <c r="AEC156" s="196"/>
      <c r="AED156" s="196"/>
      <c r="AEE156" s="196"/>
      <c r="AEF156" s="196"/>
      <c r="AEG156" s="196"/>
      <c r="AEH156" s="196"/>
      <c r="AEI156" s="196"/>
      <c r="AEJ156" s="196"/>
      <c r="AEK156" s="196"/>
      <c r="AEL156" s="196"/>
      <c r="AEM156" s="196"/>
      <c r="AEN156" s="196"/>
      <c r="AEO156" s="196"/>
      <c r="AEP156" s="196"/>
      <c r="AEQ156" s="196"/>
      <c r="AER156" s="196"/>
      <c r="AES156" s="196"/>
      <c r="AET156" s="196"/>
      <c r="AEU156" s="196"/>
      <c r="AEV156" s="196"/>
      <c r="AEW156" s="196"/>
      <c r="AEX156" s="196"/>
      <c r="AEY156" s="196"/>
      <c r="AEZ156" s="196"/>
      <c r="AFA156" s="196"/>
      <c r="AFB156" s="196"/>
      <c r="AFC156" s="196"/>
      <c r="AFD156" s="196"/>
      <c r="AFE156" s="196"/>
      <c r="AFF156" s="196"/>
      <c r="AFG156" s="196"/>
      <c r="AFH156" s="196"/>
      <c r="AFI156" s="196"/>
      <c r="AFJ156" s="196"/>
      <c r="AFK156" s="196"/>
      <c r="AFL156" s="196"/>
      <c r="AFM156" s="196"/>
      <c r="AFN156" s="196"/>
      <c r="AFO156" s="196"/>
      <c r="AFP156" s="196"/>
      <c r="AFQ156" s="196"/>
      <c r="AFR156" s="196"/>
      <c r="AFS156" s="196"/>
      <c r="AFT156" s="196"/>
      <c r="AFU156" s="196"/>
      <c r="AFV156" s="196"/>
      <c r="AFW156" s="196"/>
      <c r="AFX156" s="196"/>
      <c r="AFY156" s="196"/>
      <c r="AFZ156" s="196"/>
      <c r="AGA156" s="196"/>
      <c r="AGB156" s="196"/>
      <c r="AGC156" s="196"/>
      <c r="AGD156" s="196"/>
      <c r="AGE156" s="196"/>
      <c r="AGF156" s="196"/>
      <c r="AGG156" s="196"/>
      <c r="AGH156" s="196"/>
      <c r="AGI156" s="196"/>
      <c r="AGJ156" s="196"/>
      <c r="AGK156" s="196"/>
      <c r="AGL156" s="196"/>
      <c r="AGM156" s="196"/>
      <c r="AGN156" s="196"/>
      <c r="AGO156" s="196"/>
      <c r="AGP156" s="196"/>
      <c r="AGQ156" s="196"/>
      <c r="AGR156" s="196"/>
      <c r="AGS156" s="196"/>
      <c r="AGT156" s="196"/>
      <c r="AGU156" s="196"/>
      <c r="AGV156" s="196"/>
      <c r="AGW156" s="196"/>
      <c r="AGX156" s="196"/>
      <c r="AGY156" s="196"/>
      <c r="AGZ156" s="196"/>
      <c r="AHA156" s="196"/>
      <c r="AHB156" s="196"/>
      <c r="AHC156" s="196"/>
      <c r="AHD156" s="196"/>
      <c r="AHE156" s="196"/>
      <c r="AHF156" s="196"/>
      <c r="AHG156" s="196"/>
      <c r="AHH156" s="196"/>
      <c r="AHI156" s="196"/>
      <c r="AHJ156" s="196"/>
      <c r="AHK156" s="196"/>
      <c r="AHL156" s="196"/>
      <c r="AHM156" s="196"/>
      <c r="AHN156" s="196"/>
      <c r="AHO156" s="196"/>
      <c r="AHP156" s="196"/>
      <c r="AHQ156" s="196"/>
      <c r="AHR156" s="196"/>
      <c r="AHS156" s="196"/>
      <c r="AHT156" s="196"/>
      <c r="AHU156" s="196"/>
      <c r="AHV156" s="196"/>
      <c r="AHW156" s="196"/>
      <c r="AHX156" s="196"/>
      <c r="AHY156" s="196"/>
      <c r="AHZ156" s="196"/>
      <c r="AIA156" s="196"/>
      <c r="AIB156" s="196"/>
      <c r="AIC156" s="196"/>
      <c r="AID156" s="196"/>
      <c r="AIE156" s="196"/>
      <c r="AIF156" s="196"/>
      <c r="AIG156" s="196"/>
      <c r="AIH156" s="196"/>
      <c r="AII156" s="196"/>
      <c r="AIJ156" s="196"/>
      <c r="AIK156" s="196"/>
      <c r="AIL156" s="196"/>
      <c r="AIM156" s="196"/>
      <c r="AIN156" s="196"/>
      <c r="AIO156" s="196"/>
      <c r="AIP156" s="196"/>
      <c r="AIQ156" s="196"/>
      <c r="AIR156" s="196"/>
      <c r="AIS156" s="196"/>
      <c r="AIT156" s="196"/>
      <c r="AIU156" s="196"/>
      <c r="AIV156" s="196"/>
      <c r="AIW156" s="196"/>
      <c r="AIX156" s="196"/>
      <c r="AIY156" s="196"/>
      <c r="AIZ156" s="196"/>
      <c r="AJA156" s="196"/>
      <c r="AJB156" s="196"/>
      <c r="AJC156" s="196"/>
      <c r="AJD156" s="196"/>
      <c r="AJE156" s="196"/>
      <c r="AJF156" s="196"/>
      <c r="AJG156" s="196"/>
      <c r="AJH156" s="196"/>
      <c r="AJI156" s="196"/>
      <c r="AJJ156" s="196"/>
      <c r="AJK156" s="196"/>
      <c r="AJL156" s="196"/>
      <c r="AJM156" s="196"/>
      <c r="AJN156" s="196"/>
      <c r="AJO156" s="196"/>
      <c r="AJP156" s="196"/>
      <c r="AJQ156" s="196"/>
      <c r="AJR156" s="196"/>
      <c r="AJS156" s="196"/>
      <c r="AJT156" s="196"/>
      <c r="AJU156" s="196"/>
      <c r="AJV156" s="196"/>
      <c r="AJW156" s="196"/>
      <c r="AJX156" s="196"/>
      <c r="AJY156" s="196"/>
      <c r="AJZ156" s="196"/>
      <c r="AKA156" s="196"/>
      <c r="AKB156" s="196"/>
      <c r="AKC156" s="196"/>
      <c r="AKD156" s="196"/>
      <c r="AKE156" s="196"/>
      <c r="AKF156" s="196"/>
      <c r="AKG156" s="196"/>
      <c r="AKH156" s="196"/>
      <c r="AKI156" s="196"/>
      <c r="AKJ156" s="196"/>
      <c r="AKK156" s="196"/>
      <c r="AKL156" s="196"/>
      <c r="AKM156" s="196"/>
      <c r="AKN156" s="196"/>
      <c r="AKO156" s="196"/>
      <c r="AKP156" s="196"/>
      <c r="AKQ156" s="196"/>
      <c r="AKR156" s="196"/>
      <c r="AKS156" s="196"/>
      <c r="AKT156" s="196"/>
      <c r="AKU156" s="196"/>
      <c r="AKV156" s="196"/>
      <c r="AKW156" s="196"/>
      <c r="AKX156" s="196"/>
      <c r="AKY156" s="196"/>
      <c r="AKZ156" s="196"/>
      <c r="ALA156" s="196"/>
      <c r="ALB156" s="196"/>
      <c r="ALC156" s="196"/>
      <c r="ALD156" s="196"/>
      <c r="ALE156" s="196"/>
      <c r="ALF156" s="196"/>
      <c r="ALG156" s="196"/>
      <c r="ALH156" s="196"/>
      <c r="ALI156" s="196"/>
      <c r="ALJ156" s="196"/>
      <c r="ALK156" s="196"/>
      <c r="ALL156" s="196"/>
      <c r="ALM156" s="196"/>
      <c r="ALN156" s="196"/>
      <c r="ALO156" s="196"/>
      <c r="ALP156" s="196"/>
      <c r="ALQ156" s="196"/>
      <c r="ALR156" s="196"/>
      <c r="ALS156" s="196"/>
      <c r="ALT156" s="196"/>
      <c r="ALU156" s="196"/>
      <c r="ALV156" s="196"/>
      <c r="ALW156" s="196"/>
      <c r="ALX156" s="196"/>
      <c r="ALY156" s="196"/>
      <c r="ALZ156" s="196"/>
      <c r="AMA156" s="196"/>
      <c r="AMB156" s="196"/>
      <c r="AMC156" s="196"/>
      <c r="AMD156" s="196"/>
      <c r="AME156" s="196"/>
      <c r="AMF156" s="196"/>
      <c r="AMG156" s="196"/>
      <c r="AMH156" s="196"/>
      <c r="AMI156" s="196"/>
      <c r="AMJ156" s="196"/>
    </row>
    <row r="157" customFormat="false" ht="15.75" hidden="false" customHeight="true" outlineLevel="0" collapsed="false">
      <c r="A157" s="196"/>
      <c r="B157" s="77"/>
      <c r="C157" s="77"/>
      <c r="D157" s="78"/>
      <c r="E157" s="78"/>
      <c r="F157" s="78"/>
      <c r="G157" s="10"/>
      <c r="H157" s="24"/>
      <c r="I157" s="230"/>
      <c r="J157" s="7"/>
      <c r="K157" s="7"/>
      <c r="L157" s="7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  <c r="AA157" s="196"/>
      <c r="AB157" s="196"/>
      <c r="AC157" s="196"/>
      <c r="AD157" s="196"/>
      <c r="AE157" s="196"/>
      <c r="AF157" s="196"/>
      <c r="AG157" s="196"/>
      <c r="AH157" s="196"/>
      <c r="AI157" s="196"/>
      <c r="AJ157" s="196"/>
      <c r="AK157" s="196"/>
      <c r="AL157" s="196"/>
      <c r="AM157" s="196"/>
      <c r="AN157" s="196"/>
      <c r="AO157" s="196"/>
      <c r="AP157" s="196"/>
      <c r="AQ157" s="196"/>
      <c r="AR157" s="196"/>
      <c r="AS157" s="196"/>
      <c r="AT157" s="196"/>
      <c r="AU157" s="196"/>
      <c r="AV157" s="196"/>
      <c r="AW157" s="196"/>
      <c r="AX157" s="196"/>
      <c r="AY157" s="196"/>
      <c r="AZ157" s="196"/>
      <c r="BA157" s="196"/>
      <c r="BB157" s="196"/>
      <c r="BC157" s="196"/>
      <c r="BD157" s="196"/>
      <c r="BE157" s="196"/>
      <c r="BF157" s="196"/>
      <c r="BG157" s="196"/>
      <c r="BH157" s="196"/>
      <c r="BI157" s="196"/>
      <c r="BJ157" s="196"/>
      <c r="BK157" s="196"/>
      <c r="BL157" s="196"/>
      <c r="BM157" s="196"/>
      <c r="BN157" s="196"/>
      <c r="BO157" s="196"/>
      <c r="BP157" s="196"/>
      <c r="BQ157" s="196"/>
      <c r="BR157" s="196"/>
      <c r="BS157" s="196"/>
      <c r="BT157" s="196"/>
      <c r="BU157" s="196"/>
      <c r="BV157" s="196"/>
      <c r="BW157" s="196"/>
      <c r="BX157" s="196"/>
      <c r="BY157" s="196"/>
      <c r="BZ157" s="196"/>
      <c r="CA157" s="196"/>
      <c r="CB157" s="196"/>
      <c r="CC157" s="196"/>
      <c r="CD157" s="196"/>
      <c r="CE157" s="196"/>
      <c r="CF157" s="196"/>
      <c r="CG157" s="196"/>
      <c r="CH157" s="196"/>
      <c r="CI157" s="196"/>
      <c r="CJ157" s="196"/>
      <c r="CK157" s="196"/>
      <c r="CL157" s="196"/>
      <c r="CM157" s="196"/>
      <c r="CN157" s="196"/>
      <c r="CO157" s="196"/>
      <c r="CP157" s="196"/>
      <c r="CQ157" s="196"/>
      <c r="CR157" s="196"/>
      <c r="CS157" s="196"/>
      <c r="CT157" s="196"/>
      <c r="CU157" s="196"/>
      <c r="CV157" s="196"/>
      <c r="CW157" s="196"/>
      <c r="CX157" s="196"/>
      <c r="CY157" s="196"/>
      <c r="CZ157" s="196"/>
      <c r="DA157" s="196"/>
      <c r="DB157" s="196"/>
      <c r="DC157" s="196"/>
      <c r="DD157" s="196"/>
      <c r="DE157" s="196"/>
      <c r="DF157" s="196"/>
      <c r="DG157" s="196"/>
      <c r="DH157" s="196"/>
      <c r="DI157" s="196"/>
      <c r="DJ157" s="196"/>
      <c r="DK157" s="196"/>
      <c r="DL157" s="196"/>
      <c r="DM157" s="196"/>
      <c r="DN157" s="196"/>
      <c r="DO157" s="196"/>
      <c r="DP157" s="196"/>
      <c r="DQ157" s="196"/>
      <c r="DR157" s="196"/>
      <c r="DS157" s="196"/>
      <c r="DT157" s="196"/>
      <c r="DU157" s="196"/>
      <c r="DV157" s="196"/>
      <c r="DW157" s="196"/>
      <c r="DX157" s="196"/>
      <c r="DY157" s="196"/>
      <c r="DZ157" s="196"/>
      <c r="EA157" s="196"/>
      <c r="EB157" s="196"/>
      <c r="EC157" s="196"/>
      <c r="ED157" s="196"/>
      <c r="EE157" s="196"/>
      <c r="EF157" s="196"/>
      <c r="EG157" s="196"/>
      <c r="EH157" s="196"/>
      <c r="EI157" s="196"/>
      <c r="EJ157" s="196"/>
      <c r="EK157" s="196"/>
      <c r="EL157" s="196"/>
      <c r="EM157" s="196"/>
      <c r="EN157" s="196"/>
      <c r="EO157" s="196"/>
      <c r="EP157" s="196"/>
      <c r="EQ157" s="196"/>
      <c r="ER157" s="196"/>
      <c r="ES157" s="196"/>
      <c r="ET157" s="196"/>
      <c r="EU157" s="196"/>
      <c r="EV157" s="196"/>
      <c r="EW157" s="196"/>
      <c r="EX157" s="196"/>
      <c r="EY157" s="196"/>
      <c r="EZ157" s="196"/>
      <c r="FA157" s="196"/>
      <c r="FB157" s="196"/>
      <c r="FC157" s="196"/>
      <c r="FD157" s="196"/>
      <c r="FE157" s="196"/>
      <c r="FF157" s="196"/>
      <c r="FG157" s="196"/>
      <c r="FH157" s="196"/>
      <c r="FI157" s="196"/>
      <c r="FJ157" s="196"/>
      <c r="FK157" s="196"/>
      <c r="FL157" s="196"/>
      <c r="FM157" s="196"/>
      <c r="FN157" s="196"/>
      <c r="FO157" s="196"/>
      <c r="FP157" s="196"/>
      <c r="FQ157" s="196"/>
      <c r="FR157" s="196"/>
      <c r="FS157" s="196"/>
      <c r="FT157" s="196"/>
      <c r="FU157" s="196"/>
      <c r="FV157" s="196"/>
      <c r="FW157" s="196"/>
      <c r="FX157" s="196"/>
      <c r="FY157" s="196"/>
      <c r="FZ157" s="196"/>
      <c r="GA157" s="196"/>
      <c r="GB157" s="196"/>
      <c r="GC157" s="196"/>
      <c r="GD157" s="196"/>
      <c r="GE157" s="196"/>
      <c r="GF157" s="196"/>
      <c r="GG157" s="196"/>
      <c r="GH157" s="196"/>
      <c r="GI157" s="196"/>
      <c r="GJ157" s="196"/>
      <c r="GK157" s="196"/>
      <c r="GL157" s="196"/>
      <c r="GM157" s="196"/>
      <c r="GN157" s="196"/>
      <c r="GO157" s="196"/>
      <c r="GP157" s="196"/>
      <c r="GQ157" s="196"/>
      <c r="GR157" s="196"/>
      <c r="GS157" s="196"/>
      <c r="GT157" s="196"/>
      <c r="GU157" s="196"/>
      <c r="GV157" s="196"/>
      <c r="GW157" s="196"/>
      <c r="GX157" s="196"/>
      <c r="GY157" s="196"/>
      <c r="GZ157" s="196"/>
      <c r="HA157" s="196"/>
      <c r="HB157" s="196"/>
      <c r="HC157" s="196"/>
      <c r="HD157" s="196"/>
      <c r="HE157" s="196"/>
      <c r="HF157" s="196"/>
      <c r="HG157" s="196"/>
      <c r="HH157" s="196"/>
      <c r="HI157" s="196"/>
      <c r="HJ157" s="196"/>
      <c r="HK157" s="196"/>
      <c r="HL157" s="196"/>
      <c r="HM157" s="196"/>
      <c r="HN157" s="196"/>
      <c r="HO157" s="196"/>
      <c r="HP157" s="196"/>
      <c r="HQ157" s="196"/>
      <c r="HR157" s="196"/>
      <c r="HS157" s="196"/>
      <c r="HT157" s="196"/>
      <c r="HU157" s="196"/>
      <c r="HV157" s="196"/>
      <c r="HW157" s="196"/>
      <c r="HX157" s="196"/>
      <c r="HY157" s="196"/>
      <c r="HZ157" s="196"/>
      <c r="IA157" s="196"/>
      <c r="IB157" s="196"/>
      <c r="IC157" s="196"/>
      <c r="ID157" s="196"/>
      <c r="IE157" s="196"/>
      <c r="IF157" s="196"/>
      <c r="IG157" s="196"/>
      <c r="IH157" s="196"/>
      <c r="II157" s="196"/>
      <c r="IJ157" s="196"/>
      <c r="IK157" s="196"/>
      <c r="IL157" s="196"/>
      <c r="IM157" s="196"/>
      <c r="IN157" s="196"/>
      <c r="IO157" s="196"/>
      <c r="IP157" s="196"/>
      <c r="IQ157" s="196"/>
      <c r="IR157" s="196"/>
      <c r="IS157" s="196"/>
      <c r="IT157" s="196"/>
      <c r="IU157" s="196"/>
      <c r="IV157" s="196"/>
      <c r="IW157" s="196"/>
      <c r="IX157" s="196"/>
      <c r="IY157" s="196"/>
      <c r="IZ157" s="196"/>
      <c r="JA157" s="196"/>
      <c r="JB157" s="196"/>
      <c r="JC157" s="196"/>
      <c r="JD157" s="196"/>
      <c r="JE157" s="196"/>
      <c r="JF157" s="196"/>
      <c r="JG157" s="196"/>
      <c r="JH157" s="196"/>
      <c r="JI157" s="196"/>
      <c r="JJ157" s="196"/>
      <c r="JK157" s="196"/>
      <c r="JL157" s="196"/>
      <c r="JM157" s="196"/>
      <c r="JN157" s="196"/>
      <c r="JO157" s="196"/>
      <c r="JP157" s="196"/>
      <c r="JQ157" s="196"/>
      <c r="JR157" s="196"/>
      <c r="JS157" s="196"/>
      <c r="JT157" s="196"/>
      <c r="JU157" s="196"/>
      <c r="JV157" s="196"/>
      <c r="JW157" s="196"/>
      <c r="JX157" s="196"/>
      <c r="JY157" s="196"/>
      <c r="JZ157" s="196"/>
      <c r="KA157" s="196"/>
      <c r="KB157" s="196"/>
      <c r="KC157" s="196"/>
      <c r="KD157" s="196"/>
      <c r="KE157" s="196"/>
      <c r="KF157" s="196"/>
      <c r="KG157" s="196"/>
      <c r="KH157" s="196"/>
      <c r="KI157" s="196"/>
      <c r="KJ157" s="196"/>
      <c r="KK157" s="196"/>
      <c r="KL157" s="196"/>
      <c r="KM157" s="196"/>
      <c r="KN157" s="196"/>
      <c r="KO157" s="196"/>
      <c r="KP157" s="196"/>
      <c r="KQ157" s="196"/>
      <c r="KR157" s="196"/>
      <c r="KS157" s="196"/>
      <c r="KT157" s="196"/>
      <c r="KU157" s="196"/>
      <c r="KV157" s="196"/>
      <c r="KW157" s="196"/>
      <c r="KX157" s="196"/>
      <c r="KY157" s="196"/>
      <c r="KZ157" s="196"/>
      <c r="LA157" s="196"/>
      <c r="LB157" s="196"/>
      <c r="LC157" s="196"/>
      <c r="LD157" s="196"/>
      <c r="LE157" s="196"/>
      <c r="LF157" s="196"/>
      <c r="LG157" s="196"/>
      <c r="LH157" s="196"/>
      <c r="LI157" s="196"/>
      <c r="LJ157" s="196"/>
      <c r="LK157" s="196"/>
      <c r="LL157" s="196"/>
      <c r="LM157" s="196"/>
      <c r="LN157" s="196"/>
      <c r="LO157" s="196"/>
      <c r="LP157" s="196"/>
      <c r="LQ157" s="196"/>
      <c r="LR157" s="196"/>
      <c r="LS157" s="196"/>
      <c r="LT157" s="196"/>
      <c r="LU157" s="196"/>
      <c r="LV157" s="196"/>
      <c r="LW157" s="196"/>
      <c r="LX157" s="196"/>
      <c r="LY157" s="196"/>
      <c r="LZ157" s="196"/>
      <c r="MA157" s="196"/>
      <c r="MB157" s="196"/>
      <c r="MC157" s="196"/>
      <c r="MD157" s="196"/>
      <c r="ME157" s="196"/>
      <c r="MF157" s="196"/>
      <c r="MG157" s="196"/>
      <c r="MH157" s="196"/>
      <c r="MI157" s="196"/>
      <c r="MJ157" s="196"/>
      <c r="MK157" s="196"/>
      <c r="ML157" s="196"/>
      <c r="MM157" s="196"/>
      <c r="MN157" s="196"/>
      <c r="MO157" s="196"/>
      <c r="MP157" s="196"/>
      <c r="MQ157" s="196"/>
      <c r="MR157" s="196"/>
      <c r="MS157" s="196"/>
      <c r="MT157" s="196"/>
      <c r="MU157" s="196"/>
      <c r="MV157" s="196"/>
      <c r="MW157" s="196"/>
      <c r="MX157" s="196"/>
      <c r="MY157" s="196"/>
      <c r="MZ157" s="196"/>
      <c r="NA157" s="196"/>
      <c r="NB157" s="196"/>
      <c r="NC157" s="196"/>
      <c r="ND157" s="196"/>
      <c r="NE157" s="196"/>
      <c r="NF157" s="196"/>
      <c r="NG157" s="196"/>
      <c r="NH157" s="196"/>
      <c r="NI157" s="196"/>
      <c r="NJ157" s="196"/>
      <c r="NK157" s="196"/>
      <c r="NL157" s="196"/>
      <c r="NM157" s="196"/>
      <c r="NN157" s="196"/>
      <c r="NO157" s="196"/>
      <c r="NP157" s="196"/>
      <c r="NQ157" s="196"/>
      <c r="NR157" s="196"/>
      <c r="NS157" s="196"/>
      <c r="NT157" s="196"/>
      <c r="NU157" s="196"/>
      <c r="NV157" s="196"/>
      <c r="NW157" s="196"/>
      <c r="NX157" s="196"/>
      <c r="NY157" s="196"/>
      <c r="NZ157" s="196"/>
      <c r="OA157" s="196"/>
      <c r="OB157" s="196"/>
      <c r="OC157" s="196"/>
      <c r="OD157" s="196"/>
      <c r="OE157" s="196"/>
      <c r="OF157" s="196"/>
      <c r="OG157" s="196"/>
      <c r="OH157" s="196"/>
      <c r="OI157" s="196"/>
      <c r="OJ157" s="196"/>
      <c r="OK157" s="196"/>
      <c r="OL157" s="196"/>
      <c r="OM157" s="196"/>
      <c r="ON157" s="196"/>
      <c r="OO157" s="196"/>
      <c r="OP157" s="196"/>
      <c r="OQ157" s="196"/>
      <c r="OR157" s="196"/>
      <c r="OS157" s="196"/>
      <c r="OT157" s="196"/>
      <c r="OU157" s="196"/>
      <c r="OV157" s="196"/>
      <c r="OW157" s="196"/>
      <c r="OX157" s="196"/>
      <c r="OY157" s="196"/>
      <c r="OZ157" s="196"/>
      <c r="PA157" s="196"/>
      <c r="PB157" s="196"/>
      <c r="PC157" s="196"/>
      <c r="PD157" s="196"/>
      <c r="PE157" s="196"/>
      <c r="PF157" s="196"/>
      <c r="PG157" s="196"/>
      <c r="PH157" s="196"/>
      <c r="PI157" s="196"/>
      <c r="PJ157" s="196"/>
      <c r="PK157" s="196"/>
      <c r="PL157" s="196"/>
      <c r="PM157" s="196"/>
      <c r="PN157" s="196"/>
      <c r="PO157" s="196"/>
      <c r="PP157" s="196"/>
      <c r="PQ157" s="196"/>
      <c r="PR157" s="196"/>
      <c r="PS157" s="196"/>
      <c r="PT157" s="196"/>
      <c r="PU157" s="196"/>
      <c r="PV157" s="196"/>
      <c r="PW157" s="196"/>
      <c r="PX157" s="196"/>
      <c r="PY157" s="196"/>
      <c r="PZ157" s="196"/>
      <c r="QA157" s="196"/>
      <c r="QB157" s="196"/>
      <c r="QC157" s="196"/>
      <c r="QD157" s="196"/>
      <c r="QE157" s="196"/>
      <c r="QF157" s="196"/>
      <c r="QG157" s="196"/>
      <c r="QH157" s="196"/>
      <c r="QI157" s="196"/>
      <c r="QJ157" s="196"/>
      <c r="QK157" s="196"/>
      <c r="QL157" s="196"/>
      <c r="QM157" s="196"/>
      <c r="QN157" s="196"/>
      <c r="QO157" s="196"/>
      <c r="QP157" s="196"/>
      <c r="QQ157" s="196"/>
      <c r="QR157" s="196"/>
      <c r="QS157" s="196"/>
      <c r="QT157" s="196"/>
      <c r="QU157" s="196"/>
      <c r="QV157" s="196"/>
      <c r="QW157" s="196"/>
      <c r="QX157" s="196"/>
      <c r="QY157" s="196"/>
      <c r="QZ157" s="196"/>
      <c r="RA157" s="196"/>
      <c r="RB157" s="196"/>
      <c r="RC157" s="196"/>
      <c r="RD157" s="196"/>
      <c r="RE157" s="196"/>
      <c r="RF157" s="196"/>
      <c r="RG157" s="196"/>
      <c r="RH157" s="196"/>
      <c r="RI157" s="196"/>
      <c r="RJ157" s="196"/>
      <c r="RK157" s="196"/>
      <c r="RL157" s="196"/>
      <c r="RM157" s="196"/>
      <c r="RN157" s="196"/>
      <c r="RO157" s="196"/>
      <c r="RP157" s="196"/>
      <c r="RQ157" s="196"/>
      <c r="RR157" s="196"/>
      <c r="RS157" s="196"/>
      <c r="RT157" s="196"/>
      <c r="RU157" s="196"/>
      <c r="RV157" s="196"/>
      <c r="RW157" s="196"/>
      <c r="RX157" s="196"/>
      <c r="RY157" s="196"/>
      <c r="RZ157" s="196"/>
      <c r="SA157" s="196"/>
      <c r="SB157" s="196"/>
      <c r="SC157" s="196"/>
      <c r="SD157" s="196"/>
      <c r="SE157" s="196"/>
      <c r="SF157" s="196"/>
      <c r="SG157" s="196"/>
      <c r="SH157" s="196"/>
      <c r="SI157" s="196"/>
      <c r="SJ157" s="196"/>
      <c r="SK157" s="196"/>
      <c r="SL157" s="196"/>
      <c r="SM157" s="196"/>
      <c r="SN157" s="196"/>
      <c r="SO157" s="196"/>
      <c r="SP157" s="196"/>
      <c r="SQ157" s="196"/>
      <c r="SR157" s="196"/>
      <c r="SS157" s="196"/>
      <c r="ST157" s="196"/>
      <c r="SU157" s="196"/>
      <c r="SV157" s="196"/>
      <c r="SW157" s="196"/>
      <c r="SX157" s="196"/>
      <c r="SY157" s="196"/>
      <c r="SZ157" s="196"/>
      <c r="TA157" s="196"/>
      <c r="TB157" s="196"/>
      <c r="TC157" s="196"/>
      <c r="TD157" s="196"/>
      <c r="TE157" s="196"/>
      <c r="TF157" s="196"/>
      <c r="TG157" s="196"/>
      <c r="TH157" s="196"/>
      <c r="TI157" s="196"/>
      <c r="TJ157" s="196"/>
      <c r="TK157" s="196"/>
      <c r="TL157" s="196"/>
      <c r="TM157" s="196"/>
      <c r="TN157" s="196"/>
      <c r="TO157" s="196"/>
      <c r="TP157" s="196"/>
      <c r="TQ157" s="196"/>
      <c r="TR157" s="196"/>
      <c r="TS157" s="196"/>
      <c r="TT157" s="196"/>
      <c r="TU157" s="196"/>
      <c r="TV157" s="196"/>
      <c r="TW157" s="196"/>
      <c r="TX157" s="196"/>
      <c r="TY157" s="196"/>
      <c r="TZ157" s="196"/>
      <c r="UA157" s="196"/>
      <c r="UB157" s="196"/>
      <c r="UC157" s="196"/>
      <c r="UD157" s="196"/>
      <c r="UE157" s="196"/>
      <c r="UF157" s="196"/>
      <c r="UG157" s="196"/>
      <c r="UH157" s="196"/>
      <c r="UI157" s="196"/>
      <c r="UJ157" s="196"/>
      <c r="UK157" s="196"/>
      <c r="UL157" s="196"/>
      <c r="UM157" s="196"/>
      <c r="UN157" s="196"/>
      <c r="UO157" s="196"/>
      <c r="UP157" s="196"/>
      <c r="UQ157" s="196"/>
      <c r="UR157" s="196"/>
      <c r="US157" s="196"/>
      <c r="UT157" s="196"/>
      <c r="UU157" s="196"/>
      <c r="UV157" s="196"/>
      <c r="UW157" s="196"/>
      <c r="UX157" s="196"/>
      <c r="UY157" s="196"/>
      <c r="UZ157" s="196"/>
      <c r="VA157" s="196"/>
      <c r="VB157" s="196"/>
      <c r="VC157" s="196"/>
      <c r="VD157" s="196"/>
      <c r="VE157" s="196"/>
      <c r="VF157" s="196"/>
      <c r="VG157" s="196"/>
      <c r="VH157" s="196"/>
      <c r="VI157" s="196"/>
      <c r="VJ157" s="196"/>
      <c r="VK157" s="196"/>
      <c r="VL157" s="196"/>
      <c r="VM157" s="196"/>
      <c r="VN157" s="196"/>
      <c r="VO157" s="196"/>
      <c r="VP157" s="196"/>
      <c r="VQ157" s="196"/>
      <c r="VR157" s="196"/>
      <c r="VS157" s="196"/>
      <c r="VT157" s="196"/>
      <c r="VU157" s="196"/>
      <c r="VV157" s="196"/>
      <c r="VW157" s="196"/>
      <c r="VX157" s="196"/>
      <c r="VY157" s="196"/>
      <c r="VZ157" s="196"/>
      <c r="WA157" s="196"/>
      <c r="WB157" s="196"/>
      <c r="WC157" s="196"/>
      <c r="WD157" s="196"/>
      <c r="WE157" s="196"/>
      <c r="WF157" s="196"/>
      <c r="WG157" s="196"/>
      <c r="WH157" s="196"/>
      <c r="WI157" s="196"/>
      <c r="WJ157" s="196"/>
      <c r="WK157" s="196"/>
      <c r="WL157" s="196"/>
      <c r="WM157" s="196"/>
      <c r="WN157" s="196"/>
      <c r="WO157" s="196"/>
      <c r="WP157" s="196"/>
      <c r="WQ157" s="196"/>
      <c r="WR157" s="196"/>
      <c r="WS157" s="196"/>
      <c r="WT157" s="196"/>
      <c r="WU157" s="196"/>
      <c r="WV157" s="196"/>
      <c r="WW157" s="196"/>
      <c r="WX157" s="196"/>
      <c r="WY157" s="196"/>
      <c r="WZ157" s="196"/>
      <c r="XA157" s="196"/>
      <c r="XB157" s="196"/>
      <c r="XC157" s="196"/>
      <c r="XD157" s="196"/>
      <c r="XE157" s="196"/>
      <c r="XF157" s="196"/>
      <c r="XG157" s="196"/>
      <c r="XH157" s="196"/>
      <c r="XI157" s="196"/>
      <c r="XJ157" s="196"/>
      <c r="XK157" s="196"/>
      <c r="XL157" s="196"/>
      <c r="XM157" s="196"/>
      <c r="XN157" s="196"/>
      <c r="XO157" s="196"/>
      <c r="XP157" s="196"/>
      <c r="XQ157" s="196"/>
      <c r="XR157" s="196"/>
      <c r="XS157" s="196"/>
      <c r="XT157" s="196"/>
      <c r="XU157" s="196"/>
      <c r="XV157" s="196"/>
      <c r="XW157" s="196"/>
      <c r="XX157" s="196"/>
      <c r="XY157" s="196"/>
      <c r="XZ157" s="196"/>
      <c r="YA157" s="196"/>
      <c r="YB157" s="196"/>
      <c r="YC157" s="196"/>
      <c r="YD157" s="196"/>
      <c r="YE157" s="196"/>
      <c r="YF157" s="196"/>
      <c r="YG157" s="196"/>
      <c r="YH157" s="196"/>
      <c r="YI157" s="196"/>
      <c r="YJ157" s="196"/>
      <c r="YK157" s="196"/>
      <c r="YL157" s="196"/>
      <c r="YM157" s="196"/>
      <c r="YN157" s="196"/>
      <c r="YO157" s="196"/>
      <c r="YP157" s="196"/>
      <c r="YQ157" s="196"/>
      <c r="YR157" s="196"/>
      <c r="YS157" s="196"/>
      <c r="YT157" s="196"/>
      <c r="YU157" s="196"/>
      <c r="YV157" s="196"/>
      <c r="YW157" s="196"/>
      <c r="YX157" s="196"/>
      <c r="YY157" s="196"/>
      <c r="YZ157" s="196"/>
      <c r="ZA157" s="196"/>
      <c r="ZB157" s="196"/>
      <c r="ZC157" s="196"/>
      <c r="ZD157" s="196"/>
      <c r="ZE157" s="196"/>
      <c r="ZF157" s="196"/>
      <c r="ZG157" s="196"/>
      <c r="ZH157" s="196"/>
      <c r="ZI157" s="196"/>
      <c r="ZJ157" s="196"/>
      <c r="ZK157" s="196"/>
      <c r="ZL157" s="196"/>
      <c r="ZM157" s="196"/>
      <c r="ZN157" s="196"/>
      <c r="ZO157" s="196"/>
      <c r="ZP157" s="196"/>
      <c r="ZQ157" s="196"/>
      <c r="ZR157" s="196"/>
      <c r="ZS157" s="196"/>
      <c r="ZT157" s="196"/>
      <c r="ZU157" s="196"/>
      <c r="ZV157" s="196"/>
      <c r="ZW157" s="196"/>
      <c r="ZX157" s="196"/>
      <c r="ZY157" s="196"/>
      <c r="ZZ157" s="196"/>
      <c r="AAA157" s="196"/>
      <c r="AAB157" s="196"/>
      <c r="AAC157" s="196"/>
      <c r="AAD157" s="196"/>
      <c r="AAE157" s="196"/>
      <c r="AAF157" s="196"/>
      <c r="AAG157" s="196"/>
      <c r="AAH157" s="196"/>
      <c r="AAI157" s="196"/>
      <c r="AAJ157" s="196"/>
      <c r="AAK157" s="196"/>
      <c r="AAL157" s="196"/>
      <c r="AAM157" s="196"/>
      <c r="AAN157" s="196"/>
      <c r="AAO157" s="196"/>
      <c r="AAP157" s="196"/>
      <c r="AAQ157" s="196"/>
      <c r="AAR157" s="196"/>
      <c r="AAS157" s="196"/>
      <c r="AAT157" s="196"/>
      <c r="AAU157" s="196"/>
      <c r="AAV157" s="196"/>
      <c r="AAW157" s="196"/>
      <c r="AAX157" s="196"/>
      <c r="AAY157" s="196"/>
      <c r="AAZ157" s="196"/>
      <c r="ABA157" s="196"/>
      <c r="ABB157" s="196"/>
      <c r="ABC157" s="196"/>
      <c r="ABD157" s="196"/>
      <c r="ABE157" s="196"/>
      <c r="ABF157" s="196"/>
      <c r="ABG157" s="196"/>
      <c r="ABH157" s="196"/>
      <c r="ABI157" s="196"/>
      <c r="ABJ157" s="196"/>
      <c r="ABK157" s="196"/>
      <c r="ABL157" s="196"/>
      <c r="ABM157" s="196"/>
      <c r="ABN157" s="196"/>
      <c r="ABO157" s="196"/>
      <c r="ABP157" s="196"/>
      <c r="ABQ157" s="196"/>
      <c r="ABR157" s="196"/>
      <c r="ABS157" s="196"/>
      <c r="ABT157" s="196"/>
      <c r="ABU157" s="196"/>
      <c r="ABV157" s="196"/>
      <c r="ABW157" s="196"/>
      <c r="ABX157" s="196"/>
      <c r="ABY157" s="196"/>
      <c r="ABZ157" s="196"/>
      <c r="ACA157" s="196"/>
      <c r="ACB157" s="196"/>
      <c r="ACC157" s="196"/>
      <c r="ACD157" s="196"/>
      <c r="ACE157" s="196"/>
      <c r="ACF157" s="196"/>
      <c r="ACG157" s="196"/>
      <c r="ACH157" s="196"/>
      <c r="ACI157" s="196"/>
      <c r="ACJ157" s="196"/>
      <c r="ACK157" s="196"/>
      <c r="ACL157" s="196"/>
      <c r="ACM157" s="196"/>
      <c r="ACN157" s="196"/>
      <c r="ACO157" s="196"/>
      <c r="ACP157" s="196"/>
      <c r="ACQ157" s="196"/>
      <c r="ACR157" s="196"/>
      <c r="ACS157" s="196"/>
      <c r="ACT157" s="196"/>
      <c r="ACU157" s="196"/>
      <c r="ACV157" s="196"/>
      <c r="ACW157" s="196"/>
      <c r="ACX157" s="196"/>
      <c r="ACY157" s="196"/>
      <c r="ACZ157" s="196"/>
      <c r="ADA157" s="196"/>
      <c r="ADB157" s="196"/>
      <c r="ADC157" s="196"/>
      <c r="ADD157" s="196"/>
      <c r="ADE157" s="196"/>
      <c r="ADF157" s="196"/>
      <c r="ADG157" s="196"/>
      <c r="ADH157" s="196"/>
      <c r="ADI157" s="196"/>
      <c r="ADJ157" s="196"/>
      <c r="ADK157" s="196"/>
      <c r="ADL157" s="196"/>
      <c r="ADM157" s="196"/>
      <c r="ADN157" s="196"/>
      <c r="ADO157" s="196"/>
      <c r="ADP157" s="196"/>
      <c r="ADQ157" s="196"/>
      <c r="ADR157" s="196"/>
      <c r="ADS157" s="196"/>
      <c r="ADT157" s="196"/>
      <c r="ADU157" s="196"/>
      <c r="ADV157" s="196"/>
      <c r="ADW157" s="196"/>
      <c r="ADX157" s="196"/>
      <c r="ADY157" s="196"/>
      <c r="ADZ157" s="196"/>
      <c r="AEA157" s="196"/>
      <c r="AEB157" s="196"/>
      <c r="AEC157" s="196"/>
      <c r="AED157" s="196"/>
      <c r="AEE157" s="196"/>
      <c r="AEF157" s="196"/>
      <c r="AEG157" s="196"/>
      <c r="AEH157" s="196"/>
      <c r="AEI157" s="196"/>
      <c r="AEJ157" s="196"/>
      <c r="AEK157" s="196"/>
      <c r="AEL157" s="196"/>
      <c r="AEM157" s="196"/>
      <c r="AEN157" s="196"/>
      <c r="AEO157" s="196"/>
      <c r="AEP157" s="196"/>
      <c r="AEQ157" s="196"/>
      <c r="AER157" s="196"/>
      <c r="AES157" s="196"/>
      <c r="AET157" s="196"/>
      <c r="AEU157" s="196"/>
      <c r="AEV157" s="196"/>
      <c r="AEW157" s="196"/>
      <c r="AEX157" s="196"/>
      <c r="AEY157" s="196"/>
      <c r="AEZ157" s="196"/>
      <c r="AFA157" s="196"/>
      <c r="AFB157" s="196"/>
      <c r="AFC157" s="196"/>
      <c r="AFD157" s="196"/>
      <c r="AFE157" s="196"/>
      <c r="AFF157" s="196"/>
      <c r="AFG157" s="196"/>
      <c r="AFH157" s="196"/>
      <c r="AFI157" s="196"/>
      <c r="AFJ157" s="196"/>
      <c r="AFK157" s="196"/>
      <c r="AFL157" s="196"/>
      <c r="AFM157" s="196"/>
      <c r="AFN157" s="196"/>
      <c r="AFO157" s="196"/>
      <c r="AFP157" s="196"/>
      <c r="AFQ157" s="196"/>
      <c r="AFR157" s="196"/>
      <c r="AFS157" s="196"/>
      <c r="AFT157" s="196"/>
      <c r="AFU157" s="196"/>
      <c r="AFV157" s="196"/>
      <c r="AFW157" s="196"/>
      <c r="AFX157" s="196"/>
      <c r="AFY157" s="196"/>
      <c r="AFZ157" s="196"/>
      <c r="AGA157" s="196"/>
      <c r="AGB157" s="196"/>
      <c r="AGC157" s="196"/>
      <c r="AGD157" s="196"/>
      <c r="AGE157" s="196"/>
      <c r="AGF157" s="196"/>
      <c r="AGG157" s="196"/>
      <c r="AGH157" s="196"/>
      <c r="AGI157" s="196"/>
      <c r="AGJ157" s="196"/>
      <c r="AGK157" s="196"/>
      <c r="AGL157" s="196"/>
      <c r="AGM157" s="196"/>
      <c r="AGN157" s="196"/>
      <c r="AGO157" s="196"/>
      <c r="AGP157" s="196"/>
      <c r="AGQ157" s="196"/>
      <c r="AGR157" s="196"/>
      <c r="AGS157" s="196"/>
      <c r="AGT157" s="196"/>
      <c r="AGU157" s="196"/>
      <c r="AGV157" s="196"/>
      <c r="AGW157" s="196"/>
      <c r="AGX157" s="196"/>
      <c r="AGY157" s="196"/>
      <c r="AGZ157" s="196"/>
      <c r="AHA157" s="196"/>
      <c r="AHB157" s="196"/>
      <c r="AHC157" s="196"/>
      <c r="AHD157" s="196"/>
      <c r="AHE157" s="196"/>
      <c r="AHF157" s="196"/>
      <c r="AHG157" s="196"/>
      <c r="AHH157" s="196"/>
      <c r="AHI157" s="196"/>
      <c r="AHJ157" s="196"/>
      <c r="AHK157" s="196"/>
      <c r="AHL157" s="196"/>
      <c r="AHM157" s="196"/>
      <c r="AHN157" s="196"/>
      <c r="AHO157" s="196"/>
      <c r="AHP157" s="196"/>
      <c r="AHQ157" s="196"/>
      <c r="AHR157" s="196"/>
      <c r="AHS157" s="196"/>
      <c r="AHT157" s="196"/>
      <c r="AHU157" s="196"/>
      <c r="AHV157" s="196"/>
      <c r="AHW157" s="196"/>
      <c r="AHX157" s="196"/>
      <c r="AHY157" s="196"/>
      <c r="AHZ157" s="196"/>
      <c r="AIA157" s="196"/>
      <c r="AIB157" s="196"/>
      <c r="AIC157" s="196"/>
      <c r="AID157" s="196"/>
      <c r="AIE157" s="196"/>
      <c r="AIF157" s="196"/>
      <c r="AIG157" s="196"/>
      <c r="AIH157" s="196"/>
      <c r="AII157" s="196"/>
      <c r="AIJ157" s="196"/>
      <c r="AIK157" s="196"/>
      <c r="AIL157" s="196"/>
      <c r="AIM157" s="196"/>
      <c r="AIN157" s="196"/>
      <c r="AIO157" s="196"/>
      <c r="AIP157" s="196"/>
      <c r="AIQ157" s="196"/>
      <c r="AIR157" s="196"/>
      <c r="AIS157" s="196"/>
      <c r="AIT157" s="196"/>
      <c r="AIU157" s="196"/>
      <c r="AIV157" s="196"/>
      <c r="AIW157" s="196"/>
      <c r="AIX157" s="196"/>
      <c r="AIY157" s="196"/>
      <c r="AIZ157" s="196"/>
      <c r="AJA157" s="196"/>
      <c r="AJB157" s="196"/>
      <c r="AJC157" s="196"/>
      <c r="AJD157" s="196"/>
      <c r="AJE157" s="196"/>
      <c r="AJF157" s="196"/>
      <c r="AJG157" s="196"/>
      <c r="AJH157" s="196"/>
      <c r="AJI157" s="196"/>
      <c r="AJJ157" s="196"/>
      <c r="AJK157" s="196"/>
      <c r="AJL157" s="196"/>
      <c r="AJM157" s="196"/>
      <c r="AJN157" s="196"/>
      <c r="AJO157" s="196"/>
      <c r="AJP157" s="196"/>
      <c r="AJQ157" s="196"/>
      <c r="AJR157" s="196"/>
      <c r="AJS157" s="196"/>
      <c r="AJT157" s="196"/>
      <c r="AJU157" s="196"/>
      <c r="AJV157" s="196"/>
      <c r="AJW157" s="196"/>
      <c r="AJX157" s="196"/>
      <c r="AJY157" s="196"/>
      <c r="AJZ157" s="196"/>
      <c r="AKA157" s="196"/>
      <c r="AKB157" s="196"/>
      <c r="AKC157" s="196"/>
      <c r="AKD157" s="196"/>
      <c r="AKE157" s="196"/>
      <c r="AKF157" s="196"/>
      <c r="AKG157" s="196"/>
      <c r="AKH157" s="196"/>
      <c r="AKI157" s="196"/>
      <c r="AKJ157" s="196"/>
      <c r="AKK157" s="196"/>
      <c r="AKL157" s="196"/>
      <c r="AKM157" s="196"/>
      <c r="AKN157" s="196"/>
      <c r="AKO157" s="196"/>
      <c r="AKP157" s="196"/>
      <c r="AKQ157" s="196"/>
      <c r="AKR157" s="196"/>
      <c r="AKS157" s="196"/>
      <c r="AKT157" s="196"/>
      <c r="AKU157" s="196"/>
      <c r="AKV157" s="196"/>
      <c r="AKW157" s="196"/>
      <c r="AKX157" s="196"/>
      <c r="AKY157" s="196"/>
      <c r="AKZ157" s="196"/>
      <c r="ALA157" s="196"/>
      <c r="ALB157" s="196"/>
      <c r="ALC157" s="196"/>
      <c r="ALD157" s="196"/>
      <c r="ALE157" s="196"/>
      <c r="ALF157" s="196"/>
      <c r="ALG157" s="196"/>
      <c r="ALH157" s="196"/>
      <c r="ALI157" s="196"/>
      <c r="ALJ157" s="196"/>
      <c r="ALK157" s="196"/>
      <c r="ALL157" s="196"/>
      <c r="ALM157" s="196"/>
      <c r="ALN157" s="196"/>
      <c r="ALO157" s="196"/>
      <c r="ALP157" s="196"/>
      <c r="ALQ157" s="196"/>
      <c r="ALR157" s="196"/>
      <c r="ALS157" s="196"/>
      <c r="ALT157" s="196"/>
      <c r="ALU157" s="196"/>
      <c r="ALV157" s="196"/>
      <c r="ALW157" s="196"/>
      <c r="ALX157" s="196"/>
      <c r="ALY157" s="196"/>
      <c r="ALZ157" s="196"/>
      <c r="AMA157" s="196"/>
      <c r="AMB157" s="196"/>
      <c r="AMC157" s="196"/>
      <c r="AMD157" s="196"/>
      <c r="AME157" s="196"/>
      <c r="AMF157" s="196"/>
      <c r="AMG157" s="196"/>
      <c r="AMH157" s="196"/>
      <c r="AMI157" s="196"/>
      <c r="AMJ157" s="196"/>
    </row>
    <row r="158" customFormat="false" ht="15.75" hidden="false" customHeight="true" outlineLevel="0" collapsed="false">
      <c r="A158" s="196"/>
      <c r="B158" s="77"/>
      <c r="C158" s="263" t="s">
        <v>187</v>
      </c>
      <c r="D158" s="78"/>
      <c r="E158" s="78"/>
      <c r="F158" s="78"/>
      <c r="G158" s="10"/>
      <c r="H158" s="24"/>
      <c r="I158" s="263"/>
      <c r="J158" s="7"/>
      <c r="K158" s="7"/>
      <c r="L158" s="7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  <c r="AA158" s="196"/>
      <c r="AB158" s="196"/>
      <c r="AC158" s="196"/>
      <c r="AD158" s="196"/>
      <c r="AE158" s="196"/>
      <c r="AF158" s="196"/>
      <c r="AG158" s="196"/>
      <c r="AH158" s="196"/>
      <c r="AI158" s="196"/>
      <c r="AJ158" s="196"/>
      <c r="AK158" s="196"/>
      <c r="AL158" s="196"/>
      <c r="AM158" s="196"/>
      <c r="AN158" s="196"/>
      <c r="AO158" s="196"/>
      <c r="AP158" s="196"/>
      <c r="AQ158" s="196"/>
      <c r="AR158" s="196"/>
      <c r="AS158" s="196"/>
      <c r="AT158" s="196"/>
      <c r="AU158" s="196"/>
      <c r="AV158" s="196"/>
      <c r="AW158" s="196"/>
      <c r="AX158" s="196"/>
      <c r="AY158" s="196"/>
      <c r="AZ158" s="196"/>
      <c r="BA158" s="196"/>
      <c r="BB158" s="196"/>
      <c r="BC158" s="196"/>
      <c r="BD158" s="196"/>
      <c r="BE158" s="196"/>
      <c r="BF158" s="196"/>
      <c r="BG158" s="196"/>
      <c r="BH158" s="196"/>
      <c r="BI158" s="196"/>
      <c r="BJ158" s="196"/>
      <c r="BK158" s="196"/>
      <c r="BL158" s="196"/>
      <c r="BM158" s="196"/>
      <c r="BN158" s="196"/>
      <c r="BO158" s="196"/>
      <c r="BP158" s="196"/>
      <c r="BQ158" s="196"/>
      <c r="BR158" s="196"/>
      <c r="BS158" s="196"/>
      <c r="BT158" s="196"/>
      <c r="BU158" s="196"/>
      <c r="BV158" s="196"/>
      <c r="BW158" s="196"/>
      <c r="BX158" s="196"/>
      <c r="BY158" s="196"/>
      <c r="BZ158" s="196"/>
      <c r="CA158" s="196"/>
      <c r="CB158" s="196"/>
      <c r="CC158" s="196"/>
      <c r="CD158" s="196"/>
      <c r="CE158" s="196"/>
      <c r="CF158" s="196"/>
      <c r="CG158" s="196"/>
      <c r="CH158" s="196"/>
      <c r="CI158" s="196"/>
      <c r="CJ158" s="196"/>
      <c r="CK158" s="196"/>
      <c r="CL158" s="196"/>
      <c r="CM158" s="196"/>
      <c r="CN158" s="196"/>
      <c r="CO158" s="196"/>
      <c r="CP158" s="196"/>
      <c r="CQ158" s="196"/>
      <c r="CR158" s="196"/>
      <c r="CS158" s="196"/>
      <c r="CT158" s="196"/>
      <c r="CU158" s="196"/>
      <c r="CV158" s="196"/>
      <c r="CW158" s="196"/>
      <c r="CX158" s="196"/>
      <c r="CY158" s="196"/>
      <c r="CZ158" s="196"/>
      <c r="DA158" s="196"/>
      <c r="DB158" s="196"/>
      <c r="DC158" s="196"/>
      <c r="DD158" s="196"/>
      <c r="DE158" s="196"/>
      <c r="DF158" s="196"/>
      <c r="DG158" s="196"/>
      <c r="DH158" s="196"/>
      <c r="DI158" s="196"/>
      <c r="DJ158" s="196"/>
      <c r="DK158" s="196"/>
      <c r="DL158" s="196"/>
      <c r="DM158" s="196"/>
      <c r="DN158" s="196"/>
      <c r="DO158" s="196"/>
      <c r="DP158" s="196"/>
      <c r="DQ158" s="196"/>
      <c r="DR158" s="196"/>
      <c r="DS158" s="196"/>
      <c r="DT158" s="196"/>
      <c r="DU158" s="196"/>
      <c r="DV158" s="196"/>
      <c r="DW158" s="196"/>
      <c r="DX158" s="196"/>
      <c r="DY158" s="196"/>
      <c r="DZ158" s="196"/>
      <c r="EA158" s="196"/>
      <c r="EB158" s="196"/>
      <c r="EC158" s="196"/>
      <c r="ED158" s="196"/>
      <c r="EE158" s="196"/>
      <c r="EF158" s="196"/>
      <c r="EG158" s="196"/>
      <c r="EH158" s="196"/>
      <c r="EI158" s="196"/>
      <c r="EJ158" s="196"/>
      <c r="EK158" s="196"/>
      <c r="EL158" s="196"/>
      <c r="EM158" s="196"/>
      <c r="EN158" s="196"/>
      <c r="EO158" s="196"/>
      <c r="EP158" s="196"/>
      <c r="EQ158" s="196"/>
      <c r="ER158" s="196"/>
      <c r="ES158" s="196"/>
      <c r="ET158" s="196"/>
      <c r="EU158" s="196"/>
      <c r="EV158" s="196"/>
      <c r="EW158" s="196"/>
      <c r="EX158" s="196"/>
      <c r="EY158" s="196"/>
      <c r="EZ158" s="196"/>
      <c r="FA158" s="196"/>
      <c r="FB158" s="196"/>
      <c r="FC158" s="196"/>
      <c r="FD158" s="196"/>
      <c r="FE158" s="196"/>
      <c r="FF158" s="196"/>
      <c r="FG158" s="196"/>
      <c r="FH158" s="196"/>
      <c r="FI158" s="196"/>
      <c r="FJ158" s="196"/>
      <c r="FK158" s="196"/>
      <c r="FL158" s="196"/>
      <c r="FM158" s="196"/>
      <c r="FN158" s="196"/>
      <c r="FO158" s="196"/>
      <c r="FP158" s="196"/>
      <c r="FQ158" s="196"/>
      <c r="FR158" s="196"/>
      <c r="FS158" s="196"/>
      <c r="FT158" s="196"/>
      <c r="FU158" s="196"/>
      <c r="FV158" s="196"/>
      <c r="FW158" s="196"/>
      <c r="FX158" s="196"/>
      <c r="FY158" s="196"/>
      <c r="FZ158" s="196"/>
      <c r="GA158" s="196"/>
      <c r="GB158" s="196"/>
      <c r="GC158" s="196"/>
      <c r="GD158" s="196"/>
      <c r="GE158" s="196"/>
      <c r="GF158" s="196"/>
      <c r="GG158" s="196"/>
      <c r="GH158" s="196"/>
      <c r="GI158" s="196"/>
      <c r="GJ158" s="196"/>
      <c r="GK158" s="196"/>
      <c r="GL158" s="196"/>
      <c r="GM158" s="196"/>
      <c r="GN158" s="196"/>
      <c r="GO158" s="196"/>
      <c r="GP158" s="196"/>
      <c r="GQ158" s="196"/>
      <c r="GR158" s="196"/>
      <c r="GS158" s="196"/>
      <c r="GT158" s="196"/>
      <c r="GU158" s="196"/>
      <c r="GV158" s="196"/>
      <c r="GW158" s="196"/>
      <c r="GX158" s="196"/>
      <c r="GY158" s="196"/>
      <c r="GZ158" s="196"/>
      <c r="HA158" s="196"/>
      <c r="HB158" s="196"/>
      <c r="HC158" s="196"/>
      <c r="HD158" s="196"/>
      <c r="HE158" s="196"/>
      <c r="HF158" s="196"/>
      <c r="HG158" s="196"/>
      <c r="HH158" s="196"/>
      <c r="HI158" s="196"/>
      <c r="HJ158" s="196"/>
      <c r="HK158" s="196"/>
      <c r="HL158" s="196"/>
      <c r="HM158" s="196"/>
      <c r="HN158" s="196"/>
      <c r="HO158" s="196"/>
      <c r="HP158" s="196"/>
      <c r="HQ158" s="196"/>
      <c r="HR158" s="196"/>
      <c r="HS158" s="196"/>
      <c r="HT158" s="196"/>
      <c r="HU158" s="196"/>
      <c r="HV158" s="196"/>
      <c r="HW158" s="196"/>
      <c r="HX158" s="196"/>
      <c r="HY158" s="196"/>
      <c r="HZ158" s="196"/>
      <c r="IA158" s="196"/>
      <c r="IB158" s="196"/>
      <c r="IC158" s="196"/>
      <c r="ID158" s="196"/>
      <c r="IE158" s="196"/>
      <c r="IF158" s="196"/>
      <c r="IG158" s="196"/>
      <c r="IH158" s="196"/>
      <c r="II158" s="196"/>
      <c r="IJ158" s="196"/>
      <c r="IK158" s="196"/>
      <c r="IL158" s="196"/>
      <c r="IM158" s="196"/>
      <c r="IN158" s="196"/>
      <c r="IO158" s="196"/>
      <c r="IP158" s="196"/>
      <c r="IQ158" s="196"/>
      <c r="IR158" s="196"/>
      <c r="IS158" s="196"/>
      <c r="IT158" s="196"/>
      <c r="IU158" s="196"/>
      <c r="IV158" s="196"/>
      <c r="IW158" s="196"/>
      <c r="IX158" s="196"/>
      <c r="IY158" s="196"/>
      <c r="IZ158" s="196"/>
      <c r="JA158" s="196"/>
      <c r="JB158" s="196"/>
      <c r="JC158" s="196"/>
      <c r="JD158" s="196"/>
      <c r="JE158" s="196"/>
      <c r="JF158" s="196"/>
      <c r="JG158" s="196"/>
      <c r="JH158" s="196"/>
      <c r="JI158" s="196"/>
      <c r="JJ158" s="196"/>
      <c r="JK158" s="196"/>
      <c r="JL158" s="196"/>
      <c r="JM158" s="196"/>
      <c r="JN158" s="196"/>
      <c r="JO158" s="196"/>
      <c r="JP158" s="196"/>
      <c r="JQ158" s="196"/>
      <c r="JR158" s="196"/>
      <c r="JS158" s="196"/>
      <c r="JT158" s="196"/>
      <c r="JU158" s="196"/>
      <c r="JV158" s="196"/>
      <c r="JW158" s="196"/>
      <c r="JX158" s="196"/>
      <c r="JY158" s="196"/>
      <c r="JZ158" s="196"/>
      <c r="KA158" s="196"/>
      <c r="KB158" s="196"/>
      <c r="KC158" s="196"/>
      <c r="KD158" s="196"/>
      <c r="KE158" s="196"/>
      <c r="KF158" s="196"/>
      <c r="KG158" s="196"/>
      <c r="KH158" s="196"/>
      <c r="KI158" s="196"/>
      <c r="KJ158" s="196"/>
      <c r="KK158" s="196"/>
      <c r="KL158" s="196"/>
      <c r="KM158" s="196"/>
      <c r="KN158" s="196"/>
      <c r="KO158" s="196"/>
      <c r="KP158" s="196"/>
      <c r="KQ158" s="196"/>
      <c r="KR158" s="196"/>
      <c r="KS158" s="196"/>
      <c r="KT158" s="196"/>
      <c r="KU158" s="196"/>
      <c r="KV158" s="196"/>
      <c r="KW158" s="196"/>
      <c r="KX158" s="196"/>
      <c r="KY158" s="196"/>
      <c r="KZ158" s="196"/>
      <c r="LA158" s="196"/>
      <c r="LB158" s="196"/>
      <c r="LC158" s="196"/>
      <c r="LD158" s="196"/>
      <c r="LE158" s="196"/>
      <c r="LF158" s="196"/>
      <c r="LG158" s="196"/>
      <c r="LH158" s="196"/>
      <c r="LI158" s="196"/>
      <c r="LJ158" s="196"/>
      <c r="LK158" s="196"/>
      <c r="LL158" s="196"/>
      <c r="LM158" s="196"/>
      <c r="LN158" s="196"/>
      <c r="LO158" s="196"/>
      <c r="LP158" s="196"/>
      <c r="LQ158" s="196"/>
      <c r="LR158" s="196"/>
      <c r="LS158" s="196"/>
      <c r="LT158" s="196"/>
      <c r="LU158" s="196"/>
      <c r="LV158" s="196"/>
      <c r="LW158" s="196"/>
      <c r="LX158" s="196"/>
      <c r="LY158" s="196"/>
      <c r="LZ158" s="196"/>
      <c r="MA158" s="196"/>
      <c r="MB158" s="196"/>
      <c r="MC158" s="196"/>
      <c r="MD158" s="196"/>
      <c r="ME158" s="196"/>
      <c r="MF158" s="196"/>
      <c r="MG158" s="196"/>
      <c r="MH158" s="196"/>
      <c r="MI158" s="196"/>
      <c r="MJ158" s="196"/>
      <c r="MK158" s="196"/>
      <c r="ML158" s="196"/>
      <c r="MM158" s="196"/>
      <c r="MN158" s="196"/>
      <c r="MO158" s="196"/>
      <c r="MP158" s="196"/>
      <c r="MQ158" s="196"/>
      <c r="MR158" s="196"/>
      <c r="MS158" s="196"/>
      <c r="MT158" s="196"/>
      <c r="MU158" s="196"/>
      <c r="MV158" s="196"/>
      <c r="MW158" s="196"/>
      <c r="MX158" s="196"/>
      <c r="MY158" s="196"/>
      <c r="MZ158" s="196"/>
      <c r="NA158" s="196"/>
      <c r="NB158" s="196"/>
      <c r="NC158" s="196"/>
      <c r="ND158" s="196"/>
      <c r="NE158" s="196"/>
      <c r="NF158" s="196"/>
      <c r="NG158" s="196"/>
      <c r="NH158" s="196"/>
      <c r="NI158" s="196"/>
      <c r="NJ158" s="196"/>
      <c r="NK158" s="196"/>
      <c r="NL158" s="196"/>
      <c r="NM158" s="196"/>
      <c r="NN158" s="196"/>
      <c r="NO158" s="196"/>
      <c r="NP158" s="196"/>
      <c r="NQ158" s="196"/>
      <c r="NR158" s="196"/>
      <c r="NS158" s="196"/>
      <c r="NT158" s="196"/>
      <c r="NU158" s="196"/>
      <c r="NV158" s="196"/>
      <c r="NW158" s="196"/>
      <c r="NX158" s="196"/>
      <c r="NY158" s="196"/>
      <c r="NZ158" s="196"/>
      <c r="OA158" s="196"/>
      <c r="OB158" s="196"/>
      <c r="OC158" s="196"/>
      <c r="OD158" s="196"/>
      <c r="OE158" s="196"/>
      <c r="OF158" s="196"/>
      <c r="OG158" s="196"/>
      <c r="OH158" s="196"/>
      <c r="OI158" s="196"/>
      <c r="OJ158" s="196"/>
      <c r="OK158" s="196"/>
      <c r="OL158" s="196"/>
      <c r="OM158" s="196"/>
      <c r="ON158" s="196"/>
      <c r="OO158" s="196"/>
      <c r="OP158" s="196"/>
      <c r="OQ158" s="196"/>
      <c r="OR158" s="196"/>
      <c r="OS158" s="196"/>
      <c r="OT158" s="196"/>
      <c r="OU158" s="196"/>
      <c r="OV158" s="196"/>
      <c r="OW158" s="196"/>
      <c r="OX158" s="196"/>
      <c r="OY158" s="196"/>
      <c r="OZ158" s="196"/>
      <c r="PA158" s="196"/>
      <c r="PB158" s="196"/>
      <c r="PC158" s="196"/>
      <c r="PD158" s="196"/>
      <c r="PE158" s="196"/>
      <c r="PF158" s="196"/>
      <c r="PG158" s="196"/>
      <c r="PH158" s="196"/>
      <c r="PI158" s="196"/>
      <c r="PJ158" s="196"/>
      <c r="PK158" s="196"/>
      <c r="PL158" s="196"/>
      <c r="PM158" s="196"/>
      <c r="PN158" s="196"/>
      <c r="PO158" s="196"/>
      <c r="PP158" s="196"/>
      <c r="PQ158" s="196"/>
      <c r="PR158" s="196"/>
      <c r="PS158" s="196"/>
      <c r="PT158" s="196"/>
      <c r="PU158" s="196"/>
      <c r="PV158" s="196"/>
      <c r="PW158" s="196"/>
      <c r="PX158" s="196"/>
      <c r="PY158" s="196"/>
      <c r="PZ158" s="196"/>
      <c r="QA158" s="196"/>
      <c r="QB158" s="196"/>
      <c r="QC158" s="196"/>
      <c r="QD158" s="196"/>
      <c r="QE158" s="196"/>
      <c r="QF158" s="196"/>
      <c r="QG158" s="196"/>
      <c r="QH158" s="196"/>
      <c r="QI158" s="196"/>
      <c r="QJ158" s="196"/>
      <c r="QK158" s="196"/>
      <c r="QL158" s="196"/>
      <c r="QM158" s="196"/>
      <c r="QN158" s="196"/>
      <c r="QO158" s="196"/>
      <c r="QP158" s="196"/>
      <c r="QQ158" s="196"/>
      <c r="QR158" s="196"/>
      <c r="QS158" s="196"/>
      <c r="QT158" s="196"/>
      <c r="QU158" s="196"/>
      <c r="QV158" s="196"/>
      <c r="QW158" s="196"/>
      <c r="QX158" s="196"/>
      <c r="QY158" s="196"/>
      <c r="QZ158" s="196"/>
      <c r="RA158" s="196"/>
      <c r="RB158" s="196"/>
      <c r="RC158" s="196"/>
      <c r="RD158" s="196"/>
      <c r="RE158" s="196"/>
      <c r="RF158" s="196"/>
      <c r="RG158" s="196"/>
      <c r="RH158" s="196"/>
      <c r="RI158" s="196"/>
      <c r="RJ158" s="196"/>
      <c r="RK158" s="196"/>
      <c r="RL158" s="196"/>
      <c r="RM158" s="196"/>
      <c r="RN158" s="196"/>
      <c r="RO158" s="196"/>
      <c r="RP158" s="196"/>
      <c r="RQ158" s="196"/>
      <c r="RR158" s="196"/>
      <c r="RS158" s="196"/>
      <c r="RT158" s="196"/>
      <c r="RU158" s="196"/>
      <c r="RV158" s="196"/>
      <c r="RW158" s="196"/>
      <c r="RX158" s="196"/>
      <c r="RY158" s="196"/>
      <c r="RZ158" s="196"/>
      <c r="SA158" s="196"/>
      <c r="SB158" s="196"/>
      <c r="SC158" s="196"/>
      <c r="SD158" s="196"/>
      <c r="SE158" s="196"/>
      <c r="SF158" s="196"/>
      <c r="SG158" s="196"/>
      <c r="SH158" s="196"/>
      <c r="SI158" s="196"/>
      <c r="SJ158" s="196"/>
      <c r="SK158" s="196"/>
      <c r="SL158" s="196"/>
      <c r="SM158" s="196"/>
      <c r="SN158" s="196"/>
      <c r="SO158" s="196"/>
      <c r="SP158" s="196"/>
      <c r="SQ158" s="196"/>
      <c r="SR158" s="196"/>
      <c r="SS158" s="196"/>
      <c r="ST158" s="196"/>
      <c r="SU158" s="196"/>
      <c r="SV158" s="196"/>
      <c r="SW158" s="196"/>
      <c r="SX158" s="196"/>
      <c r="SY158" s="196"/>
      <c r="SZ158" s="196"/>
      <c r="TA158" s="196"/>
      <c r="TB158" s="196"/>
      <c r="TC158" s="196"/>
      <c r="TD158" s="196"/>
      <c r="TE158" s="196"/>
      <c r="TF158" s="196"/>
      <c r="TG158" s="196"/>
      <c r="TH158" s="196"/>
      <c r="TI158" s="196"/>
      <c r="TJ158" s="196"/>
      <c r="TK158" s="196"/>
      <c r="TL158" s="196"/>
      <c r="TM158" s="196"/>
      <c r="TN158" s="196"/>
      <c r="TO158" s="196"/>
      <c r="TP158" s="196"/>
      <c r="TQ158" s="196"/>
      <c r="TR158" s="196"/>
      <c r="TS158" s="196"/>
      <c r="TT158" s="196"/>
      <c r="TU158" s="196"/>
      <c r="TV158" s="196"/>
      <c r="TW158" s="196"/>
      <c r="TX158" s="196"/>
      <c r="TY158" s="196"/>
      <c r="TZ158" s="196"/>
      <c r="UA158" s="196"/>
      <c r="UB158" s="196"/>
      <c r="UC158" s="196"/>
      <c r="UD158" s="196"/>
      <c r="UE158" s="196"/>
      <c r="UF158" s="196"/>
      <c r="UG158" s="196"/>
      <c r="UH158" s="196"/>
      <c r="UI158" s="196"/>
      <c r="UJ158" s="196"/>
      <c r="UK158" s="196"/>
      <c r="UL158" s="196"/>
      <c r="UM158" s="196"/>
      <c r="UN158" s="196"/>
      <c r="UO158" s="196"/>
      <c r="UP158" s="196"/>
      <c r="UQ158" s="196"/>
      <c r="UR158" s="196"/>
      <c r="US158" s="196"/>
      <c r="UT158" s="196"/>
      <c r="UU158" s="196"/>
      <c r="UV158" s="196"/>
      <c r="UW158" s="196"/>
      <c r="UX158" s="196"/>
      <c r="UY158" s="196"/>
      <c r="UZ158" s="196"/>
      <c r="VA158" s="196"/>
      <c r="VB158" s="196"/>
      <c r="VC158" s="196"/>
      <c r="VD158" s="196"/>
      <c r="VE158" s="196"/>
      <c r="VF158" s="196"/>
      <c r="VG158" s="196"/>
      <c r="VH158" s="196"/>
      <c r="VI158" s="196"/>
      <c r="VJ158" s="196"/>
      <c r="VK158" s="196"/>
      <c r="VL158" s="196"/>
      <c r="VM158" s="196"/>
      <c r="VN158" s="196"/>
      <c r="VO158" s="196"/>
      <c r="VP158" s="196"/>
      <c r="VQ158" s="196"/>
      <c r="VR158" s="196"/>
      <c r="VS158" s="196"/>
      <c r="VT158" s="196"/>
      <c r="VU158" s="196"/>
      <c r="VV158" s="196"/>
      <c r="VW158" s="196"/>
      <c r="VX158" s="196"/>
      <c r="VY158" s="196"/>
      <c r="VZ158" s="196"/>
      <c r="WA158" s="196"/>
      <c r="WB158" s="196"/>
      <c r="WC158" s="196"/>
      <c r="WD158" s="196"/>
      <c r="WE158" s="196"/>
      <c r="WF158" s="196"/>
      <c r="WG158" s="196"/>
      <c r="WH158" s="196"/>
      <c r="WI158" s="196"/>
      <c r="WJ158" s="196"/>
      <c r="WK158" s="196"/>
      <c r="WL158" s="196"/>
      <c r="WM158" s="196"/>
      <c r="WN158" s="196"/>
      <c r="WO158" s="196"/>
      <c r="WP158" s="196"/>
      <c r="WQ158" s="196"/>
      <c r="WR158" s="196"/>
      <c r="WS158" s="196"/>
      <c r="WT158" s="196"/>
      <c r="WU158" s="196"/>
      <c r="WV158" s="196"/>
      <c r="WW158" s="196"/>
      <c r="WX158" s="196"/>
      <c r="WY158" s="196"/>
      <c r="WZ158" s="196"/>
      <c r="XA158" s="196"/>
      <c r="XB158" s="196"/>
      <c r="XC158" s="196"/>
      <c r="XD158" s="196"/>
      <c r="XE158" s="196"/>
      <c r="XF158" s="196"/>
      <c r="XG158" s="196"/>
      <c r="XH158" s="196"/>
      <c r="XI158" s="196"/>
      <c r="XJ158" s="196"/>
      <c r="XK158" s="196"/>
      <c r="XL158" s="196"/>
      <c r="XM158" s="196"/>
      <c r="XN158" s="196"/>
      <c r="XO158" s="196"/>
      <c r="XP158" s="196"/>
      <c r="XQ158" s="196"/>
      <c r="XR158" s="196"/>
      <c r="XS158" s="196"/>
      <c r="XT158" s="196"/>
      <c r="XU158" s="196"/>
      <c r="XV158" s="196"/>
      <c r="XW158" s="196"/>
      <c r="XX158" s="196"/>
      <c r="XY158" s="196"/>
      <c r="XZ158" s="196"/>
      <c r="YA158" s="196"/>
      <c r="YB158" s="196"/>
      <c r="YC158" s="196"/>
      <c r="YD158" s="196"/>
      <c r="YE158" s="196"/>
      <c r="YF158" s="196"/>
      <c r="YG158" s="196"/>
      <c r="YH158" s="196"/>
      <c r="YI158" s="196"/>
      <c r="YJ158" s="196"/>
      <c r="YK158" s="196"/>
      <c r="YL158" s="196"/>
      <c r="YM158" s="196"/>
      <c r="YN158" s="196"/>
      <c r="YO158" s="196"/>
      <c r="YP158" s="196"/>
      <c r="YQ158" s="196"/>
      <c r="YR158" s="196"/>
      <c r="YS158" s="196"/>
      <c r="YT158" s="196"/>
      <c r="YU158" s="196"/>
      <c r="YV158" s="196"/>
      <c r="YW158" s="196"/>
      <c r="YX158" s="196"/>
      <c r="YY158" s="196"/>
      <c r="YZ158" s="196"/>
      <c r="ZA158" s="196"/>
      <c r="ZB158" s="196"/>
      <c r="ZC158" s="196"/>
      <c r="ZD158" s="196"/>
      <c r="ZE158" s="196"/>
      <c r="ZF158" s="196"/>
      <c r="ZG158" s="196"/>
      <c r="ZH158" s="196"/>
      <c r="ZI158" s="196"/>
      <c r="ZJ158" s="196"/>
      <c r="ZK158" s="196"/>
      <c r="ZL158" s="196"/>
      <c r="ZM158" s="196"/>
      <c r="ZN158" s="196"/>
      <c r="ZO158" s="196"/>
      <c r="ZP158" s="196"/>
      <c r="ZQ158" s="196"/>
      <c r="ZR158" s="196"/>
      <c r="ZS158" s="196"/>
      <c r="ZT158" s="196"/>
      <c r="ZU158" s="196"/>
      <c r="ZV158" s="196"/>
      <c r="ZW158" s="196"/>
      <c r="ZX158" s="196"/>
      <c r="ZY158" s="196"/>
      <c r="ZZ158" s="196"/>
      <c r="AAA158" s="196"/>
      <c r="AAB158" s="196"/>
      <c r="AAC158" s="196"/>
      <c r="AAD158" s="196"/>
      <c r="AAE158" s="196"/>
      <c r="AAF158" s="196"/>
      <c r="AAG158" s="196"/>
      <c r="AAH158" s="196"/>
      <c r="AAI158" s="196"/>
      <c r="AAJ158" s="196"/>
      <c r="AAK158" s="196"/>
      <c r="AAL158" s="196"/>
      <c r="AAM158" s="196"/>
      <c r="AAN158" s="196"/>
      <c r="AAO158" s="196"/>
      <c r="AAP158" s="196"/>
      <c r="AAQ158" s="196"/>
      <c r="AAR158" s="196"/>
      <c r="AAS158" s="196"/>
      <c r="AAT158" s="196"/>
      <c r="AAU158" s="196"/>
      <c r="AAV158" s="196"/>
      <c r="AAW158" s="196"/>
      <c r="AAX158" s="196"/>
      <c r="AAY158" s="196"/>
      <c r="AAZ158" s="196"/>
      <c r="ABA158" s="196"/>
      <c r="ABB158" s="196"/>
      <c r="ABC158" s="196"/>
      <c r="ABD158" s="196"/>
      <c r="ABE158" s="196"/>
      <c r="ABF158" s="196"/>
      <c r="ABG158" s="196"/>
      <c r="ABH158" s="196"/>
      <c r="ABI158" s="196"/>
      <c r="ABJ158" s="196"/>
      <c r="ABK158" s="196"/>
      <c r="ABL158" s="196"/>
      <c r="ABM158" s="196"/>
      <c r="ABN158" s="196"/>
      <c r="ABO158" s="196"/>
      <c r="ABP158" s="196"/>
      <c r="ABQ158" s="196"/>
      <c r="ABR158" s="196"/>
      <c r="ABS158" s="196"/>
      <c r="ABT158" s="196"/>
      <c r="ABU158" s="196"/>
      <c r="ABV158" s="196"/>
      <c r="ABW158" s="196"/>
      <c r="ABX158" s="196"/>
      <c r="ABY158" s="196"/>
      <c r="ABZ158" s="196"/>
      <c r="ACA158" s="196"/>
      <c r="ACB158" s="196"/>
      <c r="ACC158" s="196"/>
      <c r="ACD158" s="196"/>
      <c r="ACE158" s="196"/>
      <c r="ACF158" s="196"/>
      <c r="ACG158" s="196"/>
      <c r="ACH158" s="196"/>
      <c r="ACI158" s="196"/>
      <c r="ACJ158" s="196"/>
      <c r="ACK158" s="196"/>
      <c r="ACL158" s="196"/>
      <c r="ACM158" s="196"/>
      <c r="ACN158" s="196"/>
      <c r="ACO158" s="196"/>
      <c r="ACP158" s="196"/>
      <c r="ACQ158" s="196"/>
      <c r="ACR158" s="196"/>
      <c r="ACS158" s="196"/>
      <c r="ACT158" s="196"/>
      <c r="ACU158" s="196"/>
      <c r="ACV158" s="196"/>
      <c r="ACW158" s="196"/>
      <c r="ACX158" s="196"/>
      <c r="ACY158" s="196"/>
      <c r="ACZ158" s="196"/>
      <c r="ADA158" s="196"/>
      <c r="ADB158" s="196"/>
      <c r="ADC158" s="196"/>
      <c r="ADD158" s="196"/>
      <c r="ADE158" s="196"/>
      <c r="ADF158" s="196"/>
      <c r="ADG158" s="196"/>
      <c r="ADH158" s="196"/>
      <c r="ADI158" s="196"/>
      <c r="ADJ158" s="196"/>
      <c r="ADK158" s="196"/>
      <c r="ADL158" s="196"/>
      <c r="ADM158" s="196"/>
      <c r="ADN158" s="196"/>
      <c r="ADO158" s="196"/>
      <c r="ADP158" s="196"/>
      <c r="ADQ158" s="196"/>
      <c r="ADR158" s="196"/>
      <c r="ADS158" s="196"/>
      <c r="ADT158" s="196"/>
      <c r="ADU158" s="196"/>
      <c r="ADV158" s="196"/>
      <c r="ADW158" s="196"/>
      <c r="ADX158" s="196"/>
      <c r="ADY158" s="196"/>
      <c r="ADZ158" s="196"/>
      <c r="AEA158" s="196"/>
      <c r="AEB158" s="196"/>
      <c r="AEC158" s="196"/>
      <c r="AED158" s="196"/>
      <c r="AEE158" s="196"/>
      <c r="AEF158" s="196"/>
      <c r="AEG158" s="196"/>
      <c r="AEH158" s="196"/>
      <c r="AEI158" s="196"/>
      <c r="AEJ158" s="196"/>
      <c r="AEK158" s="196"/>
      <c r="AEL158" s="196"/>
      <c r="AEM158" s="196"/>
      <c r="AEN158" s="196"/>
      <c r="AEO158" s="196"/>
      <c r="AEP158" s="196"/>
      <c r="AEQ158" s="196"/>
      <c r="AER158" s="196"/>
      <c r="AES158" s="196"/>
      <c r="AET158" s="196"/>
      <c r="AEU158" s="196"/>
      <c r="AEV158" s="196"/>
      <c r="AEW158" s="196"/>
      <c r="AEX158" s="196"/>
      <c r="AEY158" s="196"/>
      <c r="AEZ158" s="196"/>
      <c r="AFA158" s="196"/>
      <c r="AFB158" s="196"/>
      <c r="AFC158" s="196"/>
      <c r="AFD158" s="196"/>
      <c r="AFE158" s="196"/>
      <c r="AFF158" s="196"/>
      <c r="AFG158" s="196"/>
      <c r="AFH158" s="196"/>
      <c r="AFI158" s="196"/>
      <c r="AFJ158" s="196"/>
      <c r="AFK158" s="196"/>
      <c r="AFL158" s="196"/>
      <c r="AFM158" s="196"/>
      <c r="AFN158" s="196"/>
      <c r="AFO158" s="196"/>
      <c r="AFP158" s="196"/>
      <c r="AFQ158" s="196"/>
      <c r="AFR158" s="196"/>
      <c r="AFS158" s="196"/>
      <c r="AFT158" s="196"/>
      <c r="AFU158" s="196"/>
      <c r="AFV158" s="196"/>
      <c r="AFW158" s="196"/>
      <c r="AFX158" s="196"/>
      <c r="AFY158" s="196"/>
      <c r="AFZ158" s="196"/>
      <c r="AGA158" s="196"/>
      <c r="AGB158" s="196"/>
      <c r="AGC158" s="196"/>
      <c r="AGD158" s="196"/>
      <c r="AGE158" s="196"/>
      <c r="AGF158" s="196"/>
      <c r="AGG158" s="196"/>
      <c r="AGH158" s="196"/>
      <c r="AGI158" s="196"/>
      <c r="AGJ158" s="196"/>
      <c r="AGK158" s="196"/>
      <c r="AGL158" s="196"/>
      <c r="AGM158" s="196"/>
      <c r="AGN158" s="196"/>
      <c r="AGO158" s="196"/>
      <c r="AGP158" s="196"/>
      <c r="AGQ158" s="196"/>
      <c r="AGR158" s="196"/>
      <c r="AGS158" s="196"/>
      <c r="AGT158" s="196"/>
      <c r="AGU158" s="196"/>
      <c r="AGV158" s="196"/>
      <c r="AGW158" s="196"/>
      <c r="AGX158" s="196"/>
      <c r="AGY158" s="196"/>
      <c r="AGZ158" s="196"/>
      <c r="AHA158" s="196"/>
      <c r="AHB158" s="196"/>
      <c r="AHC158" s="196"/>
      <c r="AHD158" s="196"/>
      <c r="AHE158" s="196"/>
      <c r="AHF158" s="196"/>
      <c r="AHG158" s="196"/>
      <c r="AHH158" s="196"/>
      <c r="AHI158" s="196"/>
      <c r="AHJ158" s="196"/>
      <c r="AHK158" s="196"/>
      <c r="AHL158" s="196"/>
      <c r="AHM158" s="196"/>
      <c r="AHN158" s="196"/>
      <c r="AHO158" s="196"/>
      <c r="AHP158" s="196"/>
      <c r="AHQ158" s="196"/>
      <c r="AHR158" s="196"/>
      <c r="AHS158" s="196"/>
      <c r="AHT158" s="196"/>
      <c r="AHU158" s="196"/>
      <c r="AHV158" s="196"/>
      <c r="AHW158" s="196"/>
      <c r="AHX158" s="196"/>
      <c r="AHY158" s="196"/>
      <c r="AHZ158" s="196"/>
      <c r="AIA158" s="196"/>
      <c r="AIB158" s="196"/>
      <c r="AIC158" s="196"/>
      <c r="AID158" s="196"/>
      <c r="AIE158" s="196"/>
      <c r="AIF158" s="196"/>
      <c r="AIG158" s="196"/>
      <c r="AIH158" s="196"/>
      <c r="AII158" s="196"/>
      <c r="AIJ158" s="196"/>
      <c r="AIK158" s="196"/>
      <c r="AIL158" s="196"/>
      <c r="AIM158" s="196"/>
      <c r="AIN158" s="196"/>
      <c r="AIO158" s="196"/>
      <c r="AIP158" s="196"/>
      <c r="AIQ158" s="196"/>
      <c r="AIR158" s="196"/>
      <c r="AIS158" s="196"/>
      <c r="AIT158" s="196"/>
      <c r="AIU158" s="196"/>
      <c r="AIV158" s="196"/>
      <c r="AIW158" s="196"/>
      <c r="AIX158" s="196"/>
      <c r="AIY158" s="196"/>
      <c r="AIZ158" s="196"/>
      <c r="AJA158" s="196"/>
      <c r="AJB158" s="196"/>
      <c r="AJC158" s="196"/>
      <c r="AJD158" s="196"/>
      <c r="AJE158" s="196"/>
      <c r="AJF158" s="196"/>
      <c r="AJG158" s="196"/>
      <c r="AJH158" s="196"/>
      <c r="AJI158" s="196"/>
      <c r="AJJ158" s="196"/>
      <c r="AJK158" s="196"/>
      <c r="AJL158" s="196"/>
      <c r="AJM158" s="196"/>
      <c r="AJN158" s="196"/>
      <c r="AJO158" s="196"/>
      <c r="AJP158" s="196"/>
      <c r="AJQ158" s="196"/>
      <c r="AJR158" s="196"/>
      <c r="AJS158" s="196"/>
      <c r="AJT158" s="196"/>
      <c r="AJU158" s="196"/>
      <c r="AJV158" s="196"/>
      <c r="AJW158" s="196"/>
      <c r="AJX158" s="196"/>
      <c r="AJY158" s="196"/>
      <c r="AJZ158" s="196"/>
      <c r="AKA158" s="196"/>
      <c r="AKB158" s="196"/>
      <c r="AKC158" s="196"/>
      <c r="AKD158" s="196"/>
      <c r="AKE158" s="196"/>
      <c r="AKF158" s="196"/>
      <c r="AKG158" s="196"/>
      <c r="AKH158" s="196"/>
      <c r="AKI158" s="196"/>
      <c r="AKJ158" s="196"/>
      <c r="AKK158" s="196"/>
      <c r="AKL158" s="196"/>
      <c r="AKM158" s="196"/>
      <c r="AKN158" s="196"/>
      <c r="AKO158" s="196"/>
      <c r="AKP158" s="196"/>
      <c r="AKQ158" s="196"/>
      <c r="AKR158" s="196"/>
      <c r="AKS158" s="196"/>
      <c r="AKT158" s="196"/>
      <c r="AKU158" s="196"/>
      <c r="AKV158" s="196"/>
      <c r="AKW158" s="196"/>
      <c r="AKX158" s="196"/>
      <c r="AKY158" s="196"/>
      <c r="AKZ158" s="196"/>
      <c r="ALA158" s="196"/>
      <c r="ALB158" s="196"/>
      <c r="ALC158" s="196"/>
      <c r="ALD158" s="196"/>
      <c r="ALE158" s="196"/>
      <c r="ALF158" s="196"/>
      <c r="ALG158" s="196"/>
      <c r="ALH158" s="196"/>
      <c r="ALI158" s="196"/>
      <c r="ALJ158" s="196"/>
      <c r="ALK158" s="196"/>
      <c r="ALL158" s="196"/>
      <c r="ALM158" s="196"/>
      <c r="ALN158" s="196"/>
      <c r="ALO158" s="196"/>
      <c r="ALP158" s="196"/>
      <c r="ALQ158" s="196"/>
      <c r="ALR158" s="196"/>
      <c r="ALS158" s="196"/>
      <c r="ALT158" s="196"/>
      <c r="ALU158" s="196"/>
      <c r="ALV158" s="196"/>
      <c r="ALW158" s="196"/>
      <c r="ALX158" s="196"/>
      <c r="ALY158" s="196"/>
      <c r="ALZ158" s="196"/>
      <c r="AMA158" s="196"/>
      <c r="AMB158" s="196"/>
      <c r="AMC158" s="196"/>
      <c r="AMD158" s="196"/>
      <c r="AME158" s="196"/>
      <c r="AMF158" s="196"/>
      <c r="AMG158" s="196"/>
      <c r="AMH158" s="196"/>
      <c r="AMI158" s="196"/>
      <c r="AMJ158" s="196"/>
    </row>
    <row r="159" customFormat="false" ht="15.75" hidden="false" customHeight="true" outlineLevel="0" collapsed="false">
      <c r="A159" s="196"/>
      <c r="B159" s="78"/>
      <c r="C159" s="77"/>
      <c r="D159" s="77"/>
      <c r="E159" s="78"/>
      <c r="F159" s="267"/>
      <c r="G159" s="10"/>
      <c r="H159" s="24"/>
      <c r="I159" s="230"/>
      <c r="J159" s="7"/>
      <c r="K159" s="7"/>
      <c r="L159" s="7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  <c r="AA159" s="196"/>
      <c r="AB159" s="196"/>
      <c r="AC159" s="196"/>
      <c r="AD159" s="196"/>
      <c r="AE159" s="196"/>
      <c r="AF159" s="196"/>
      <c r="AG159" s="196"/>
      <c r="AH159" s="196"/>
      <c r="AI159" s="196"/>
      <c r="AJ159" s="196"/>
      <c r="AK159" s="196"/>
      <c r="AL159" s="196"/>
      <c r="AM159" s="196"/>
      <c r="AN159" s="196"/>
      <c r="AO159" s="196"/>
      <c r="AP159" s="196"/>
      <c r="AQ159" s="196"/>
      <c r="AR159" s="196"/>
      <c r="AS159" s="196"/>
      <c r="AT159" s="196"/>
      <c r="AU159" s="196"/>
      <c r="AV159" s="196"/>
      <c r="AW159" s="196"/>
      <c r="AX159" s="196"/>
      <c r="AY159" s="196"/>
      <c r="AZ159" s="196"/>
      <c r="BA159" s="196"/>
      <c r="BB159" s="196"/>
      <c r="BC159" s="196"/>
      <c r="BD159" s="196"/>
      <c r="BE159" s="196"/>
      <c r="BF159" s="196"/>
      <c r="BG159" s="196"/>
      <c r="BH159" s="196"/>
      <c r="BI159" s="196"/>
      <c r="BJ159" s="196"/>
      <c r="BK159" s="196"/>
      <c r="BL159" s="196"/>
      <c r="BM159" s="196"/>
      <c r="BN159" s="196"/>
      <c r="BO159" s="196"/>
      <c r="BP159" s="196"/>
      <c r="BQ159" s="196"/>
      <c r="BR159" s="196"/>
      <c r="BS159" s="196"/>
      <c r="BT159" s="196"/>
      <c r="BU159" s="196"/>
      <c r="BV159" s="196"/>
      <c r="BW159" s="196"/>
      <c r="BX159" s="196"/>
      <c r="BY159" s="196"/>
      <c r="BZ159" s="196"/>
      <c r="CA159" s="196"/>
      <c r="CB159" s="196"/>
      <c r="CC159" s="196"/>
      <c r="CD159" s="196"/>
      <c r="CE159" s="196"/>
      <c r="CF159" s="196"/>
      <c r="CG159" s="196"/>
      <c r="CH159" s="196"/>
      <c r="CI159" s="196"/>
      <c r="CJ159" s="196"/>
      <c r="CK159" s="196"/>
      <c r="CL159" s="196"/>
      <c r="CM159" s="196"/>
      <c r="CN159" s="196"/>
      <c r="CO159" s="196"/>
      <c r="CP159" s="196"/>
      <c r="CQ159" s="196"/>
      <c r="CR159" s="196"/>
      <c r="CS159" s="196"/>
      <c r="CT159" s="196"/>
      <c r="CU159" s="196"/>
      <c r="CV159" s="196"/>
      <c r="CW159" s="196"/>
      <c r="CX159" s="196"/>
      <c r="CY159" s="196"/>
      <c r="CZ159" s="196"/>
      <c r="DA159" s="196"/>
      <c r="DB159" s="196"/>
      <c r="DC159" s="196"/>
      <c r="DD159" s="196"/>
      <c r="DE159" s="196"/>
      <c r="DF159" s="196"/>
      <c r="DG159" s="196"/>
      <c r="DH159" s="196"/>
      <c r="DI159" s="196"/>
      <c r="DJ159" s="196"/>
      <c r="DK159" s="196"/>
      <c r="DL159" s="196"/>
      <c r="DM159" s="196"/>
      <c r="DN159" s="196"/>
      <c r="DO159" s="196"/>
      <c r="DP159" s="196"/>
      <c r="DQ159" s="196"/>
      <c r="DR159" s="196"/>
      <c r="DS159" s="196"/>
      <c r="DT159" s="196"/>
      <c r="DU159" s="196"/>
      <c r="DV159" s="196"/>
      <c r="DW159" s="196"/>
      <c r="DX159" s="196"/>
      <c r="DY159" s="196"/>
      <c r="DZ159" s="196"/>
      <c r="EA159" s="196"/>
      <c r="EB159" s="196"/>
      <c r="EC159" s="196"/>
      <c r="ED159" s="196"/>
      <c r="EE159" s="196"/>
      <c r="EF159" s="196"/>
      <c r="EG159" s="196"/>
      <c r="EH159" s="196"/>
      <c r="EI159" s="196"/>
      <c r="EJ159" s="196"/>
      <c r="EK159" s="196"/>
      <c r="EL159" s="196"/>
      <c r="EM159" s="196"/>
      <c r="EN159" s="196"/>
      <c r="EO159" s="196"/>
      <c r="EP159" s="196"/>
      <c r="EQ159" s="196"/>
      <c r="ER159" s="196"/>
      <c r="ES159" s="196"/>
      <c r="ET159" s="196"/>
      <c r="EU159" s="196"/>
      <c r="EV159" s="196"/>
      <c r="EW159" s="196"/>
      <c r="EX159" s="196"/>
      <c r="EY159" s="196"/>
      <c r="EZ159" s="196"/>
      <c r="FA159" s="196"/>
      <c r="FB159" s="196"/>
      <c r="FC159" s="196"/>
      <c r="FD159" s="196"/>
      <c r="FE159" s="196"/>
      <c r="FF159" s="196"/>
      <c r="FG159" s="196"/>
      <c r="FH159" s="196"/>
      <c r="FI159" s="196"/>
      <c r="FJ159" s="196"/>
      <c r="FK159" s="196"/>
      <c r="FL159" s="196"/>
      <c r="FM159" s="196"/>
      <c r="FN159" s="196"/>
      <c r="FO159" s="196"/>
      <c r="FP159" s="196"/>
      <c r="FQ159" s="196"/>
      <c r="FR159" s="196"/>
      <c r="FS159" s="196"/>
      <c r="FT159" s="196"/>
      <c r="FU159" s="196"/>
      <c r="FV159" s="196"/>
      <c r="FW159" s="196"/>
      <c r="FX159" s="196"/>
      <c r="FY159" s="196"/>
      <c r="FZ159" s="196"/>
      <c r="GA159" s="196"/>
      <c r="GB159" s="196"/>
      <c r="GC159" s="196"/>
      <c r="GD159" s="196"/>
      <c r="GE159" s="196"/>
      <c r="GF159" s="196"/>
      <c r="GG159" s="196"/>
      <c r="GH159" s="196"/>
      <c r="GI159" s="196"/>
      <c r="GJ159" s="196"/>
      <c r="GK159" s="196"/>
      <c r="GL159" s="196"/>
      <c r="GM159" s="196"/>
      <c r="GN159" s="196"/>
      <c r="GO159" s="196"/>
      <c r="GP159" s="196"/>
      <c r="GQ159" s="196"/>
      <c r="GR159" s="196"/>
      <c r="GS159" s="196"/>
      <c r="GT159" s="196"/>
      <c r="GU159" s="196"/>
      <c r="GV159" s="196"/>
      <c r="GW159" s="196"/>
      <c r="GX159" s="196"/>
      <c r="GY159" s="196"/>
      <c r="GZ159" s="196"/>
      <c r="HA159" s="196"/>
      <c r="HB159" s="196"/>
      <c r="HC159" s="196"/>
      <c r="HD159" s="196"/>
      <c r="HE159" s="196"/>
      <c r="HF159" s="196"/>
      <c r="HG159" s="196"/>
      <c r="HH159" s="196"/>
      <c r="HI159" s="196"/>
      <c r="HJ159" s="196"/>
      <c r="HK159" s="196"/>
      <c r="HL159" s="196"/>
      <c r="HM159" s="196"/>
      <c r="HN159" s="196"/>
      <c r="HO159" s="196"/>
      <c r="HP159" s="196"/>
      <c r="HQ159" s="196"/>
      <c r="HR159" s="196"/>
      <c r="HS159" s="196"/>
      <c r="HT159" s="196"/>
      <c r="HU159" s="196"/>
      <c r="HV159" s="196"/>
      <c r="HW159" s="196"/>
      <c r="HX159" s="196"/>
      <c r="HY159" s="196"/>
      <c r="HZ159" s="196"/>
      <c r="IA159" s="196"/>
      <c r="IB159" s="196"/>
      <c r="IC159" s="196"/>
      <c r="ID159" s="196"/>
      <c r="IE159" s="196"/>
      <c r="IF159" s="196"/>
      <c r="IG159" s="196"/>
      <c r="IH159" s="196"/>
      <c r="II159" s="196"/>
      <c r="IJ159" s="196"/>
      <c r="IK159" s="196"/>
      <c r="IL159" s="196"/>
      <c r="IM159" s="196"/>
      <c r="IN159" s="196"/>
      <c r="IO159" s="196"/>
      <c r="IP159" s="196"/>
      <c r="IQ159" s="196"/>
      <c r="IR159" s="196"/>
      <c r="IS159" s="196"/>
      <c r="IT159" s="196"/>
      <c r="IU159" s="196"/>
      <c r="IV159" s="196"/>
      <c r="IW159" s="196"/>
      <c r="IX159" s="196"/>
      <c r="IY159" s="196"/>
      <c r="IZ159" s="196"/>
      <c r="JA159" s="196"/>
      <c r="JB159" s="196"/>
      <c r="JC159" s="196"/>
      <c r="JD159" s="196"/>
      <c r="JE159" s="196"/>
      <c r="JF159" s="196"/>
      <c r="JG159" s="196"/>
      <c r="JH159" s="196"/>
      <c r="JI159" s="196"/>
      <c r="JJ159" s="196"/>
      <c r="JK159" s="196"/>
      <c r="JL159" s="196"/>
      <c r="JM159" s="196"/>
      <c r="JN159" s="196"/>
      <c r="JO159" s="196"/>
      <c r="JP159" s="196"/>
      <c r="JQ159" s="196"/>
      <c r="JR159" s="196"/>
      <c r="JS159" s="196"/>
      <c r="JT159" s="196"/>
      <c r="JU159" s="196"/>
      <c r="JV159" s="196"/>
      <c r="JW159" s="196"/>
      <c r="JX159" s="196"/>
      <c r="JY159" s="196"/>
      <c r="JZ159" s="196"/>
      <c r="KA159" s="196"/>
      <c r="KB159" s="196"/>
      <c r="KC159" s="196"/>
      <c r="KD159" s="196"/>
      <c r="KE159" s="196"/>
      <c r="KF159" s="196"/>
      <c r="KG159" s="196"/>
      <c r="KH159" s="196"/>
      <c r="KI159" s="196"/>
      <c r="KJ159" s="196"/>
      <c r="KK159" s="196"/>
      <c r="KL159" s="196"/>
      <c r="KM159" s="196"/>
      <c r="KN159" s="196"/>
      <c r="KO159" s="196"/>
      <c r="KP159" s="196"/>
      <c r="KQ159" s="196"/>
      <c r="KR159" s="196"/>
      <c r="KS159" s="196"/>
      <c r="KT159" s="196"/>
      <c r="KU159" s="196"/>
      <c r="KV159" s="196"/>
      <c r="KW159" s="196"/>
      <c r="KX159" s="196"/>
      <c r="KY159" s="196"/>
      <c r="KZ159" s="196"/>
      <c r="LA159" s="196"/>
      <c r="LB159" s="196"/>
      <c r="LC159" s="196"/>
      <c r="LD159" s="196"/>
      <c r="LE159" s="196"/>
      <c r="LF159" s="196"/>
      <c r="LG159" s="196"/>
      <c r="LH159" s="196"/>
      <c r="LI159" s="196"/>
      <c r="LJ159" s="196"/>
      <c r="LK159" s="196"/>
      <c r="LL159" s="196"/>
      <c r="LM159" s="196"/>
      <c r="LN159" s="196"/>
      <c r="LO159" s="196"/>
      <c r="LP159" s="196"/>
      <c r="LQ159" s="196"/>
      <c r="LR159" s="196"/>
      <c r="LS159" s="196"/>
      <c r="LT159" s="196"/>
      <c r="LU159" s="196"/>
      <c r="LV159" s="196"/>
      <c r="LW159" s="196"/>
      <c r="LX159" s="196"/>
      <c r="LY159" s="196"/>
      <c r="LZ159" s="196"/>
      <c r="MA159" s="196"/>
      <c r="MB159" s="196"/>
      <c r="MC159" s="196"/>
      <c r="MD159" s="196"/>
      <c r="ME159" s="196"/>
      <c r="MF159" s="196"/>
      <c r="MG159" s="196"/>
      <c r="MH159" s="196"/>
      <c r="MI159" s="196"/>
      <c r="MJ159" s="196"/>
      <c r="MK159" s="196"/>
      <c r="ML159" s="196"/>
      <c r="MM159" s="196"/>
      <c r="MN159" s="196"/>
      <c r="MO159" s="196"/>
      <c r="MP159" s="196"/>
      <c r="MQ159" s="196"/>
      <c r="MR159" s="196"/>
      <c r="MS159" s="196"/>
      <c r="MT159" s="196"/>
      <c r="MU159" s="196"/>
      <c r="MV159" s="196"/>
      <c r="MW159" s="196"/>
      <c r="MX159" s="196"/>
      <c r="MY159" s="196"/>
      <c r="MZ159" s="196"/>
      <c r="NA159" s="196"/>
      <c r="NB159" s="196"/>
      <c r="NC159" s="196"/>
      <c r="ND159" s="196"/>
      <c r="NE159" s="196"/>
      <c r="NF159" s="196"/>
      <c r="NG159" s="196"/>
      <c r="NH159" s="196"/>
      <c r="NI159" s="196"/>
      <c r="NJ159" s="196"/>
      <c r="NK159" s="196"/>
      <c r="NL159" s="196"/>
      <c r="NM159" s="196"/>
      <c r="NN159" s="196"/>
      <c r="NO159" s="196"/>
      <c r="NP159" s="196"/>
      <c r="NQ159" s="196"/>
      <c r="NR159" s="196"/>
      <c r="NS159" s="196"/>
      <c r="NT159" s="196"/>
      <c r="NU159" s="196"/>
      <c r="NV159" s="196"/>
      <c r="NW159" s="196"/>
      <c r="NX159" s="196"/>
      <c r="NY159" s="196"/>
      <c r="NZ159" s="196"/>
      <c r="OA159" s="196"/>
      <c r="OB159" s="196"/>
      <c r="OC159" s="196"/>
      <c r="OD159" s="196"/>
      <c r="OE159" s="196"/>
      <c r="OF159" s="196"/>
      <c r="OG159" s="196"/>
      <c r="OH159" s="196"/>
      <c r="OI159" s="196"/>
      <c r="OJ159" s="196"/>
      <c r="OK159" s="196"/>
      <c r="OL159" s="196"/>
      <c r="OM159" s="196"/>
      <c r="ON159" s="196"/>
      <c r="OO159" s="196"/>
      <c r="OP159" s="196"/>
      <c r="OQ159" s="196"/>
      <c r="OR159" s="196"/>
      <c r="OS159" s="196"/>
      <c r="OT159" s="196"/>
      <c r="OU159" s="196"/>
      <c r="OV159" s="196"/>
      <c r="OW159" s="196"/>
      <c r="OX159" s="196"/>
      <c r="OY159" s="196"/>
      <c r="OZ159" s="196"/>
      <c r="PA159" s="196"/>
      <c r="PB159" s="196"/>
      <c r="PC159" s="196"/>
      <c r="PD159" s="196"/>
      <c r="PE159" s="196"/>
      <c r="PF159" s="196"/>
      <c r="PG159" s="196"/>
      <c r="PH159" s="196"/>
      <c r="PI159" s="196"/>
      <c r="PJ159" s="196"/>
      <c r="PK159" s="196"/>
      <c r="PL159" s="196"/>
      <c r="PM159" s="196"/>
      <c r="PN159" s="196"/>
      <c r="PO159" s="196"/>
      <c r="PP159" s="196"/>
      <c r="PQ159" s="196"/>
      <c r="PR159" s="196"/>
      <c r="PS159" s="196"/>
      <c r="PT159" s="196"/>
      <c r="PU159" s="196"/>
      <c r="PV159" s="196"/>
      <c r="PW159" s="196"/>
      <c r="PX159" s="196"/>
      <c r="PY159" s="196"/>
      <c r="PZ159" s="196"/>
      <c r="QA159" s="196"/>
      <c r="QB159" s="196"/>
      <c r="QC159" s="196"/>
      <c r="QD159" s="196"/>
      <c r="QE159" s="196"/>
      <c r="QF159" s="196"/>
      <c r="QG159" s="196"/>
      <c r="QH159" s="196"/>
      <c r="QI159" s="196"/>
      <c r="QJ159" s="196"/>
      <c r="QK159" s="196"/>
      <c r="QL159" s="196"/>
      <c r="QM159" s="196"/>
      <c r="QN159" s="196"/>
      <c r="QO159" s="196"/>
      <c r="QP159" s="196"/>
      <c r="QQ159" s="196"/>
      <c r="QR159" s="196"/>
      <c r="QS159" s="196"/>
      <c r="QT159" s="196"/>
      <c r="QU159" s="196"/>
      <c r="QV159" s="196"/>
      <c r="QW159" s="196"/>
      <c r="QX159" s="196"/>
      <c r="QY159" s="196"/>
      <c r="QZ159" s="196"/>
      <c r="RA159" s="196"/>
      <c r="RB159" s="196"/>
      <c r="RC159" s="196"/>
      <c r="RD159" s="196"/>
      <c r="RE159" s="196"/>
      <c r="RF159" s="196"/>
      <c r="RG159" s="196"/>
      <c r="RH159" s="196"/>
      <c r="RI159" s="196"/>
      <c r="RJ159" s="196"/>
      <c r="RK159" s="196"/>
      <c r="RL159" s="196"/>
      <c r="RM159" s="196"/>
      <c r="RN159" s="196"/>
      <c r="RO159" s="196"/>
      <c r="RP159" s="196"/>
      <c r="RQ159" s="196"/>
      <c r="RR159" s="196"/>
      <c r="RS159" s="196"/>
      <c r="RT159" s="196"/>
      <c r="RU159" s="196"/>
      <c r="RV159" s="196"/>
      <c r="RW159" s="196"/>
      <c r="RX159" s="196"/>
      <c r="RY159" s="196"/>
      <c r="RZ159" s="196"/>
      <c r="SA159" s="196"/>
      <c r="SB159" s="196"/>
      <c r="SC159" s="196"/>
      <c r="SD159" s="196"/>
      <c r="SE159" s="196"/>
      <c r="SF159" s="196"/>
      <c r="SG159" s="196"/>
      <c r="SH159" s="196"/>
      <c r="SI159" s="196"/>
      <c r="SJ159" s="196"/>
      <c r="SK159" s="196"/>
      <c r="SL159" s="196"/>
      <c r="SM159" s="196"/>
      <c r="SN159" s="196"/>
      <c r="SO159" s="196"/>
      <c r="SP159" s="196"/>
      <c r="SQ159" s="196"/>
      <c r="SR159" s="196"/>
      <c r="SS159" s="196"/>
      <c r="ST159" s="196"/>
      <c r="SU159" s="196"/>
      <c r="SV159" s="196"/>
      <c r="SW159" s="196"/>
      <c r="SX159" s="196"/>
      <c r="SY159" s="196"/>
      <c r="SZ159" s="196"/>
      <c r="TA159" s="196"/>
      <c r="TB159" s="196"/>
      <c r="TC159" s="196"/>
      <c r="TD159" s="196"/>
      <c r="TE159" s="196"/>
      <c r="TF159" s="196"/>
      <c r="TG159" s="196"/>
      <c r="TH159" s="196"/>
      <c r="TI159" s="196"/>
      <c r="TJ159" s="196"/>
      <c r="TK159" s="196"/>
      <c r="TL159" s="196"/>
      <c r="TM159" s="196"/>
      <c r="TN159" s="196"/>
      <c r="TO159" s="196"/>
      <c r="TP159" s="196"/>
      <c r="TQ159" s="196"/>
      <c r="TR159" s="196"/>
      <c r="TS159" s="196"/>
      <c r="TT159" s="196"/>
      <c r="TU159" s="196"/>
      <c r="TV159" s="196"/>
      <c r="TW159" s="196"/>
      <c r="TX159" s="196"/>
      <c r="TY159" s="196"/>
      <c r="TZ159" s="196"/>
      <c r="UA159" s="196"/>
      <c r="UB159" s="196"/>
      <c r="UC159" s="196"/>
      <c r="UD159" s="196"/>
      <c r="UE159" s="196"/>
      <c r="UF159" s="196"/>
      <c r="UG159" s="196"/>
      <c r="UH159" s="196"/>
      <c r="UI159" s="196"/>
      <c r="UJ159" s="196"/>
      <c r="UK159" s="196"/>
      <c r="UL159" s="196"/>
      <c r="UM159" s="196"/>
      <c r="UN159" s="196"/>
      <c r="UO159" s="196"/>
      <c r="UP159" s="196"/>
      <c r="UQ159" s="196"/>
      <c r="UR159" s="196"/>
      <c r="US159" s="196"/>
      <c r="UT159" s="196"/>
      <c r="UU159" s="196"/>
      <c r="UV159" s="196"/>
      <c r="UW159" s="196"/>
      <c r="UX159" s="196"/>
      <c r="UY159" s="196"/>
      <c r="UZ159" s="196"/>
      <c r="VA159" s="196"/>
      <c r="VB159" s="196"/>
      <c r="VC159" s="196"/>
      <c r="VD159" s="196"/>
      <c r="VE159" s="196"/>
      <c r="VF159" s="196"/>
      <c r="VG159" s="196"/>
      <c r="VH159" s="196"/>
      <c r="VI159" s="196"/>
      <c r="VJ159" s="196"/>
      <c r="VK159" s="196"/>
      <c r="VL159" s="196"/>
      <c r="VM159" s="196"/>
      <c r="VN159" s="196"/>
      <c r="VO159" s="196"/>
      <c r="VP159" s="196"/>
      <c r="VQ159" s="196"/>
      <c r="VR159" s="196"/>
      <c r="VS159" s="196"/>
      <c r="VT159" s="196"/>
      <c r="VU159" s="196"/>
      <c r="VV159" s="196"/>
      <c r="VW159" s="196"/>
      <c r="VX159" s="196"/>
      <c r="VY159" s="196"/>
      <c r="VZ159" s="196"/>
      <c r="WA159" s="196"/>
      <c r="WB159" s="196"/>
      <c r="WC159" s="196"/>
      <c r="WD159" s="196"/>
      <c r="WE159" s="196"/>
      <c r="WF159" s="196"/>
      <c r="WG159" s="196"/>
      <c r="WH159" s="196"/>
      <c r="WI159" s="196"/>
      <c r="WJ159" s="196"/>
      <c r="WK159" s="196"/>
      <c r="WL159" s="196"/>
      <c r="WM159" s="196"/>
      <c r="WN159" s="196"/>
      <c r="WO159" s="196"/>
      <c r="WP159" s="196"/>
      <c r="WQ159" s="196"/>
      <c r="WR159" s="196"/>
      <c r="WS159" s="196"/>
      <c r="WT159" s="196"/>
      <c r="WU159" s="196"/>
      <c r="WV159" s="196"/>
      <c r="WW159" s="196"/>
      <c r="WX159" s="196"/>
      <c r="WY159" s="196"/>
      <c r="WZ159" s="196"/>
      <c r="XA159" s="196"/>
      <c r="XB159" s="196"/>
      <c r="XC159" s="196"/>
      <c r="XD159" s="196"/>
      <c r="XE159" s="196"/>
      <c r="XF159" s="196"/>
      <c r="XG159" s="196"/>
      <c r="XH159" s="196"/>
      <c r="XI159" s="196"/>
      <c r="XJ159" s="196"/>
      <c r="XK159" s="196"/>
      <c r="XL159" s="196"/>
      <c r="XM159" s="196"/>
      <c r="XN159" s="196"/>
      <c r="XO159" s="196"/>
      <c r="XP159" s="196"/>
      <c r="XQ159" s="196"/>
      <c r="XR159" s="196"/>
      <c r="XS159" s="196"/>
      <c r="XT159" s="196"/>
      <c r="XU159" s="196"/>
      <c r="XV159" s="196"/>
      <c r="XW159" s="196"/>
      <c r="XX159" s="196"/>
      <c r="XY159" s="196"/>
      <c r="XZ159" s="196"/>
      <c r="YA159" s="196"/>
      <c r="YB159" s="196"/>
      <c r="YC159" s="196"/>
      <c r="YD159" s="196"/>
      <c r="YE159" s="196"/>
      <c r="YF159" s="196"/>
      <c r="YG159" s="196"/>
      <c r="YH159" s="196"/>
      <c r="YI159" s="196"/>
      <c r="YJ159" s="196"/>
      <c r="YK159" s="196"/>
      <c r="YL159" s="196"/>
      <c r="YM159" s="196"/>
      <c r="YN159" s="196"/>
      <c r="YO159" s="196"/>
      <c r="YP159" s="196"/>
      <c r="YQ159" s="196"/>
      <c r="YR159" s="196"/>
      <c r="YS159" s="196"/>
      <c r="YT159" s="196"/>
      <c r="YU159" s="196"/>
      <c r="YV159" s="196"/>
      <c r="YW159" s="196"/>
      <c r="YX159" s="196"/>
      <c r="YY159" s="196"/>
      <c r="YZ159" s="196"/>
      <c r="ZA159" s="196"/>
      <c r="ZB159" s="196"/>
      <c r="ZC159" s="196"/>
      <c r="ZD159" s="196"/>
      <c r="ZE159" s="196"/>
      <c r="ZF159" s="196"/>
      <c r="ZG159" s="196"/>
      <c r="ZH159" s="196"/>
      <c r="ZI159" s="196"/>
      <c r="ZJ159" s="196"/>
      <c r="ZK159" s="196"/>
      <c r="ZL159" s="196"/>
      <c r="ZM159" s="196"/>
      <c r="ZN159" s="196"/>
      <c r="ZO159" s="196"/>
      <c r="ZP159" s="196"/>
      <c r="ZQ159" s="196"/>
      <c r="ZR159" s="196"/>
      <c r="ZS159" s="196"/>
      <c r="ZT159" s="196"/>
      <c r="ZU159" s="196"/>
      <c r="ZV159" s="196"/>
      <c r="ZW159" s="196"/>
      <c r="ZX159" s="196"/>
      <c r="ZY159" s="196"/>
      <c r="ZZ159" s="196"/>
      <c r="AAA159" s="196"/>
      <c r="AAB159" s="196"/>
      <c r="AAC159" s="196"/>
      <c r="AAD159" s="196"/>
      <c r="AAE159" s="196"/>
      <c r="AAF159" s="196"/>
      <c r="AAG159" s="196"/>
      <c r="AAH159" s="196"/>
      <c r="AAI159" s="196"/>
      <c r="AAJ159" s="196"/>
      <c r="AAK159" s="196"/>
      <c r="AAL159" s="196"/>
      <c r="AAM159" s="196"/>
      <c r="AAN159" s="196"/>
      <c r="AAO159" s="196"/>
      <c r="AAP159" s="196"/>
      <c r="AAQ159" s="196"/>
      <c r="AAR159" s="196"/>
      <c r="AAS159" s="196"/>
      <c r="AAT159" s="196"/>
      <c r="AAU159" s="196"/>
      <c r="AAV159" s="196"/>
      <c r="AAW159" s="196"/>
      <c r="AAX159" s="196"/>
      <c r="AAY159" s="196"/>
      <c r="AAZ159" s="196"/>
      <c r="ABA159" s="196"/>
      <c r="ABB159" s="196"/>
      <c r="ABC159" s="196"/>
      <c r="ABD159" s="196"/>
      <c r="ABE159" s="196"/>
      <c r="ABF159" s="196"/>
      <c r="ABG159" s="196"/>
      <c r="ABH159" s="196"/>
      <c r="ABI159" s="196"/>
      <c r="ABJ159" s="196"/>
      <c r="ABK159" s="196"/>
      <c r="ABL159" s="196"/>
      <c r="ABM159" s="196"/>
      <c r="ABN159" s="196"/>
      <c r="ABO159" s="196"/>
      <c r="ABP159" s="196"/>
      <c r="ABQ159" s="196"/>
      <c r="ABR159" s="196"/>
      <c r="ABS159" s="196"/>
      <c r="ABT159" s="196"/>
      <c r="ABU159" s="196"/>
      <c r="ABV159" s="196"/>
      <c r="ABW159" s="196"/>
      <c r="ABX159" s="196"/>
      <c r="ABY159" s="196"/>
      <c r="ABZ159" s="196"/>
      <c r="ACA159" s="196"/>
      <c r="ACB159" s="196"/>
      <c r="ACC159" s="196"/>
      <c r="ACD159" s="196"/>
      <c r="ACE159" s="196"/>
      <c r="ACF159" s="196"/>
      <c r="ACG159" s="196"/>
      <c r="ACH159" s="196"/>
      <c r="ACI159" s="196"/>
      <c r="ACJ159" s="196"/>
      <c r="ACK159" s="196"/>
      <c r="ACL159" s="196"/>
      <c r="ACM159" s="196"/>
      <c r="ACN159" s="196"/>
      <c r="ACO159" s="196"/>
      <c r="ACP159" s="196"/>
      <c r="ACQ159" s="196"/>
      <c r="ACR159" s="196"/>
      <c r="ACS159" s="196"/>
      <c r="ACT159" s="196"/>
      <c r="ACU159" s="196"/>
      <c r="ACV159" s="196"/>
      <c r="ACW159" s="196"/>
      <c r="ACX159" s="196"/>
      <c r="ACY159" s="196"/>
      <c r="ACZ159" s="196"/>
      <c r="ADA159" s="196"/>
      <c r="ADB159" s="196"/>
      <c r="ADC159" s="196"/>
      <c r="ADD159" s="196"/>
      <c r="ADE159" s="196"/>
      <c r="ADF159" s="196"/>
      <c r="ADG159" s="196"/>
      <c r="ADH159" s="196"/>
      <c r="ADI159" s="196"/>
      <c r="ADJ159" s="196"/>
      <c r="ADK159" s="196"/>
      <c r="ADL159" s="196"/>
      <c r="ADM159" s="196"/>
      <c r="ADN159" s="196"/>
      <c r="ADO159" s="196"/>
      <c r="ADP159" s="196"/>
      <c r="ADQ159" s="196"/>
      <c r="ADR159" s="196"/>
      <c r="ADS159" s="196"/>
      <c r="ADT159" s="196"/>
      <c r="ADU159" s="196"/>
      <c r="ADV159" s="196"/>
      <c r="ADW159" s="196"/>
      <c r="ADX159" s="196"/>
      <c r="ADY159" s="196"/>
      <c r="ADZ159" s="196"/>
      <c r="AEA159" s="196"/>
      <c r="AEB159" s="196"/>
      <c r="AEC159" s="196"/>
      <c r="AED159" s="196"/>
      <c r="AEE159" s="196"/>
      <c r="AEF159" s="196"/>
      <c r="AEG159" s="196"/>
      <c r="AEH159" s="196"/>
      <c r="AEI159" s="196"/>
      <c r="AEJ159" s="196"/>
      <c r="AEK159" s="196"/>
      <c r="AEL159" s="196"/>
      <c r="AEM159" s="196"/>
      <c r="AEN159" s="196"/>
      <c r="AEO159" s="196"/>
      <c r="AEP159" s="196"/>
      <c r="AEQ159" s="196"/>
      <c r="AER159" s="196"/>
      <c r="AES159" s="196"/>
      <c r="AET159" s="196"/>
      <c r="AEU159" s="196"/>
      <c r="AEV159" s="196"/>
      <c r="AEW159" s="196"/>
      <c r="AEX159" s="196"/>
      <c r="AEY159" s="196"/>
      <c r="AEZ159" s="196"/>
      <c r="AFA159" s="196"/>
      <c r="AFB159" s="196"/>
      <c r="AFC159" s="196"/>
      <c r="AFD159" s="196"/>
      <c r="AFE159" s="196"/>
      <c r="AFF159" s="196"/>
      <c r="AFG159" s="196"/>
      <c r="AFH159" s="196"/>
      <c r="AFI159" s="196"/>
      <c r="AFJ159" s="196"/>
      <c r="AFK159" s="196"/>
      <c r="AFL159" s="196"/>
      <c r="AFM159" s="196"/>
      <c r="AFN159" s="196"/>
      <c r="AFO159" s="196"/>
      <c r="AFP159" s="196"/>
      <c r="AFQ159" s="196"/>
      <c r="AFR159" s="196"/>
      <c r="AFS159" s="196"/>
      <c r="AFT159" s="196"/>
      <c r="AFU159" s="196"/>
      <c r="AFV159" s="196"/>
      <c r="AFW159" s="196"/>
      <c r="AFX159" s="196"/>
      <c r="AFY159" s="196"/>
      <c r="AFZ159" s="196"/>
      <c r="AGA159" s="196"/>
      <c r="AGB159" s="196"/>
      <c r="AGC159" s="196"/>
      <c r="AGD159" s="196"/>
      <c r="AGE159" s="196"/>
      <c r="AGF159" s="196"/>
      <c r="AGG159" s="196"/>
      <c r="AGH159" s="196"/>
      <c r="AGI159" s="196"/>
      <c r="AGJ159" s="196"/>
      <c r="AGK159" s="196"/>
      <c r="AGL159" s="196"/>
      <c r="AGM159" s="196"/>
      <c r="AGN159" s="196"/>
      <c r="AGO159" s="196"/>
      <c r="AGP159" s="196"/>
      <c r="AGQ159" s="196"/>
      <c r="AGR159" s="196"/>
      <c r="AGS159" s="196"/>
      <c r="AGT159" s="196"/>
      <c r="AGU159" s="196"/>
      <c r="AGV159" s="196"/>
      <c r="AGW159" s="196"/>
      <c r="AGX159" s="196"/>
      <c r="AGY159" s="196"/>
      <c r="AGZ159" s="196"/>
      <c r="AHA159" s="196"/>
      <c r="AHB159" s="196"/>
      <c r="AHC159" s="196"/>
      <c r="AHD159" s="196"/>
      <c r="AHE159" s="196"/>
      <c r="AHF159" s="196"/>
      <c r="AHG159" s="196"/>
      <c r="AHH159" s="196"/>
      <c r="AHI159" s="196"/>
      <c r="AHJ159" s="196"/>
      <c r="AHK159" s="196"/>
      <c r="AHL159" s="196"/>
      <c r="AHM159" s="196"/>
      <c r="AHN159" s="196"/>
      <c r="AHO159" s="196"/>
      <c r="AHP159" s="196"/>
      <c r="AHQ159" s="196"/>
      <c r="AHR159" s="196"/>
      <c r="AHS159" s="196"/>
      <c r="AHT159" s="196"/>
      <c r="AHU159" s="196"/>
      <c r="AHV159" s="196"/>
      <c r="AHW159" s="196"/>
      <c r="AHX159" s="196"/>
      <c r="AHY159" s="196"/>
      <c r="AHZ159" s="196"/>
      <c r="AIA159" s="196"/>
      <c r="AIB159" s="196"/>
      <c r="AIC159" s="196"/>
      <c r="AID159" s="196"/>
      <c r="AIE159" s="196"/>
      <c r="AIF159" s="196"/>
      <c r="AIG159" s="196"/>
      <c r="AIH159" s="196"/>
      <c r="AII159" s="196"/>
      <c r="AIJ159" s="196"/>
      <c r="AIK159" s="196"/>
      <c r="AIL159" s="196"/>
      <c r="AIM159" s="196"/>
      <c r="AIN159" s="196"/>
      <c r="AIO159" s="196"/>
      <c r="AIP159" s="196"/>
      <c r="AIQ159" s="196"/>
      <c r="AIR159" s="196"/>
      <c r="AIS159" s="196"/>
      <c r="AIT159" s="196"/>
      <c r="AIU159" s="196"/>
      <c r="AIV159" s="196"/>
      <c r="AIW159" s="196"/>
      <c r="AIX159" s="196"/>
      <c r="AIY159" s="196"/>
      <c r="AIZ159" s="196"/>
      <c r="AJA159" s="196"/>
      <c r="AJB159" s="196"/>
      <c r="AJC159" s="196"/>
      <c r="AJD159" s="196"/>
      <c r="AJE159" s="196"/>
      <c r="AJF159" s="196"/>
      <c r="AJG159" s="196"/>
      <c r="AJH159" s="196"/>
      <c r="AJI159" s="196"/>
      <c r="AJJ159" s="196"/>
      <c r="AJK159" s="196"/>
      <c r="AJL159" s="196"/>
      <c r="AJM159" s="196"/>
      <c r="AJN159" s="196"/>
      <c r="AJO159" s="196"/>
      <c r="AJP159" s="196"/>
      <c r="AJQ159" s="196"/>
      <c r="AJR159" s="196"/>
      <c r="AJS159" s="196"/>
      <c r="AJT159" s="196"/>
      <c r="AJU159" s="196"/>
      <c r="AJV159" s="196"/>
      <c r="AJW159" s="196"/>
      <c r="AJX159" s="196"/>
      <c r="AJY159" s="196"/>
      <c r="AJZ159" s="196"/>
      <c r="AKA159" s="196"/>
      <c r="AKB159" s="196"/>
      <c r="AKC159" s="196"/>
      <c r="AKD159" s="196"/>
      <c r="AKE159" s="196"/>
      <c r="AKF159" s="196"/>
      <c r="AKG159" s="196"/>
      <c r="AKH159" s="196"/>
      <c r="AKI159" s="196"/>
      <c r="AKJ159" s="196"/>
      <c r="AKK159" s="196"/>
      <c r="AKL159" s="196"/>
      <c r="AKM159" s="196"/>
      <c r="AKN159" s="196"/>
      <c r="AKO159" s="196"/>
      <c r="AKP159" s="196"/>
      <c r="AKQ159" s="196"/>
      <c r="AKR159" s="196"/>
      <c r="AKS159" s="196"/>
      <c r="AKT159" s="196"/>
      <c r="AKU159" s="196"/>
      <c r="AKV159" s="196"/>
      <c r="AKW159" s="196"/>
      <c r="AKX159" s="196"/>
      <c r="AKY159" s="196"/>
      <c r="AKZ159" s="196"/>
      <c r="ALA159" s="196"/>
      <c r="ALB159" s="196"/>
      <c r="ALC159" s="196"/>
      <c r="ALD159" s="196"/>
      <c r="ALE159" s="196"/>
      <c r="ALF159" s="196"/>
      <c r="ALG159" s="196"/>
      <c r="ALH159" s="196"/>
      <c r="ALI159" s="196"/>
      <c r="ALJ159" s="196"/>
      <c r="ALK159" s="196"/>
      <c r="ALL159" s="196"/>
      <c r="ALM159" s="196"/>
      <c r="ALN159" s="196"/>
      <c r="ALO159" s="196"/>
      <c r="ALP159" s="196"/>
      <c r="ALQ159" s="196"/>
      <c r="ALR159" s="196"/>
      <c r="ALS159" s="196"/>
      <c r="ALT159" s="196"/>
      <c r="ALU159" s="196"/>
      <c r="ALV159" s="196"/>
      <c r="ALW159" s="196"/>
      <c r="ALX159" s="196"/>
      <c r="ALY159" s="196"/>
      <c r="ALZ159" s="196"/>
      <c r="AMA159" s="196"/>
      <c r="AMB159" s="196"/>
      <c r="AMC159" s="196"/>
      <c r="AMD159" s="196"/>
      <c r="AME159" s="196"/>
      <c r="AMF159" s="196"/>
      <c r="AMG159" s="196"/>
      <c r="AMH159" s="196"/>
      <c r="AMI159" s="196"/>
      <c r="AMJ159" s="196"/>
    </row>
    <row r="160" customFormat="false" ht="15.75" hidden="false" customHeight="true" outlineLevel="0" collapsed="false">
      <c r="A160" s="196"/>
      <c r="B160" s="78"/>
      <c r="C160" s="264" t="s">
        <v>188</v>
      </c>
      <c r="D160" s="265" t="s">
        <v>189</v>
      </c>
      <c r="E160" s="266" t="s">
        <v>4</v>
      </c>
      <c r="F160" s="267"/>
      <c r="G160" s="10"/>
      <c r="H160" s="24"/>
      <c r="I160" s="268"/>
      <c r="J160" s="8"/>
      <c r="K160" s="8"/>
      <c r="L160" s="7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  <c r="AA160" s="196"/>
      <c r="AB160" s="196"/>
      <c r="AC160" s="196"/>
      <c r="AD160" s="196"/>
      <c r="AE160" s="196"/>
      <c r="AF160" s="196"/>
      <c r="AG160" s="196"/>
      <c r="AH160" s="196"/>
      <c r="AI160" s="196"/>
      <c r="AJ160" s="196"/>
      <c r="AK160" s="196"/>
      <c r="AL160" s="196"/>
      <c r="AM160" s="196"/>
      <c r="AN160" s="196"/>
      <c r="AO160" s="196"/>
      <c r="AP160" s="196"/>
      <c r="AQ160" s="196"/>
      <c r="AR160" s="196"/>
      <c r="AS160" s="196"/>
      <c r="AT160" s="196"/>
      <c r="AU160" s="196"/>
      <c r="AV160" s="196"/>
      <c r="AW160" s="196"/>
      <c r="AX160" s="196"/>
      <c r="AY160" s="196"/>
      <c r="AZ160" s="196"/>
      <c r="BA160" s="196"/>
      <c r="BB160" s="196"/>
      <c r="BC160" s="196"/>
      <c r="BD160" s="196"/>
      <c r="BE160" s="196"/>
      <c r="BF160" s="196"/>
      <c r="BG160" s="196"/>
      <c r="BH160" s="196"/>
      <c r="BI160" s="196"/>
      <c r="BJ160" s="196"/>
      <c r="BK160" s="196"/>
      <c r="BL160" s="196"/>
      <c r="BM160" s="196"/>
      <c r="BN160" s="196"/>
      <c r="BO160" s="196"/>
      <c r="BP160" s="196"/>
      <c r="BQ160" s="196"/>
      <c r="BR160" s="196"/>
      <c r="BS160" s="196"/>
      <c r="BT160" s="196"/>
      <c r="BU160" s="196"/>
      <c r="BV160" s="196"/>
      <c r="BW160" s="196"/>
      <c r="BX160" s="196"/>
      <c r="BY160" s="196"/>
      <c r="BZ160" s="196"/>
      <c r="CA160" s="196"/>
      <c r="CB160" s="196"/>
      <c r="CC160" s="196"/>
      <c r="CD160" s="196"/>
      <c r="CE160" s="196"/>
      <c r="CF160" s="196"/>
      <c r="CG160" s="196"/>
      <c r="CH160" s="196"/>
      <c r="CI160" s="196"/>
      <c r="CJ160" s="196"/>
      <c r="CK160" s="196"/>
      <c r="CL160" s="196"/>
      <c r="CM160" s="196"/>
      <c r="CN160" s="196"/>
      <c r="CO160" s="196"/>
      <c r="CP160" s="196"/>
      <c r="CQ160" s="196"/>
      <c r="CR160" s="196"/>
      <c r="CS160" s="196"/>
      <c r="CT160" s="196"/>
      <c r="CU160" s="196"/>
      <c r="CV160" s="196"/>
      <c r="CW160" s="196"/>
      <c r="CX160" s="196"/>
      <c r="CY160" s="196"/>
      <c r="CZ160" s="196"/>
      <c r="DA160" s="196"/>
      <c r="DB160" s="196"/>
      <c r="DC160" s="196"/>
      <c r="DD160" s="196"/>
      <c r="DE160" s="196"/>
      <c r="DF160" s="196"/>
      <c r="DG160" s="196"/>
      <c r="DH160" s="196"/>
      <c r="DI160" s="196"/>
      <c r="DJ160" s="196"/>
      <c r="DK160" s="196"/>
      <c r="DL160" s="196"/>
      <c r="DM160" s="196"/>
      <c r="DN160" s="196"/>
      <c r="DO160" s="196"/>
      <c r="DP160" s="196"/>
      <c r="DQ160" s="196"/>
      <c r="DR160" s="196"/>
      <c r="DS160" s="196"/>
      <c r="DT160" s="196"/>
      <c r="DU160" s="196"/>
      <c r="DV160" s="196"/>
      <c r="DW160" s="196"/>
      <c r="DX160" s="196"/>
      <c r="DY160" s="196"/>
      <c r="DZ160" s="196"/>
      <c r="EA160" s="196"/>
      <c r="EB160" s="196"/>
      <c r="EC160" s="196"/>
      <c r="ED160" s="196"/>
      <c r="EE160" s="196"/>
      <c r="EF160" s="196"/>
      <c r="EG160" s="196"/>
      <c r="EH160" s="196"/>
      <c r="EI160" s="196"/>
      <c r="EJ160" s="196"/>
      <c r="EK160" s="196"/>
      <c r="EL160" s="196"/>
      <c r="EM160" s="196"/>
      <c r="EN160" s="196"/>
      <c r="EO160" s="196"/>
      <c r="EP160" s="196"/>
      <c r="EQ160" s="196"/>
      <c r="ER160" s="196"/>
      <c r="ES160" s="196"/>
      <c r="ET160" s="196"/>
      <c r="EU160" s="196"/>
      <c r="EV160" s="196"/>
      <c r="EW160" s="196"/>
      <c r="EX160" s="196"/>
      <c r="EY160" s="196"/>
      <c r="EZ160" s="196"/>
      <c r="FA160" s="196"/>
      <c r="FB160" s="196"/>
      <c r="FC160" s="196"/>
      <c r="FD160" s="196"/>
      <c r="FE160" s="196"/>
      <c r="FF160" s="196"/>
      <c r="FG160" s="196"/>
      <c r="FH160" s="196"/>
      <c r="FI160" s="196"/>
      <c r="FJ160" s="196"/>
      <c r="FK160" s="196"/>
      <c r="FL160" s="196"/>
      <c r="FM160" s="196"/>
      <c r="FN160" s="196"/>
      <c r="FO160" s="196"/>
      <c r="FP160" s="196"/>
      <c r="FQ160" s="196"/>
      <c r="FR160" s="196"/>
      <c r="FS160" s="196"/>
      <c r="FT160" s="196"/>
      <c r="FU160" s="196"/>
      <c r="FV160" s="196"/>
      <c r="FW160" s="196"/>
      <c r="FX160" s="196"/>
      <c r="FY160" s="196"/>
      <c r="FZ160" s="196"/>
      <c r="GA160" s="196"/>
      <c r="GB160" s="196"/>
      <c r="GC160" s="196"/>
      <c r="GD160" s="196"/>
      <c r="GE160" s="196"/>
      <c r="GF160" s="196"/>
      <c r="GG160" s="196"/>
      <c r="GH160" s="196"/>
      <c r="GI160" s="196"/>
      <c r="GJ160" s="196"/>
      <c r="GK160" s="196"/>
      <c r="GL160" s="196"/>
      <c r="GM160" s="196"/>
      <c r="GN160" s="196"/>
      <c r="GO160" s="196"/>
      <c r="GP160" s="196"/>
      <c r="GQ160" s="196"/>
      <c r="GR160" s="196"/>
      <c r="GS160" s="196"/>
      <c r="GT160" s="196"/>
      <c r="GU160" s="196"/>
      <c r="GV160" s="196"/>
      <c r="GW160" s="196"/>
      <c r="GX160" s="196"/>
      <c r="GY160" s="196"/>
      <c r="GZ160" s="196"/>
      <c r="HA160" s="196"/>
      <c r="HB160" s="196"/>
      <c r="HC160" s="196"/>
      <c r="HD160" s="196"/>
      <c r="HE160" s="196"/>
      <c r="HF160" s="196"/>
      <c r="HG160" s="196"/>
      <c r="HH160" s="196"/>
      <c r="HI160" s="196"/>
      <c r="HJ160" s="196"/>
      <c r="HK160" s="196"/>
      <c r="HL160" s="196"/>
      <c r="HM160" s="196"/>
      <c r="HN160" s="196"/>
      <c r="HO160" s="196"/>
      <c r="HP160" s="196"/>
      <c r="HQ160" s="196"/>
      <c r="HR160" s="196"/>
      <c r="HS160" s="196"/>
      <c r="HT160" s="196"/>
      <c r="HU160" s="196"/>
      <c r="HV160" s="196"/>
      <c r="HW160" s="196"/>
      <c r="HX160" s="196"/>
      <c r="HY160" s="196"/>
      <c r="HZ160" s="196"/>
      <c r="IA160" s="196"/>
      <c r="IB160" s="196"/>
      <c r="IC160" s="196"/>
      <c r="ID160" s="196"/>
      <c r="IE160" s="196"/>
      <c r="IF160" s="196"/>
      <c r="IG160" s="196"/>
      <c r="IH160" s="196"/>
      <c r="II160" s="196"/>
      <c r="IJ160" s="196"/>
      <c r="IK160" s="196"/>
      <c r="IL160" s="196"/>
      <c r="IM160" s="196"/>
      <c r="IN160" s="196"/>
      <c r="IO160" s="196"/>
      <c r="IP160" s="196"/>
      <c r="IQ160" s="196"/>
      <c r="IR160" s="196"/>
      <c r="IS160" s="196"/>
      <c r="IT160" s="196"/>
      <c r="IU160" s="196"/>
      <c r="IV160" s="196"/>
      <c r="IW160" s="196"/>
      <c r="IX160" s="196"/>
      <c r="IY160" s="196"/>
      <c r="IZ160" s="196"/>
      <c r="JA160" s="196"/>
      <c r="JB160" s="196"/>
      <c r="JC160" s="196"/>
      <c r="JD160" s="196"/>
      <c r="JE160" s="196"/>
      <c r="JF160" s="196"/>
      <c r="JG160" s="196"/>
      <c r="JH160" s="196"/>
      <c r="JI160" s="196"/>
      <c r="JJ160" s="196"/>
      <c r="JK160" s="196"/>
      <c r="JL160" s="196"/>
      <c r="JM160" s="196"/>
      <c r="JN160" s="196"/>
      <c r="JO160" s="196"/>
      <c r="JP160" s="196"/>
      <c r="JQ160" s="196"/>
      <c r="JR160" s="196"/>
      <c r="JS160" s="196"/>
      <c r="JT160" s="196"/>
      <c r="JU160" s="196"/>
      <c r="JV160" s="196"/>
      <c r="JW160" s="196"/>
      <c r="JX160" s="196"/>
      <c r="JY160" s="196"/>
      <c r="JZ160" s="196"/>
      <c r="KA160" s="196"/>
      <c r="KB160" s="196"/>
      <c r="KC160" s="196"/>
      <c r="KD160" s="196"/>
      <c r="KE160" s="196"/>
      <c r="KF160" s="196"/>
      <c r="KG160" s="196"/>
      <c r="KH160" s="196"/>
      <c r="KI160" s="196"/>
      <c r="KJ160" s="196"/>
      <c r="KK160" s="196"/>
      <c r="KL160" s="196"/>
      <c r="KM160" s="196"/>
      <c r="KN160" s="196"/>
      <c r="KO160" s="196"/>
      <c r="KP160" s="196"/>
      <c r="KQ160" s="196"/>
      <c r="KR160" s="196"/>
      <c r="KS160" s="196"/>
      <c r="KT160" s="196"/>
      <c r="KU160" s="196"/>
      <c r="KV160" s="196"/>
      <c r="KW160" s="196"/>
      <c r="KX160" s="196"/>
      <c r="KY160" s="196"/>
      <c r="KZ160" s="196"/>
      <c r="LA160" s="196"/>
      <c r="LB160" s="196"/>
      <c r="LC160" s="196"/>
      <c r="LD160" s="196"/>
      <c r="LE160" s="196"/>
      <c r="LF160" s="196"/>
      <c r="LG160" s="196"/>
      <c r="LH160" s="196"/>
      <c r="LI160" s="196"/>
      <c r="LJ160" s="196"/>
      <c r="LK160" s="196"/>
      <c r="LL160" s="196"/>
      <c r="LM160" s="196"/>
      <c r="LN160" s="196"/>
      <c r="LO160" s="196"/>
      <c r="LP160" s="196"/>
      <c r="LQ160" s="196"/>
      <c r="LR160" s="196"/>
      <c r="LS160" s="196"/>
      <c r="LT160" s="196"/>
      <c r="LU160" s="196"/>
      <c r="LV160" s="196"/>
      <c r="LW160" s="196"/>
      <c r="LX160" s="196"/>
      <c r="LY160" s="196"/>
      <c r="LZ160" s="196"/>
      <c r="MA160" s="196"/>
      <c r="MB160" s="196"/>
      <c r="MC160" s="196"/>
      <c r="MD160" s="196"/>
      <c r="ME160" s="196"/>
      <c r="MF160" s="196"/>
      <c r="MG160" s="196"/>
      <c r="MH160" s="196"/>
      <c r="MI160" s="196"/>
      <c r="MJ160" s="196"/>
      <c r="MK160" s="196"/>
      <c r="ML160" s="196"/>
      <c r="MM160" s="196"/>
      <c r="MN160" s="196"/>
      <c r="MO160" s="196"/>
      <c r="MP160" s="196"/>
      <c r="MQ160" s="196"/>
      <c r="MR160" s="196"/>
      <c r="MS160" s="196"/>
      <c r="MT160" s="196"/>
      <c r="MU160" s="196"/>
      <c r="MV160" s="196"/>
      <c r="MW160" s="196"/>
      <c r="MX160" s="196"/>
      <c r="MY160" s="196"/>
      <c r="MZ160" s="196"/>
      <c r="NA160" s="196"/>
      <c r="NB160" s="196"/>
      <c r="NC160" s="196"/>
      <c r="ND160" s="196"/>
      <c r="NE160" s="196"/>
      <c r="NF160" s="196"/>
      <c r="NG160" s="196"/>
      <c r="NH160" s="196"/>
      <c r="NI160" s="196"/>
      <c r="NJ160" s="196"/>
      <c r="NK160" s="196"/>
      <c r="NL160" s="196"/>
      <c r="NM160" s="196"/>
      <c r="NN160" s="196"/>
      <c r="NO160" s="196"/>
      <c r="NP160" s="196"/>
      <c r="NQ160" s="196"/>
      <c r="NR160" s="196"/>
      <c r="NS160" s="196"/>
      <c r="NT160" s="196"/>
      <c r="NU160" s="196"/>
      <c r="NV160" s="196"/>
      <c r="NW160" s="196"/>
      <c r="NX160" s="196"/>
      <c r="NY160" s="196"/>
      <c r="NZ160" s="196"/>
      <c r="OA160" s="196"/>
      <c r="OB160" s="196"/>
      <c r="OC160" s="196"/>
      <c r="OD160" s="196"/>
      <c r="OE160" s="196"/>
      <c r="OF160" s="196"/>
      <c r="OG160" s="196"/>
      <c r="OH160" s="196"/>
      <c r="OI160" s="196"/>
      <c r="OJ160" s="196"/>
      <c r="OK160" s="196"/>
      <c r="OL160" s="196"/>
      <c r="OM160" s="196"/>
      <c r="ON160" s="196"/>
      <c r="OO160" s="196"/>
      <c r="OP160" s="196"/>
      <c r="OQ160" s="196"/>
      <c r="OR160" s="196"/>
      <c r="OS160" s="196"/>
      <c r="OT160" s="196"/>
      <c r="OU160" s="196"/>
      <c r="OV160" s="196"/>
      <c r="OW160" s="196"/>
      <c r="OX160" s="196"/>
      <c r="OY160" s="196"/>
      <c r="OZ160" s="196"/>
      <c r="PA160" s="196"/>
      <c r="PB160" s="196"/>
      <c r="PC160" s="196"/>
      <c r="PD160" s="196"/>
      <c r="PE160" s="196"/>
      <c r="PF160" s="196"/>
      <c r="PG160" s="196"/>
      <c r="PH160" s="196"/>
      <c r="PI160" s="196"/>
      <c r="PJ160" s="196"/>
      <c r="PK160" s="196"/>
      <c r="PL160" s="196"/>
      <c r="PM160" s="196"/>
      <c r="PN160" s="196"/>
      <c r="PO160" s="196"/>
      <c r="PP160" s="196"/>
      <c r="PQ160" s="196"/>
      <c r="PR160" s="196"/>
      <c r="PS160" s="196"/>
      <c r="PT160" s="196"/>
      <c r="PU160" s="196"/>
      <c r="PV160" s="196"/>
      <c r="PW160" s="196"/>
      <c r="PX160" s="196"/>
      <c r="PY160" s="196"/>
      <c r="PZ160" s="196"/>
      <c r="QA160" s="196"/>
      <c r="QB160" s="196"/>
      <c r="QC160" s="196"/>
      <c r="QD160" s="196"/>
      <c r="QE160" s="196"/>
      <c r="QF160" s="196"/>
      <c r="QG160" s="196"/>
      <c r="QH160" s="196"/>
      <c r="QI160" s="196"/>
      <c r="QJ160" s="196"/>
      <c r="QK160" s="196"/>
      <c r="QL160" s="196"/>
      <c r="QM160" s="196"/>
      <c r="QN160" s="196"/>
      <c r="QO160" s="196"/>
      <c r="QP160" s="196"/>
      <c r="QQ160" s="196"/>
      <c r="QR160" s="196"/>
      <c r="QS160" s="196"/>
      <c r="QT160" s="196"/>
      <c r="QU160" s="196"/>
      <c r="QV160" s="196"/>
      <c r="QW160" s="196"/>
      <c r="QX160" s="196"/>
      <c r="QY160" s="196"/>
      <c r="QZ160" s="196"/>
      <c r="RA160" s="196"/>
      <c r="RB160" s="196"/>
      <c r="RC160" s="196"/>
      <c r="RD160" s="196"/>
      <c r="RE160" s="196"/>
      <c r="RF160" s="196"/>
      <c r="RG160" s="196"/>
      <c r="RH160" s="196"/>
      <c r="RI160" s="196"/>
      <c r="RJ160" s="196"/>
      <c r="RK160" s="196"/>
      <c r="RL160" s="196"/>
      <c r="RM160" s="196"/>
      <c r="RN160" s="196"/>
      <c r="RO160" s="196"/>
      <c r="RP160" s="196"/>
      <c r="RQ160" s="196"/>
      <c r="RR160" s="196"/>
      <c r="RS160" s="196"/>
      <c r="RT160" s="196"/>
      <c r="RU160" s="196"/>
      <c r="RV160" s="196"/>
      <c r="RW160" s="196"/>
      <c r="RX160" s="196"/>
      <c r="RY160" s="196"/>
      <c r="RZ160" s="196"/>
      <c r="SA160" s="196"/>
      <c r="SB160" s="196"/>
      <c r="SC160" s="196"/>
      <c r="SD160" s="196"/>
      <c r="SE160" s="196"/>
      <c r="SF160" s="196"/>
      <c r="SG160" s="196"/>
      <c r="SH160" s="196"/>
      <c r="SI160" s="196"/>
      <c r="SJ160" s="196"/>
      <c r="SK160" s="196"/>
      <c r="SL160" s="196"/>
      <c r="SM160" s="196"/>
      <c r="SN160" s="196"/>
      <c r="SO160" s="196"/>
      <c r="SP160" s="196"/>
      <c r="SQ160" s="196"/>
      <c r="SR160" s="196"/>
      <c r="SS160" s="196"/>
      <c r="ST160" s="196"/>
      <c r="SU160" s="196"/>
      <c r="SV160" s="196"/>
      <c r="SW160" s="196"/>
      <c r="SX160" s="196"/>
      <c r="SY160" s="196"/>
      <c r="SZ160" s="196"/>
      <c r="TA160" s="196"/>
      <c r="TB160" s="196"/>
      <c r="TC160" s="196"/>
      <c r="TD160" s="196"/>
      <c r="TE160" s="196"/>
      <c r="TF160" s="196"/>
      <c r="TG160" s="196"/>
      <c r="TH160" s="196"/>
      <c r="TI160" s="196"/>
      <c r="TJ160" s="196"/>
      <c r="TK160" s="196"/>
      <c r="TL160" s="196"/>
      <c r="TM160" s="196"/>
      <c r="TN160" s="196"/>
      <c r="TO160" s="196"/>
      <c r="TP160" s="196"/>
      <c r="TQ160" s="196"/>
      <c r="TR160" s="196"/>
      <c r="TS160" s="196"/>
      <c r="TT160" s="196"/>
      <c r="TU160" s="196"/>
      <c r="TV160" s="196"/>
      <c r="TW160" s="196"/>
      <c r="TX160" s="196"/>
      <c r="TY160" s="196"/>
      <c r="TZ160" s="196"/>
      <c r="UA160" s="196"/>
      <c r="UB160" s="196"/>
      <c r="UC160" s="196"/>
      <c r="UD160" s="196"/>
      <c r="UE160" s="196"/>
      <c r="UF160" s="196"/>
      <c r="UG160" s="196"/>
      <c r="UH160" s="196"/>
      <c r="UI160" s="196"/>
      <c r="UJ160" s="196"/>
      <c r="UK160" s="196"/>
      <c r="UL160" s="196"/>
      <c r="UM160" s="196"/>
      <c r="UN160" s="196"/>
      <c r="UO160" s="196"/>
      <c r="UP160" s="196"/>
      <c r="UQ160" s="196"/>
      <c r="UR160" s="196"/>
      <c r="US160" s="196"/>
      <c r="UT160" s="196"/>
      <c r="UU160" s="196"/>
      <c r="UV160" s="196"/>
      <c r="UW160" s="196"/>
      <c r="UX160" s="196"/>
      <c r="UY160" s="196"/>
      <c r="UZ160" s="196"/>
      <c r="VA160" s="196"/>
      <c r="VB160" s="196"/>
      <c r="VC160" s="196"/>
      <c r="VD160" s="196"/>
      <c r="VE160" s="196"/>
      <c r="VF160" s="196"/>
      <c r="VG160" s="196"/>
      <c r="VH160" s="196"/>
      <c r="VI160" s="196"/>
      <c r="VJ160" s="196"/>
      <c r="VK160" s="196"/>
      <c r="VL160" s="196"/>
      <c r="VM160" s="196"/>
      <c r="VN160" s="196"/>
      <c r="VO160" s="196"/>
      <c r="VP160" s="196"/>
      <c r="VQ160" s="196"/>
      <c r="VR160" s="196"/>
      <c r="VS160" s="196"/>
      <c r="VT160" s="196"/>
      <c r="VU160" s="196"/>
      <c r="VV160" s="196"/>
      <c r="VW160" s="196"/>
      <c r="VX160" s="196"/>
      <c r="VY160" s="196"/>
      <c r="VZ160" s="196"/>
      <c r="WA160" s="196"/>
      <c r="WB160" s="196"/>
      <c r="WC160" s="196"/>
      <c r="WD160" s="196"/>
      <c r="WE160" s="196"/>
      <c r="WF160" s="196"/>
      <c r="WG160" s="196"/>
      <c r="WH160" s="196"/>
      <c r="WI160" s="196"/>
      <c r="WJ160" s="196"/>
      <c r="WK160" s="196"/>
      <c r="WL160" s="196"/>
      <c r="WM160" s="196"/>
      <c r="WN160" s="196"/>
      <c r="WO160" s="196"/>
      <c r="WP160" s="196"/>
      <c r="WQ160" s="196"/>
      <c r="WR160" s="196"/>
      <c r="WS160" s="196"/>
      <c r="WT160" s="196"/>
      <c r="WU160" s="196"/>
      <c r="WV160" s="196"/>
      <c r="WW160" s="196"/>
      <c r="WX160" s="196"/>
      <c r="WY160" s="196"/>
      <c r="WZ160" s="196"/>
      <c r="XA160" s="196"/>
      <c r="XB160" s="196"/>
      <c r="XC160" s="196"/>
      <c r="XD160" s="196"/>
      <c r="XE160" s="196"/>
      <c r="XF160" s="196"/>
      <c r="XG160" s="196"/>
      <c r="XH160" s="196"/>
      <c r="XI160" s="196"/>
      <c r="XJ160" s="196"/>
      <c r="XK160" s="196"/>
      <c r="XL160" s="196"/>
      <c r="XM160" s="196"/>
      <c r="XN160" s="196"/>
      <c r="XO160" s="196"/>
      <c r="XP160" s="196"/>
      <c r="XQ160" s="196"/>
      <c r="XR160" s="196"/>
      <c r="XS160" s="196"/>
      <c r="XT160" s="196"/>
      <c r="XU160" s="196"/>
      <c r="XV160" s="196"/>
      <c r="XW160" s="196"/>
      <c r="XX160" s="196"/>
      <c r="XY160" s="196"/>
      <c r="XZ160" s="196"/>
      <c r="YA160" s="196"/>
      <c r="YB160" s="196"/>
      <c r="YC160" s="196"/>
      <c r="YD160" s="196"/>
      <c r="YE160" s="196"/>
      <c r="YF160" s="196"/>
      <c r="YG160" s="196"/>
      <c r="YH160" s="196"/>
      <c r="YI160" s="196"/>
      <c r="YJ160" s="196"/>
      <c r="YK160" s="196"/>
      <c r="YL160" s="196"/>
      <c r="YM160" s="196"/>
      <c r="YN160" s="196"/>
      <c r="YO160" s="196"/>
      <c r="YP160" s="196"/>
      <c r="YQ160" s="196"/>
      <c r="YR160" s="196"/>
      <c r="YS160" s="196"/>
      <c r="YT160" s="196"/>
      <c r="YU160" s="196"/>
      <c r="YV160" s="196"/>
      <c r="YW160" s="196"/>
      <c r="YX160" s="196"/>
      <c r="YY160" s="196"/>
      <c r="YZ160" s="196"/>
      <c r="ZA160" s="196"/>
      <c r="ZB160" s="196"/>
      <c r="ZC160" s="196"/>
      <c r="ZD160" s="196"/>
      <c r="ZE160" s="196"/>
      <c r="ZF160" s="196"/>
      <c r="ZG160" s="196"/>
      <c r="ZH160" s="196"/>
      <c r="ZI160" s="196"/>
      <c r="ZJ160" s="196"/>
      <c r="ZK160" s="196"/>
      <c r="ZL160" s="196"/>
      <c r="ZM160" s="196"/>
      <c r="ZN160" s="196"/>
      <c r="ZO160" s="196"/>
      <c r="ZP160" s="196"/>
      <c r="ZQ160" s="196"/>
      <c r="ZR160" s="196"/>
      <c r="ZS160" s="196"/>
      <c r="ZT160" s="196"/>
      <c r="ZU160" s="196"/>
      <c r="ZV160" s="196"/>
      <c r="ZW160" s="196"/>
      <c r="ZX160" s="196"/>
      <c r="ZY160" s="196"/>
      <c r="ZZ160" s="196"/>
      <c r="AAA160" s="196"/>
      <c r="AAB160" s="196"/>
      <c r="AAC160" s="196"/>
      <c r="AAD160" s="196"/>
      <c r="AAE160" s="196"/>
      <c r="AAF160" s="196"/>
      <c r="AAG160" s="196"/>
      <c r="AAH160" s="196"/>
      <c r="AAI160" s="196"/>
      <c r="AAJ160" s="196"/>
      <c r="AAK160" s="196"/>
      <c r="AAL160" s="196"/>
      <c r="AAM160" s="196"/>
      <c r="AAN160" s="196"/>
      <c r="AAO160" s="196"/>
      <c r="AAP160" s="196"/>
      <c r="AAQ160" s="196"/>
      <c r="AAR160" s="196"/>
      <c r="AAS160" s="196"/>
      <c r="AAT160" s="196"/>
      <c r="AAU160" s="196"/>
      <c r="AAV160" s="196"/>
      <c r="AAW160" s="196"/>
      <c r="AAX160" s="196"/>
      <c r="AAY160" s="196"/>
      <c r="AAZ160" s="196"/>
      <c r="ABA160" s="196"/>
      <c r="ABB160" s="196"/>
      <c r="ABC160" s="196"/>
      <c r="ABD160" s="196"/>
      <c r="ABE160" s="196"/>
      <c r="ABF160" s="196"/>
      <c r="ABG160" s="196"/>
      <c r="ABH160" s="196"/>
      <c r="ABI160" s="196"/>
      <c r="ABJ160" s="196"/>
      <c r="ABK160" s="196"/>
      <c r="ABL160" s="196"/>
      <c r="ABM160" s="196"/>
      <c r="ABN160" s="196"/>
      <c r="ABO160" s="196"/>
      <c r="ABP160" s="196"/>
      <c r="ABQ160" s="196"/>
      <c r="ABR160" s="196"/>
      <c r="ABS160" s="196"/>
      <c r="ABT160" s="196"/>
      <c r="ABU160" s="196"/>
      <c r="ABV160" s="196"/>
      <c r="ABW160" s="196"/>
      <c r="ABX160" s="196"/>
      <c r="ABY160" s="196"/>
      <c r="ABZ160" s="196"/>
      <c r="ACA160" s="196"/>
      <c r="ACB160" s="196"/>
      <c r="ACC160" s="196"/>
      <c r="ACD160" s="196"/>
      <c r="ACE160" s="196"/>
      <c r="ACF160" s="196"/>
      <c r="ACG160" s="196"/>
      <c r="ACH160" s="196"/>
      <c r="ACI160" s="196"/>
      <c r="ACJ160" s="196"/>
      <c r="ACK160" s="196"/>
      <c r="ACL160" s="196"/>
      <c r="ACM160" s="196"/>
      <c r="ACN160" s="196"/>
      <c r="ACO160" s="196"/>
      <c r="ACP160" s="196"/>
      <c r="ACQ160" s="196"/>
      <c r="ACR160" s="196"/>
      <c r="ACS160" s="196"/>
      <c r="ACT160" s="196"/>
      <c r="ACU160" s="196"/>
      <c r="ACV160" s="196"/>
      <c r="ACW160" s="196"/>
      <c r="ACX160" s="196"/>
      <c r="ACY160" s="196"/>
      <c r="ACZ160" s="196"/>
      <c r="ADA160" s="196"/>
      <c r="ADB160" s="196"/>
      <c r="ADC160" s="196"/>
      <c r="ADD160" s="196"/>
      <c r="ADE160" s="196"/>
      <c r="ADF160" s="196"/>
      <c r="ADG160" s="196"/>
      <c r="ADH160" s="196"/>
      <c r="ADI160" s="196"/>
      <c r="ADJ160" s="196"/>
      <c r="ADK160" s="196"/>
      <c r="ADL160" s="196"/>
      <c r="ADM160" s="196"/>
      <c r="ADN160" s="196"/>
      <c r="ADO160" s="196"/>
      <c r="ADP160" s="196"/>
      <c r="ADQ160" s="196"/>
      <c r="ADR160" s="196"/>
      <c r="ADS160" s="196"/>
      <c r="ADT160" s="196"/>
      <c r="ADU160" s="196"/>
      <c r="ADV160" s="196"/>
      <c r="ADW160" s="196"/>
      <c r="ADX160" s="196"/>
      <c r="ADY160" s="196"/>
      <c r="ADZ160" s="196"/>
      <c r="AEA160" s="196"/>
      <c r="AEB160" s="196"/>
      <c r="AEC160" s="196"/>
      <c r="AED160" s="196"/>
      <c r="AEE160" s="196"/>
      <c r="AEF160" s="196"/>
      <c r="AEG160" s="196"/>
      <c r="AEH160" s="196"/>
      <c r="AEI160" s="196"/>
      <c r="AEJ160" s="196"/>
      <c r="AEK160" s="196"/>
      <c r="AEL160" s="196"/>
      <c r="AEM160" s="196"/>
      <c r="AEN160" s="196"/>
      <c r="AEO160" s="196"/>
      <c r="AEP160" s="196"/>
      <c r="AEQ160" s="196"/>
      <c r="AER160" s="196"/>
      <c r="AES160" s="196"/>
      <c r="AET160" s="196"/>
      <c r="AEU160" s="196"/>
      <c r="AEV160" s="196"/>
      <c r="AEW160" s="196"/>
      <c r="AEX160" s="196"/>
      <c r="AEY160" s="196"/>
      <c r="AEZ160" s="196"/>
      <c r="AFA160" s="196"/>
      <c r="AFB160" s="196"/>
      <c r="AFC160" s="196"/>
      <c r="AFD160" s="196"/>
      <c r="AFE160" s="196"/>
      <c r="AFF160" s="196"/>
      <c r="AFG160" s="196"/>
      <c r="AFH160" s="196"/>
      <c r="AFI160" s="196"/>
      <c r="AFJ160" s="196"/>
      <c r="AFK160" s="196"/>
      <c r="AFL160" s="196"/>
      <c r="AFM160" s="196"/>
      <c r="AFN160" s="196"/>
      <c r="AFO160" s="196"/>
      <c r="AFP160" s="196"/>
      <c r="AFQ160" s="196"/>
      <c r="AFR160" s="196"/>
      <c r="AFS160" s="196"/>
      <c r="AFT160" s="196"/>
      <c r="AFU160" s="196"/>
      <c r="AFV160" s="196"/>
      <c r="AFW160" s="196"/>
      <c r="AFX160" s="196"/>
      <c r="AFY160" s="196"/>
      <c r="AFZ160" s="196"/>
      <c r="AGA160" s="196"/>
      <c r="AGB160" s="196"/>
      <c r="AGC160" s="196"/>
      <c r="AGD160" s="196"/>
      <c r="AGE160" s="196"/>
      <c r="AGF160" s="196"/>
      <c r="AGG160" s="196"/>
      <c r="AGH160" s="196"/>
      <c r="AGI160" s="196"/>
      <c r="AGJ160" s="196"/>
      <c r="AGK160" s="196"/>
      <c r="AGL160" s="196"/>
      <c r="AGM160" s="196"/>
      <c r="AGN160" s="196"/>
      <c r="AGO160" s="196"/>
      <c r="AGP160" s="196"/>
      <c r="AGQ160" s="196"/>
      <c r="AGR160" s="196"/>
      <c r="AGS160" s="196"/>
      <c r="AGT160" s="196"/>
      <c r="AGU160" s="196"/>
      <c r="AGV160" s="196"/>
      <c r="AGW160" s="196"/>
      <c r="AGX160" s="196"/>
      <c r="AGY160" s="196"/>
      <c r="AGZ160" s="196"/>
      <c r="AHA160" s="196"/>
      <c r="AHB160" s="196"/>
      <c r="AHC160" s="196"/>
      <c r="AHD160" s="196"/>
      <c r="AHE160" s="196"/>
      <c r="AHF160" s="196"/>
      <c r="AHG160" s="196"/>
      <c r="AHH160" s="196"/>
      <c r="AHI160" s="196"/>
      <c r="AHJ160" s="196"/>
      <c r="AHK160" s="196"/>
      <c r="AHL160" s="196"/>
      <c r="AHM160" s="196"/>
      <c r="AHN160" s="196"/>
      <c r="AHO160" s="196"/>
      <c r="AHP160" s="196"/>
      <c r="AHQ160" s="196"/>
      <c r="AHR160" s="196"/>
      <c r="AHS160" s="196"/>
      <c r="AHT160" s="196"/>
      <c r="AHU160" s="196"/>
      <c r="AHV160" s="196"/>
      <c r="AHW160" s="196"/>
      <c r="AHX160" s="196"/>
      <c r="AHY160" s="196"/>
      <c r="AHZ160" s="196"/>
      <c r="AIA160" s="196"/>
      <c r="AIB160" s="196"/>
      <c r="AIC160" s="196"/>
      <c r="AID160" s="196"/>
      <c r="AIE160" s="196"/>
      <c r="AIF160" s="196"/>
      <c r="AIG160" s="196"/>
      <c r="AIH160" s="196"/>
      <c r="AII160" s="196"/>
      <c r="AIJ160" s="196"/>
      <c r="AIK160" s="196"/>
      <c r="AIL160" s="196"/>
      <c r="AIM160" s="196"/>
      <c r="AIN160" s="196"/>
      <c r="AIO160" s="196"/>
      <c r="AIP160" s="196"/>
      <c r="AIQ160" s="196"/>
      <c r="AIR160" s="196"/>
      <c r="AIS160" s="196"/>
      <c r="AIT160" s="196"/>
      <c r="AIU160" s="196"/>
      <c r="AIV160" s="196"/>
      <c r="AIW160" s="196"/>
      <c r="AIX160" s="196"/>
      <c r="AIY160" s="196"/>
      <c r="AIZ160" s="196"/>
      <c r="AJA160" s="196"/>
      <c r="AJB160" s="196"/>
      <c r="AJC160" s="196"/>
      <c r="AJD160" s="196"/>
      <c r="AJE160" s="196"/>
      <c r="AJF160" s="196"/>
      <c r="AJG160" s="196"/>
      <c r="AJH160" s="196"/>
      <c r="AJI160" s="196"/>
      <c r="AJJ160" s="196"/>
      <c r="AJK160" s="196"/>
      <c r="AJL160" s="196"/>
      <c r="AJM160" s="196"/>
      <c r="AJN160" s="196"/>
      <c r="AJO160" s="196"/>
      <c r="AJP160" s="196"/>
      <c r="AJQ160" s="196"/>
      <c r="AJR160" s="196"/>
      <c r="AJS160" s="196"/>
      <c r="AJT160" s="196"/>
      <c r="AJU160" s="196"/>
      <c r="AJV160" s="196"/>
      <c r="AJW160" s="196"/>
      <c r="AJX160" s="196"/>
      <c r="AJY160" s="196"/>
      <c r="AJZ160" s="196"/>
      <c r="AKA160" s="196"/>
      <c r="AKB160" s="196"/>
      <c r="AKC160" s="196"/>
      <c r="AKD160" s="196"/>
      <c r="AKE160" s="196"/>
      <c r="AKF160" s="196"/>
      <c r="AKG160" s="196"/>
      <c r="AKH160" s="196"/>
      <c r="AKI160" s="196"/>
      <c r="AKJ160" s="196"/>
      <c r="AKK160" s="196"/>
      <c r="AKL160" s="196"/>
      <c r="AKM160" s="196"/>
      <c r="AKN160" s="196"/>
      <c r="AKO160" s="196"/>
      <c r="AKP160" s="196"/>
      <c r="AKQ160" s="196"/>
      <c r="AKR160" s="196"/>
      <c r="AKS160" s="196"/>
      <c r="AKT160" s="196"/>
      <c r="AKU160" s="196"/>
      <c r="AKV160" s="196"/>
      <c r="AKW160" s="196"/>
      <c r="AKX160" s="196"/>
      <c r="AKY160" s="196"/>
      <c r="AKZ160" s="196"/>
      <c r="ALA160" s="196"/>
      <c r="ALB160" s="196"/>
      <c r="ALC160" s="196"/>
      <c r="ALD160" s="196"/>
      <c r="ALE160" s="196"/>
      <c r="ALF160" s="196"/>
      <c r="ALG160" s="196"/>
      <c r="ALH160" s="196"/>
      <c r="ALI160" s="196"/>
      <c r="ALJ160" s="196"/>
      <c r="ALK160" s="196"/>
      <c r="ALL160" s="196"/>
      <c r="ALM160" s="196"/>
      <c r="ALN160" s="196"/>
      <c r="ALO160" s="196"/>
      <c r="ALP160" s="196"/>
      <c r="ALQ160" s="196"/>
      <c r="ALR160" s="196"/>
      <c r="ALS160" s="196"/>
      <c r="ALT160" s="196"/>
      <c r="ALU160" s="196"/>
      <c r="ALV160" s="196"/>
      <c r="ALW160" s="196"/>
      <c r="ALX160" s="196"/>
      <c r="ALY160" s="196"/>
      <c r="ALZ160" s="196"/>
      <c r="AMA160" s="196"/>
      <c r="AMB160" s="196"/>
      <c r="AMC160" s="196"/>
      <c r="AMD160" s="196"/>
      <c r="AME160" s="196"/>
      <c r="AMF160" s="196"/>
      <c r="AMG160" s="196"/>
      <c r="AMH160" s="196"/>
      <c r="AMI160" s="196"/>
      <c r="AMJ160" s="196"/>
    </row>
    <row r="161" customFormat="false" ht="15.75" hidden="false" customHeight="true" outlineLevel="0" collapsed="false">
      <c r="A161" s="7"/>
      <c r="B161" s="7"/>
      <c r="C161" s="269" t="s">
        <v>6</v>
      </c>
      <c r="D161" s="270" t="n">
        <f aca="false">D12+D13+D41+D42+D43</f>
        <v>126</v>
      </c>
      <c r="E161" s="271" t="n">
        <f aca="false">F11+F40</f>
        <v>7</v>
      </c>
      <c r="F161" s="320"/>
      <c r="G161" s="272"/>
      <c r="H161" s="24"/>
      <c r="I161" s="78"/>
      <c r="J161" s="8"/>
      <c r="K161" s="8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  <c r="KS161" s="7"/>
      <c r="KT161" s="7"/>
      <c r="KU161" s="7"/>
      <c r="KV161" s="7"/>
      <c r="KW161" s="7"/>
      <c r="KX161" s="7"/>
      <c r="KY161" s="7"/>
      <c r="KZ161" s="7"/>
      <c r="LA161" s="7"/>
      <c r="LB161" s="7"/>
      <c r="LC161" s="7"/>
      <c r="LD161" s="7"/>
      <c r="LE161" s="7"/>
      <c r="LF161" s="7"/>
      <c r="LG161" s="7"/>
      <c r="LH161" s="7"/>
      <c r="LI161" s="7"/>
      <c r="LJ161" s="7"/>
      <c r="LK161" s="7"/>
      <c r="LL161" s="7"/>
      <c r="LM161" s="7"/>
      <c r="LN161" s="7"/>
      <c r="LO161" s="7"/>
      <c r="LP161" s="7"/>
      <c r="LQ161" s="7"/>
      <c r="LR161" s="7"/>
      <c r="LS161" s="7"/>
      <c r="LT161" s="7"/>
      <c r="LU161" s="7"/>
      <c r="LV161" s="7"/>
      <c r="LW161" s="7"/>
      <c r="LX161" s="7"/>
      <c r="LY161" s="7"/>
      <c r="LZ161" s="7"/>
      <c r="MA161" s="7"/>
      <c r="MB161" s="7"/>
      <c r="MC161" s="7"/>
      <c r="MD161" s="7"/>
      <c r="ME161" s="7"/>
      <c r="MF161" s="7"/>
      <c r="MG161" s="7"/>
      <c r="MH161" s="7"/>
      <c r="MI161" s="7"/>
      <c r="MJ161" s="7"/>
      <c r="MK161" s="7"/>
      <c r="ML161" s="7"/>
      <c r="MM161" s="7"/>
      <c r="MN161" s="7"/>
      <c r="MO161" s="7"/>
      <c r="MP161" s="7"/>
      <c r="MQ161" s="7"/>
      <c r="MR161" s="7"/>
      <c r="MS161" s="7"/>
      <c r="MT161" s="7"/>
      <c r="MU161" s="7"/>
      <c r="MV161" s="7"/>
      <c r="MW161" s="7"/>
      <c r="MX161" s="7"/>
      <c r="MY161" s="7"/>
      <c r="MZ161" s="7"/>
      <c r="NA161" s="7"/>
      <c r="NB161" s="7"/>
      <c r="NC161" s="7"/>
      <c r="ND161" s="7"/>
      <c r="NE161" s="7"/>
      <c r="NF161" s="7"/>
      <c r="NG161" s="7"/>
      <c r="NH161" s="7"/>
      <c r="NI161" s="7"/>
      <c r="NJ161" s="7"/>
      <c r="NK161" s="7"/>
      <c r="NL161" s="7"/>
      <c r="NM161" s="7"/>
      <c r="NN161" s="7"/>
      <c r="NO161" s="7"/>
      <c r="NP161" s="7"/>
      <c r="NQ161" s="7"/>
      <c r="NR161" s="7"/>
      <c r="NS161" s="7"/>
      <c r="NT161" s="7"/>
      <c r="NU161" s="7"/>
      <c r="NV161" s="7"/>
      <c r="NW161" s="7"/>
      <c r="NX161" s="7"/>
      <c r="NY161" s="7"/>
      <c r="NZ161" s="7"/>
      <c r="OA161" s="7"/>
      <c r="OB161" s="7"/>
      <c r="OC161" s="7"/>
      <c r="OD161" s="7"/>
      <c r="OE161" s="7"/>
      <c r="OF161" s="7"/>
      <c r="OG161" s="7"/>
      <c r="OH161" s="7"/>
      <c r="OI161" s="7"/>
      <c r="OJ161" s="7"/>
      <c r="OK161" s="7"/>
      <c r="OL161" s="7"/>
      <c r="OM161" s="7"/>
      <c r="ON161" s="7"/>
      <c r="OO161" s="7"/>
      <c r="OP161" s="7"/>
      <c r="OQ161" s="7"/>
      <c r="OR161" s="7"/>
      <c r="OS161" s="7"/>
      <c r="OT161" s="7"/>
      <c r="OU161" s="7"/>
      <c r="OV161" s="7"/>
      <c r="OW161" s="7"/>
      <c r="OX161" s="7"/>
      <c r="OY161" s="7"/>
      <c r="OZ161" s="7"/>
      <c r="PA161" s="7"/>
      <c r="PB161" s="7"/>
      <c r="PC161" s="7"/>
      <c r="PD161" s="7"/>
      <c r="PE161" s="7"/>
      <c r="PF161" s="7"/>
      <c r="PG161" s="7"/>
      <c r="PH161" s="7"/>
      <c r="PI161" s="7"/>
      <c r="PJ161" s="7"/>
      <c r="PK161" s="7"/>
      <c r="PL161" s="7"/>
      <c r="PM161" s="7"/>
      <c r="PN161" s="7"/>
      <c r="PO161" s="7"/>
      <c r="PP161" s="7"/>
      <c r="PQ161" s="7"/>
      <c r="PR161" s="7"/>
      <c r="PS161" s="7"/>
      <c r="PT161" s="7"/>
      <c r="PU161" s="7"/>
      <c r="PV161" s="7"/>
      <c r="PW161" s="7"/>
      <c r="PX161" s="7"/>
      <c r="PY161" s="7"/>
      <c r="PZ161" s="7"/>
      <c r="QA161" s="7"/>
      <c r="QB161" s="7"/>
      <c r="QC161" s="7"/>
      <c r="QD161" s="7"/>
      <c r="QE161" s="7"/>
      <c r="QF161" s="7"/>
      <c r="QG161" s="7"/>
      <c r="QH161" s="7"/>
      <c r="QI161" s="7"/>
      <c r="QJ161" s="7"/>
      <c r="QK161" s="7"/>
      <c r="QL161" s="7"/>
      <c r="QM161" s="7"/>
      <c r="QN161" s="7"/>
      <c r="QO161" s="7"/>
      <c r="QP161" s="7"/>
      <c r="QQ161" s="7"/>
      <c r="QR161" s="7"/>
      <c r="QS161" s="7"/>
      <c r="QT161" s="7"/>
      <c r="QU161" s="7"/>
      <c r="QV161" s="7"/>
      <c r="QW161" s="7"/>
      <c r="QX161" s="7"/>
      <c r="QY161" s="7"/>
      <c r="QZ161" s="7"/>
      <c r="RA161" s="7"/>
      <c r="RB161" s="7"/>
      <c r="RC161" s="7"/>
      <c r="RD161" s="7"/>
      <c r="RE161" s="7"/>
      <c r="RF161" s="7"/>
      <c r="RG161" s="7"/>
      <c r="RH161" s="7"/>
      <c r="RI161" s="7"/>
      <c r="RJ161" s="7"/>
      <c r="RK161" s="7"/>
      <c r="RL161" s="7"/>
      <c r="RM161" s="7"/>
      <c r="RN161" s="7"/>
      <c r="RO161" s="7"/>
      <c r="RP161" s="7"/>
      <c r="RQ161" s="7"/>
      <c r="RR161" s="7"/>
      <c r="RS161" s="7"/>
      <c r="RT161" s="7"/>
      <c r="RU161" s="7"/>
      <c r="RV161" s="7"/>
      <c r="RW161" s="7"/>
      <c r="RX161" s="7"/>
      <c r="RY161" s="7"/>
      <c r="RZ161" s="7"/>
      <c r="SA161" s="7"/>
      <c r="SB161" s="7"/>
      <c r="SC161" s="7"/>
      <c r="SD161" s="7"/>
      <c r="SE161" s="7"/>
      <c r="SF161" s="7"/>
      <c r="SG161" s="7"/>
      <c r="SH161" s="7"/>
      <c r="SI161" s="7"/>
      <c r="SJ161" s="7"/>
      <c r="SK161" s="7"/>
      <c r="SL161" s="7"/>
      <c r="SM161" s="7"/>
      <c r="SN161" s="7"/>
      <c r="SO161" s="7"/>
      <c r="SP161" s="7"/>
      <c r="SQ161" s="7"/>
      <c r="SR161" s="7"/>
      <c r="SS161" s="7"/>
      <c r="ST161" s="7"/>
      <c r="SU161" s="7"/>
      <c r="SV161" s="7"/>
      <c r="SW161" s="7"/>
      <c r="SX161" s="7"/>
      <c r="SY161" s="7"/>
      <c r="SZ161" s="7"/>
      <c r="TA161" s="7"/>
      <c r="TB161" s="7"/>
      <c r="TC161" s="7"/>
      <c r="TD161" s="7"/>
      <c r="TE161" s="7"/>
      <c r="TF161" s="7"/>
      <c r="TG161" s="7"/>
      <c r="TH161" s="7"/>
      <c r="TI161" s="7"/>
      <c r="TJ161" s="7"/>
      <c r="TK161" s="7"/>
      <c r="TL161" s="7"/>
      <c r="TM161" s="7"/>
      <c r="TN161" s="7"/>
      <c r="TO161" s="7"/>
      <c r="TP161" s="7"/>
      <c r="TQ161" s="7"/>
      <c r="TR161" s="7"/>
      <c r="TS161" s="7"/>
      <c r="TT161" s="7"/>
      <c r="TU161" s="7"/>
      <c r="TV161" s="7"/>
      <c r="TW161" s="7"/>
      <c r="TX161" s="7"/>
      <c r="TY161" s="7"/>
      <c r="TZ161" s="7"/>
      <c r="UA161" s="7"/>
      <c r="UB161" s="7"/>
      <c r="UC161" s="7"/>
      <c r="UD161" s="7"/>
      <c r="UE161" s="7"/>
      <c r="UF161" s="7"/>
      <c r="UG161" s="7"/>
      <c r="UH161" s="7"/>
      <c r="UI161" s="7"/>
      <c r="UJ161" s="7"/>
      <c r="UK161" s="7"/>
      <c r="UL161" s="7"/>
      <c r="UM161" s="7"/>
      <c r="UN161" s="7"/>
      <c r="UO161" s="7"/>
      <c r="UP161" s="7"/>
      <c r="UQ161" s="7"/>
      <c r="UR161" s="7"/>
      <c r="US161" s="7"/>
      <c r="UT161" s="7"/>
      <c r="UU161" s="7"/>
      <c r="UV161" s="7"/>
      <c r="UW161" s="7"/>
      <c r="UX161" s="7"/>
      <c r="UY161" s="7"/>
      <c r="UZ161" s="7"/>
      <c r="VA161" s="7"/>
      <c r="VB161" s="7"/>
      <c r="VC161" s="7"/>
      <c r="VD161" s="7"/>
      <c r="VE161" s="7"/>
      <c r="VF161" s="7"/>
      <c r="VG161" s="7"/>
      <c r="VH161" s="7"/>
      <c r="VI161" s="7"/>
      <c r="VJ161" s="7"/>
      <c r="VK161" s="7"/>
      <c r="VL161" s="7"/>
      <c r="VM161" s="7"/>
      <c r="VN161" s="7"/>
      <c r="VO161" s="7"/>
      <c r="VP161" s="7"/>
      <c r="VQ161" s="7"/>
      <c r="VR161" s="7"/>
      <c r="VS161" s="7"/>
      <c r="VT161" s="7"/>
      <c r="VU161" s="7"/>
      <c r="VV161" s="7"/>
      <c r="VW161" s="7"/>
      <c r="VX161" s="7"/>
      <c r="VY161" s="7"/>
      <c r="VZ161" s="7"/>
      <c r="WA161" s="7"/>
      <c r="WB161" s="7"/>
      <c r="WC161" s="7"/>
      <c r="WD161" s="7"/>
      <c r="WE161" s="7"/>
      <c r="WF161" s="7"/>
      <c r="WG161" s="7"/>
      <c r="WH161" s="7"/>
      <c r="WI161" s="7"/>
      <c r="WJ161" s="7"/>
      <c r="WK161" s="7"/>
      <c r="WL161" s="7"/>
      <c r="WM161" s="7"/>
      <c r="WN161" s="7"/>
      <c r="WO161" s="7"/>
      <c r="WP161" s="7"/>
      <c r="WQ161" s="7"/>
      <c r="WR161" s="7"/>
      <c r="WS161" s="7"/>
      <c r="WT161" s="7"/>
      <c r="WU161" s="7"/>
      <c r="WV161" s="7"/>
      <c r="WW161" s="7"/>
      <c r="WX161" s="7"/>
      <c r="WY161" s="7"/>
      <c r="WZ161" s="7"/>
      <c r="XA161" s="7"/>
      <c r="XB161" s="7"/>
      <c r="XC161" s="7"/>
      <c r="XD161" s="7"/>
      <c r="XE161" s="7"/>
      <c r="XF161" s="7"/>
      <c r="XG161" s="7"/>
      <c r="XH161" s="7"/>
      <c r="XI161" s="7"/>
      <c r="XJ161" s="7"/>
      <c r="XK161" s="7"/>
      <c r="XL161" s="7"/>
      <c r="XM161" s="7"/>
      <c r="XN161" s="7"/>
      <c r="XO161" s="7"/>
      <c r="XP161" s="7"/>
      <c r="XQ161" s="7"/>
      <c r="XR161" s="7"/>
      <c r="XS161" s="7"/>
      <c r="XT161" s="7"/>
      <c r="XU161" s="7"/>
      <c r="XV161" s="7"/>
      <c r="XW161" s="7"/>
      <c r="XX161" s="7"/>
      <c r="XY161" s="7"/>
      <c r="XZ161" s="7"/>
      <c r="YA161" s="7"/>
      <c r="YB161" s="7"/>
      <c r="YC161" s="7"/>
      <c r="YD161" s="7"/>
      <c r="YE161" s="7"/>
      <c r="YF161" s="7"/>
      <c r="YG161" s="7"/>
      <c r="YH161" s="7"/>
      <c r="YI161" s="7"/>
      <c r="YJ161" s="7"/>
      <c r="YK161" s="7"/>
      <c r="YL161" s="7"/>
      <c r="YM161" s="7"/>
      <c r="YN161" s="7"/>
      <c r="YO161" s="7"/>
      <c r="YP161" s="7"/>
      <c r="YQ161" s="7"/>
      <c r="YR161" s="7"/>
      <c r="YS161" s="7"/>
      <c r="YT161" s="7"/>
      <c r="YU161" s="7"/>
      <c r="YV161" s="7"/>
      <c r="YW161" s="7"/>
      <c r="YX161" s="7"/>
      <c r="YY161" s="7"/>
      <c r="YZ161" s="7"/>
      <c r="ZA161" s="7"/>
      <c r="ZB161" s="7"/>
      <c r="ZC161" s="7"/>
      <c r="ZD161" s="7"/>
      <c r="ZE161" s="7"/>
      <c r="ZF161" s="7"/>
      <c r="ZG161" s="7"/>
      <c r="ZH161" s="7"/>
      <c r="ZI161" s="7"/>
      <c r="ZJ161" s="7"/>
      <c r="ZK161" s="7"/>
      <c r="ZL161" s="7"/>
      <c r="ZM161" s="7"/>
      <c r="ZN161" s="7"/>
      <c r="ZO161" s="7"/>
      <c r="ZP161" s="7"/>
      <c r="ZQ161" s="7"/>
      <c r="ZR161" s="7"/>
      <c r="ZS161" s="7"/>
      <c r="ZT161" s="7"/>
      <c r="ZU161" s="7"/>
      <c r="ZV161" s="7"/>
      <c r="ZW161" s="7"/>
      <c r="ZX161" s="7"/>
      <c r="ZY161" s="7"/>
      <c r="ZZ161" s="7"/>
      <c r="AAA161" s="7"/>
      <c r="AAB161" s="7"/>
      <c r="AAC161" s="7"/>
      <c r="AAD161" s="7"/>
      <c r="AAE161" s="7"/>
      <c r="AAF161" s="7"/>
      <c r="AAG161" s="7"/>
      <c r="AAH161" s="7"/>
      <c r="AAI161" s="7"/>
      <c r="AAJ161" s="7"/>
      <c r="AAK161" s="7"/>
      <c r="AAL161" s="7"/>
      <c r="AAM161" s="7"/>
      <c r="AAN161" s="7"/>
      <c r="AAO161" s="7"/>
      <c r="AAP161" s="7"/>
      <c r="AAQ161" s="7"/>
      <c r="AAR161" s="7"/>
      <c r="AAS161" s="7"/>
      <c r="AAT161" s="7"/>
      <c r="AAU161" s="7"/>
      <c r="AAV161" s="7"/>
      <c r="AAW161" s="7"/>
      <c r="AAX161" s="7"/>
      <c r="AAY161" s="7"/>
      <c r="AAZ161" s="7"/>
      <c r="ABA161" s="7"/>
      <c r="ABB161" s="7"/>
      <c r="ABC161" s="7"/>
      <c r="ABD161" s="7"/>
      <c r="ABE161" s="7"/>
      <c r="ABF161" s="7"/>
      <c r="ABG161" s="7"/>
      <c r="ABH161" s="7"/>
      <c r="ABI161" s="7"/>
      <c r="ABJ161" s="7"/>
      <c r="ABK161" s="7"/>
      <c r="ABL161" s="7"/>
      <c r="ABM161" s="7"/>
      <c r="ABN161" s="7"/>
      <c r="ABO161" s="7"/>
      <c r="ABP161" s="7"/>
      <c r="ABQ161" s="7"/>
      <c r="ABR161" s="7"/>
      <c r="ABS161" s="7"/>
      <c r="ABT161" s="7"/>
      <c r="ABU161" s="7"/>
      <c r="ABV161" s="7"/>
      <c r="ABW161" s="7"/>
      <c r="ABX161" s="7"/>
      <c r="ABY161" s="7"/>
      <c r="ABZ161" s="7"/>
      <c r="ACA161" s="7"/>
      <c r="ACB161" s="7"/>
      <c r="ACC161" s="7"/>
      <c r="ACD161" s="7"/>
      <c r="ACE161" s="7"/>
      <c r="ACF161" s="7"/>
      <c r="ACG161" s="7"/>
      <c r="ACH161" s="7"/>
      <c r="ACI161" s="7"/>
      <c r="ACJ161" s="7"/>
      <c r="ACK161" s="7"/>
      <c r="ACL161" s="7"/>
      <c r="ACM161" s="7"/>
      <c r="ACN161" s="7"/>
      <c r="ACO161" s="7"/>
      <c r="ACP161" s="7"/>
      <c r="ACQ161" s="7"/>
      <c r="ACR161" s="7"/>
      <c r="ACS161" s="7"/>
      <c r="ACT161" s="7"/>
      <c r="ACU161" s="7"/>
      <c r="ACV161" s="7"/>
      <c r="ACW161" s="7"/>
      <c r="ACX161" s="7"/>
      <c r="ACY161" s="7"/>
      <c r="ACZ161" s="7"/>
      <c r="ADA161" s="7"/>
      <c r="ADB161" s="7"/>
      <c r="ADC161" s="7"/>
      <c r="ADD161" s="7"/>
      <c r="ADE161" s="7"/>
      <c r="ADF161" s="7"/>
      <c r="ADG161" s="7"/>
      <c r="ADH161" s="7"/>
      <c r="ADI161" s="7"/>
      <c r="ADJ161" s="7"/>
      <c r="ADK161" s="7"/>
      <c r="ADL161" s="7"/>
      <c r="ADM161" s="7"/>
      <c r="ADN161" s="7"/>
      <c r="ADO161" s="7"/>
      <c r="ADP161" s="7"/>
      <c r="ADQ161" s="7"/>
      <c r="ADR161" s="7"/>
      <c r="ADS161" s="7"/>
      <c r="ADT161" s="7"/>
      <c r="ADU161" s="7"/>
      <c r="ADV161" s="7"/>
      <c r="ADW161" s="7"/>
      <c r="ADX161" s="7"/>
      <c r="ADY161" s="7"/>
      <c r="ADZ161" s="7"/>
      <c r="AEA161" s="7"/>
      <c r="AEB161" s="7"/>
      <c r="AEC161" s="7"/>
      <c r="AED161" s="7"/>
      <c r="AEE161" s="7"/>
      <c r="AEF161" s="7"/>
      <c r="AEG161" s="7"/>
      <c r="AEH161" s="7"/>
      <c r="AEI161" s="7"/>
      <c r="AEJ161" s="7"/>
      <c r="AEK161" s="7"/>
      <c r="AEL161" s="7"/>
      <c r="AEM161" s="7"/>
      <c r="AEN161" s="7"/>
      <c r="AEO161" s="7"/>
      <c r="AEP161" s="7"/>
      <c r="AEQ161" s="7"/>
      <c r="AER161" s="7"/>
      <c r="AES161" s="7"/>
      <c r="AET161" s="7"/>
      <c r="AEU161" s="7"/>
      <c r="AEV161" s="7"/>
      <c r="AEW161" s="7"/>
      <c r="AEX161" s="7"/>
      <c r="AEY161" s="7"/>
      <c r="AEZ161" s="7"/>
      <c r="AFA161" s="7"/>
      <c r="AFB161" s="7"/>
      <c r="AFC161" s="7"/>
      <c r="AFD161" s="7"/>
      <c r="AFE161" s="7"/>
      <c r="AFF161" s="7"/>
      <c r="AFG161" s="7"/>
      <c r="AFH161" s="7"/>
      <c r="AFI161" s="7"/>
      <c r="AFJ161" s="7"/>
      <c r="AFK161" s="7"/>
      <c r="AFL161" s="7"/>
      <c r="AFM161" s="7"/>
      <c r="AFN161" s="7"/>
      <c r="AFO161" s="7"/>
      <c r="AFP161" s="7"/>
      <c r="AFQ161" s="7"/>
      <c r="AFR161" s="7"/>
      <c r="AFS161" s="7"/>
      <c r="AFT161" s="7"/>
      <c r="AFU161" s="7"/>
      <c r="AFV161" s="7"/>
      <c r="AFW161" s="7"/>
      <c r="AFX161" s="7"/>
      <c r="AFY161" s="7"/>
      <c r="AFZ161" s="7"/>
      <c r="AGA161" s="7"/>
      <c r="AGB161" s="7"/>
      <c r="AGC161" s="7"/>
      <c r="AGD161" s="7"/>
      <c r="AGE161" s="7"/>
      <c r="AGF161" s="7"/>
      <c r="AGG161" s="7"/>
      <c r="AGH161" s="7"/>
      <c r="AGI161" s="7"/>
      <c r="AGJ161" s="7"/>
      <c r="AGK161" s="7"/>
      <c r="AGL161" s="7"/>
      <c r="AGM161" s="7"/>
      <c r="AGN161" s="7"/>
      <c r="AGO161" s="7"/>
      <c r="AGP161" s="7"/>
      <c r="AGQ161" s="7"/>
      <c r="AGR161" s="7"/>
      <c r="AGS161" s="7"/>
      <c r="AGT161" s="7"/>
      <c r="AGU161" s="7"/>
      <c r="AGV161" s="7"/>
      <c r="AGW161" s="7"/>
      <c r="AGX161" s="7"/>
      <c r="AGY161" s="7"/>
      <c r="AGZ161" s="7"/>
      <c r="AHA161" s="7"/>
      <c r="AHB161" s="7"/>
      <c r="AHC161" s="7"/>
      <c r="AHD161" s="7"/>
      <c r="AHE161" s="7"/>
      <c r="AHF161" s="7"/>
      <c r="AHG161" s="7"/>
      <c r="AHH161" s="7"/>
      <c r="AHI161" s="7"/>
      <c r="AHJ161" s="7"/>
      <c r="AHK161" s="7"/>
      <c r="AHL161" s="7"/>
      <c r="AHM161" s="7"/>
      <c r="AHN161" s="7"/>
      <c r="AHO161" s="7"/>
      <c r="AHP161" s="7"/>
      <c r="AHQ161" s="7"/>
      <c r="AHR161" s="7"/>
      <c r="AHS161" s="7"/>
      <c r="AHT161" s="7"/>
      <c r="AHU161" s="7"/>
      <c r="AHV161" s="7"/>
      <c r="AHW161" s="7"/>
      <c r="AHX161" s="7"/>
      <c r="AHY161" s="7"/>
      <c r="AHZ161" s="7"/>
      <c r="AIA161" s="7"/>
      <c r="AIB161" s="7"/>
      <c r="AIC161" s="7"/>
      <c r="AID161" s="7"/>
      <c r="AIE161" s="7"/>
      <c r="AIF161" s="7"/>
      <c r="AIG161" s="7"/>
      <c r="AIH161" s="7"/>
      <c r="AII161" s="7"/>
      <c r="AIJ161" s="7"/>
      <c r="AIK161" s="7"/>
      <c r="AIL161" s="7"/>
      <c r="AIM161" s="7"/>
      <c r="AIN161" s="7"/>
      <c r="AIO161" s="7"/>
      <c r="AIP161" s="7"/>
      <c r="AIQ161" s="7"/>
      <c r="AIR161" s="7"/>
      <c r="AIS161" s="7"/>
      <c r="AIT161" s="7"/>
      <c r="AIU161" s="7"/>
      <c r="AIV161" s="7"/>
      <c r="AIW161" s="7"/>
      <c r="AIX161" s="7"/>
      <c r="AIY161" s="7"/>
      <c r="AIZ161" s="7"/>
      <c r="AJA161" s="7"/>
      <c r="AJB161" s="7"/>
      <c r="AJC161" s="7"/>
      <c r="AJD161" s="7"/>
      <c r="AJE161" s="7"/>
      <c r="AJF161" s="7"/>
      <c r="AJG161" s="7"/>
      <c r="AJH161" s="7"/>
      <c r="AJI161" s="7"/>
      <c r="AJJ161" s="7"/>
      <c r="AJK161" s="7"/>
      <c r="AJL161" s="7"/>
      <c r="AJM161" s="7"/>
      <c r="AJN161" s="7"/>
      <c r="AJO161" s="7"/>
      <c r="AJP161" s="7"/>
      <c r="AJQ161" s="7"/>
      <c r="AJR161" s="7"/>
      <c r="AJS161" s="7"/>
      <c r="AJT161" s="7"/>
      <c r="AJU161" s="7"/>
      <c r="AJV161" s="7"/>
      <c r="AJW161" s="7"/>
      <c r="AJX161" s="7"/>
      <c r="AJY161" s="7"/>
      <c r="AJZ161" s="7"/>
      <c r="AKA161" s="7"/>
      <c r="AKB161" s="7"/>
      <c r="AKC161" s="7"/>
      <c r="AKD161" s="7"/>
      <c r="AKE161" s="7"/>
      <c r="AKF161" s="7"/>
      <c r="AKG161" s="7"/>
      <c r="AKH161" s="7"/>
      <c r="AKI161" s="7"/>
      <c r="AKJ161" s="7"/>
      <c r="AKK161" s="7"/>
      <c r="AKL161" s="7"/>
      <c r="AKM161" s="7"/>
      <c r="AKN161" s="7"/>
      <c r="AKO161" s="7"/>
      <c r="AKP161" s="7"/>
      <c r="AKQ161" s="7"/>
      <c r="AKR161" s="7"/>
      <c r="AKS161" s="7"/>
      <c r="AKT161" s="7"/>
      <c r="AKU161" s="7"/>
      <c r="AKV161" s="7"/>
      <c r="AKW161" s="7"/>
      <c r="AKX161" s="7"/>
      <c r="AKY161" s="7"/>
      <c r="AKZ161" s="7"/>
      <c r="ALA161" s="7"/>
      <c r="ALB161" s="7"/>
      <c r="ALC161" s="7"/>
      <c r="ALD161" s="7"/>
      <c r="ALE161" s="7"/>
      <c r="ALF161" s="7"/>
      <c r="ALG161" s="7"/>
      <c r="ALH161" s="7"/>
      <c r="ALI161" s="7"/>
      <c r="ALJ161" s="7"/>
      <c r="ALK161" s="7"/>
      <c r="ALL161" s="7"/>
      <c r="ALM161" s="7"/>
      <c r="ALN161" s="7"/>
      <c r="ALO161" s="7"/>
      <c r="ALP161" s="7"/>
      <c r="ALQ161" s="7"/>
      <c r="ALR161" s="7"/>
      <c r="ALS161" s="7"/>
      <c r="ALT161" s="7"/>
      <c r="ALU161" s="7"/>
      <c r="ALV161" s="7"/>
      <c r="ALW161" s="7"/>
      <c r="ALX161" s="7"/>
      <c r="ALY161" s="7"/>
      <c r="ALZ161" s="7"/>
      <c r="AMA161" s="7"/>
      <c r="AMB161" s="7"/>
      <c r="AMC161" s="7"/>
      <c r="AMD161" s="7"/>
      <c r="AME161" s="7"/>
      <c r="AMF161" s="7"/>
      <c r="AMG161" s="7"/>
      <c r="AMH161" s="7"/>
      <c r="AMI161" s="7"/>
      <c r="AMJ161" s="7"/>
    </row>
    <row r="162" customFormat="false" ht="15.75" hidden="false" customHeight="true" outlineLevel="0" collapsed="false">
      <c r="A162" s="7"/>
      <c r="B162" s="7"/>
      <c r="C162" s="269" t="s">
        <v>36</v>
      </c>
      <c r="D162" s="270" t="n">
        <f aca="false">D33+D61+D89+D116+D147</f>
        <v>94</v>
      </c>
      <c r="E162" s="271" t="n">
        <f aca="false">F153+F146+F115+F88+F60+F32</f>
        <v>15</v>
      </c>
      <c r="F162" s="320"/>
      <c r="G162" s="272"/>
      <c r="H162" s="24"/>
      <c r="I162" s="78"/>
      <c r="J162" s="8"/>
      <c r="K162" s="8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  <c r="KS162" s="7"/>
      <c r="KT162" s="7"/>
      <c r="KU162" s="7"/>
      <c r="KV162" s="7"/>
      <c r="KW162" s="7"/>
      <c r="KX162" s="7"/>
      <c r="KY162" s="7"/>
      <c r="KZ162" s="7"/>
      <c r="LA162" s="7"/>
      <c r="LB162" s="7"/>
      <c r="LC162" s="7"/>
      <c r="LD162" s="7"/>
      <c r="LE162" s="7"/>
      <c r="LF162" s="7"/>
      <c r="LG162" s="7"/>
      <c r="LH162" s="7"/>
      <c r="LI162" s="7"/>
      <c r="LJ162" s="7"/>
      <c r="LK162" s="7"/>
      <c r="LL162" s="7"/>
      <c r="LM162" s="7"/>
      <c r="LN162" s="7"/>
      <c r="LO162" s="7"/>
      <c r="LP162" s="7"/>
      <c r="LQ162" s="7"/>
      <c r="LR162" s="7"/>
      <c r="LS162" s="7"/>
      <c r="LT162" s="7"/>
      <c r="LU162" s="7"/>
      <c r="LV162" s="7"/>
      <c r="LW162" s="7"/>
      <c r="LX162" s="7"/>
      <c r="LY162" s="7"/>
      <c r="LZ162" s="7"/>
      <c r="MA162" s="7"/>
      <c r="MB162" s="7"/>
      <c r="MC162" s="7"/>
      <c r="MD162" s="7"/>
      <c r="ME162" s="7"/>
      <c r="MF162" s="7"/>
      <c r="MG162" s="7"/>
      <c r="MH162" s="7"/>
      <c r="MI162" s="7"/>
      <c r="MJ162" s="7"/>
      <c r="MK162" s="7"/>
      <c r="ML162" s="7"/>
      <c r="MM162" s="7"/>
      <c r="MN162" s="7"/>
      <c r="MO162" s="7"/>
      <c r="MP162" s="7"/>
      <c r="MQ162" s="7"/>
      <c r="MR162" s="7"/>
      <c r="MS162" s="7"/>
      <c r="MT162" s="7"/>
      <c r="MU162" s="7"/>
      <c r="MV162" s="7"/>
      <c r="MW162" s="7"/>
      <c r="MX162" s="7"/>
      <c r="MY162" s="7"/>
      <c r="MZ162" s="7"/>
      <c r="NA162" s="7"/>
      <c r="NB162" s="7"/>
      <c r="NC162" s="7"/>
      <c r="ND162" s="7"/>
      <c r="NE162" s="7"/>
      <c r="NF162" s="7"/>
      <c r="NG162" s="7"/>
      <c r="NH162" s="7"/>
      <c r="NI162" s="7"/>
      <c r="NJ162" s="7"/>
      <c r="NK162" s="7"/>
      <c r="NL162" s="7"/>
      <c r="NM162" s="7"/>
      <c r="NN162" s="7"/>
      <c r="NO162" s="7"/>
      <c r="NP162" s="7"/>
      <c r="NQ162" s="7"/>
      <c r="NR162" s="7"/>
      <c r="NS162" s="7"/>
      <c r="NT162" s="7"/>
      <c r="NU162" s="7"/>
      <c r="NV162" s="7"/>
      <c r="NW162" s="7"/>
      <c r="NX162" s="7"/>
      <c r="NY162" s="7"/>
      <c r="NZ162" s="7"/>
      <c r="OA162" s="7"/>
      <c r="OB162" s="7"/>
      <c r="OC162" s="7"/>
      <c r="OD162" s="7"/>
      <c r="OE162" s="7"/>
      <c r="OF162" s="7"/>
      <c r="OG162" s="7"/>
      <c r="OH162" s="7"/>
      <c r="OI162" s="7"/>
      <c r="OJ162" s="7"/>
      <c r="OK162" s="7"/>
      <c r="OL162" s="7"/>
      <c r="OM162" s="7"/>
      <c r="ON162" s="7"/>
      <c r="OO162" s="7"/>
      <c r="OP162" s="7"/>
      <c r="OQ162" s="7"/>
      <c r="OR162" s="7"/>
      <c r="OS162" s="7"/>
      <c r="OT162" s="7"/>
      <c r="OU162" s="7"/>
      <c r="OV162" s="7"/>
      <c r="OW162" s="7"/>
      <c r="OX162" s="7"/>
      <c r="OY162" s="7"/>
      <c r="OZ162" s="7"/>
      <c r="PA162" s="7"/>
      <c r="PB162" s="7"/>
      <c r="PC162" s="7"/>
      <c r="PD162" s="7"/>
      <c r="PE162" s="7"/>
      <c r="PF162" s="7"/>
      <c r="PG162" s="7"/>
      <c r="PH162" s="7"/>
      <c r="PI162" s="7"/>
      <c r="PJ162" s="7"/>
      <c r="PK162" s="7"/>
      <c r="PL162" s="7"/>
      <c r="PM162" s="7"/>
      <c r="PN162" s="7"/>
      <c r="PO162" s="7"/>
      <c r="PP162" s="7"/>
      <c r="PQ162" s="7"/>
      <c r="PR162" s="7"/>
      <c r="PS162" s="7"/>
      <c r="PT162" s="7"/>
      <c r="PU162" s="7"/>
      <c r="PV162" s="7"/>
      <c r="PW162" s="7"/>
      <c r="PX162" s="7"/>
      <c r="PY162" s="7"/>
      <c r="PZ162" s="7"/>
      <c r="QA162" s="7"/>
      <c r="QB162" s="7"/>
      <c r="QC162" s="7"/>
      <c r="QD162" s="7"/>
      <c r="QE162" s="7"/>
      <c r="QF162" s="7"/>
      <c r="QG162" s="7"/>
      <c r="QH162" s="7"/>
      <c r="QI162" s="7"/>
      <c r="QJ162" s="7"/>
      <c r="QK162" s="7"/>
      <c r="QL162" s="7"/>
      <c r="QM162" s="7"/>
      <c r="QN162" s="7"/>
      <c r="QO162" s="7"/>
      <c r="QP162" s="7"/>
      <c r="QQ162" s="7"/>
      <c r="QR162" s="7"/>
      <c r="QS162" s="7"/>
      <c r="QT162" s="7"/>
      <c r="QU162" s="7"/>
      <c r="QV162" s="7"/>
      <c r="QW162" s="7"/>
      <c r="QX162" s="7"/>
      <c r="QY162" s="7"/>
      <c r="QZ162" s="7"/>
      <c r="RA162" s="7"/>
      <c r="RB162" s="7"/>
      <c r="RC162" s="7"/>
      <c r="RD162" s="7"/>
      <c r="RE162" s="7"/>
      <c r="RF162" s="7"/>
      <c r="RG162" s="7"/>
      <c r="RH162" s="7"/>
      <c r="RI162" s="7"/>
      <c r="RJ162" s="7"/>
      <c r="RK162" s="7"/>
      <c r="RL162" s="7"/>
      <c r="RM162" s="7"/>
      <c r="RN162" s="7"/>
      <c r="RO162" s="7"/>
      <c r="RP162" s="7"/>
      <c r="RQ162" s="7"/>
      <c r="RR162" s="7"/>
      <c r="RS162" s="7"/>
      <c r="RT162" s="7"/>
      <c r="RU162" s="7"/>
      <c r="RV162" s="7"/>
      <c r="RW162" s="7"/>
      <c r="RX162" s="7"/>
      <c r="RY162" s="7"/>
      <c r="RZ162" s="7"/>
      <c r="SA162" s="7"/>
      <c r="SB162" s="7"/>
      <c r="SC162" s="7"/>
      <c r="SD162" s="7"/>
      <c r="SE162" s="7"/>
      <c r="SF162" s="7"/>
      <c r="SG162" s="7"/>
      <c r="SH162" s="7"/>
      <c r="SI162" s="7"/>
      <c r="SJ162" s="7"/>
      <c r="SK162" s="7"/>
      <c r="SL162" s="7"/>
      <c r="SM162" s="7"/>
      <c r="SN162" s="7"/>
      <c r="SO162" s="7"/>
      <c r="SP162" s="7"/>
      <c r="SQ162" s="7"/>
      <c r="SR162" s="7"/>
      <c r="SS162" s="7"/>
      <c r="ST162" s="7"/>
      <c r="SU162" s="7"/>
      <c r="SV162" s="7"/>
      <c r="SW162" s="7"/>
      <c r="SX162" s="7"/>
      <c r="SY162" s="7"/>
      <c r="SZ162" s="7"/>
      <c r="TA162" s="7"/>
      <c r="TB162" s="7"/>
      <c r="TC162" s="7"/>
      <c r="TD162" s="7"/>
      <c r="TE162" s="7"/>
      <c r="TF162" s="7"/>
      <c r="TG162" s="7"/>
      <c r="TH162" s="7"/>
      <c r="TI162" s="7"/>
      <c r="TJ162" s="7"/>
      <c r="TK162" s="7"/>
      <c r="TL162" s="7"/>
      <c r="TM162" s="7"/>
      <c r="TN162" s="7"/>
      <c r="TO162" s="7"/>
      <c r="TP162" s="7"/>
      <c r="TQ162" s="7"/>
      <c r="TR162" s="7"/>
      <c r="TS162" s="7"/>
      <c r="TT162" s="7"/>
      <c r="TU162" s="7"/>
      <c r="TV162" s="7"/>
      <c r="TW162" s="7"/>
      <c r="TX162" s="7"/>
      <c r="TY162" s="7"/>
      <c r="TZ162" s="7"/>
      <c r="UA162" s="7"/>
      <c r="UB162" s="7"/>
      <c r="UC162" s="7"/>
      <c r="UD162" s="7"/>
      <c r="UE162" s="7"/>
      <c r="UF162" s="7"/>
      <c r="UG162" s="7"/>
      <c r="UH162" s="7"/>
      <c r="UI162" s="7"/>
      <c r="UJ162" s="7"/>
      <c r="UK162" s="7"/>
      <c r="UL162" s="7"/>
      <c r="UM162" s="7"/>
      <c r="UN162" s="7"/>
      <c r="UO162" s="7"/>
      <c r="UP162" s="7"/>
      <c r="UQ162" s="7"/>
      <c r="UR162" s="7"/>
      <c r="US162" s="7"/>
      <c r="UT162" s="7"/>
      <c r="UU162" s="7"/>
      <c r="UV162" s="7"/>
      <c r="UW162" s="7"/>
      <c r="UX162" s="7"/>
      <c r="UY162" s="7"/>
      <c r="UZ162" s="7"/>
      <c r="VA162" s="7"/>
      <c r="VB162" s="7"/>
      <c r="VC162" s="7"/>
      <c r="VD162" s="7"/>
      <c r="VE162" s="7"/>
      <c r="VF162" s="7"/>
      <c r="VG162" s="7"/>
      <c r="VH162" s="7"/>
      <c r="VI162" s="7"/>
      <c r="VJ162" s="7"/>
      <c r="VK162" s="7"/>
      <c r="VL162" s="7"/>
      <c r="VM162" s="7"/>
      <c r="VN162" s="7"/>
      <c r="VO162" s="7"/>
      <c r="VP162" s="7"/>
      <c r="VQ162" s="7"/>
      <c r="VR162" s="7"/>
      <c r="VS162" s="7"/>
      <c r="VT162" s="7"/>
      <c r="VU162" s="7"/>
      <c r="VV162" s="7"/>
      <c r="VW162" s="7"/>
      <c r="VX162" s="7"/>
      <c r="VY162" s="7"/>
      <c r="VZ162" s="7"/>
      <c r="WA162" s="7"/>
      <c r="WB162" s="7"/>
      <c r="WC162" s="7"/>
      <c r="WD162" s="7"/>
      <c r="WE162" s="7"/>
      <c r="WF162" s="7"/>
      <c r="WG162" s="7"/>
      <c r="WH162" s="7"/>
      <c r="WI162" s="7"/>
      <c r="WJ162" s="7"/>
      <c r="WK162" s="7"/>
      <c r="WL162" s="7"/>
      <c r="WM162" s="7"/>
      <c r="WN162" s="7"/>
      <c r="WO162" s="7"/>
      <c r="WP162" s="7"/>
      <c r="WQ162" s="7"/>
      <c r="WR162" s="7"/>
      <c r="WS162" s="7"/>
      <c r="WT162" s="7"/>
      <c r="WU162" s="7"/>
      <c r="WV162" s="7"/>
      <c r="WW162" s="7"/>
      <c r="WX162" s="7"/>
      <c r="WY162" s="7"/>
      <c r="WZ162" s="7"/>
      <c r="XA162" s="7"/>
      <c r="XB162" s="7"/>
      <c r="XC162" s="7"/>
      <c r="XD162" s="7"/>
      <c r="XE162" s="7"/>
      <c r="XF162" s="7"/>
      <c r="XG162" s="7"/>
      <c r="XH162" s="7"/>
      <c r="XI162" s="7"/>
      <c r="XJ162" s="7"/>
      <c r="XK162" s="7"/>
      <c r="XL162" s="7"/>
      <c r="XM162" s="7"/>
      <c r="XN162" s="7"/>
      <c r="XO162" s="7"/>
      <c r="XP162" s="7"/>
      <c r="XQ162" s="7"/>
      <c r="XR162" s="7"/>
      <c r="XS162" s="7"/>
      <c r="XT162" s="7"/>
      <c r="XU162" s="7"/>
      <c r="XV162" s="7"/>
      <c r="XW162" s="7"/>
      <c r="XX162" s="7"/>
      <c r="XY162" s="7"/>
      <c r="XZ162" s="7"/>
      <c r="YA162" s="7"/>
      <c r="YB162" s="7"/>
      <c r="YC162" s="7"/>
      <c r="YD162" s="7"/>
      <c r="YE162" s="7"/>
      <c r="YF162" s="7"/>
      <c r="YG162" s="7"/>
      <c r="YH162" s="7"/>
      <c r="YI162" s="7"/>
      <c r="YJ162" s="7"/>
      <c r="YK162" s="7"/>
      <c r="YL162" s="7"/>
      <c r="YM162" s="7"/>
      <c r="YN162" s="7"/>
      <c r="YO162" s="7"/>
      <c r="YP162" s="7"/>
      <c r="YQ162" s="7"/>
      <c r="YR162" s="7"/>
      <c r="YS162" s="7"/>
      <c r="YT162" s="7"/>
      <c r="YU162" s="7"/>
      <c r="YV162" s="7"/>
      <c r="YW162" s="7"/>
      <c r="YX162" s="7"/>
      <c r="YY162" s="7"/>
      <c r="YZ162" s="7"/>
      <c r="ZA162" s="7"/>
      <c r="ZB162" s="7"/>
      <c r="ZC162" s="7"/>
      <c r="ZD162" s="7"/>
      <c r="ZE162" s="7"/>
      <c r="ZF162" s="7"/>
      <c r="ZG162" s="7"/>
      <c r="ZH162" s="7"/>
      <c r="ZI162" s="7"/>
      <c r="ZJ162" s="7"/>
      <c r="ZK162" s="7"/>
      <c r="ZL162" s="7"/>
      <c r="ZM162" s="7"/>
      <c r="ZN162" s="7"/>
      <c r="ZO162" s="7"/>
      <c r="ZP162" s="7"/>
      <c r="ZQ162" s="7"/>
      <c r="ZR162" s="7"/>
      <c r="ZS162" s="7"/>
      <c r="ZT162" s="7"/>
      <c r="ZU162" s="7"/>
      <c r="ZV162" s="7"/>
      <c r="ZW162" s="7"/>
      <c r="ZX162" s="7"/>
      <c r="ZY162" s="7"/>
      <c r="ZZ162" s="7"/>
      <c r="AAA162" s="7"/>
      <c r="AAB162" s="7"/>
      <c r="AAC162" s="7"/>
      <c r="AAD162" s="7"/>
      <c r="AAE162" s="7"/>
      <c r="AAF162" s="7"/>
      <c r="AAG162" s="7"/>
      <c r="AAH162" s="7"/>
      <c r="AAI162" s="7"/>
      <c r="AAJ162" s="7"/>
      <c r="AAK162" s="7"/>
      <c r="AAL162" s="7"/>
      <c r="AAM162" s="7"/>
      <c r="AAN162" s="7"/>
      <c r="AAO162" s="7"/>
      <c r="AAP162" s="7"/>
      <c r="AAQ162" s="7"/>
      <c r="AAR162" s="7"/>
      <c r="AAS162" s="7"/>
      <c r="AAT162" s="7"/>
      <c r="AAU162" s="7"/>
      <c r="AAV162" s="7"/>
      <c r="AAW162" s="7"/>
      <c r="AAX162" s="7"/>
      <c r="AAY162" s="7"/>
      <c r="AAZ162" s="7"/>
      <c r="ABA162" s="7"/>
      <c r="ABB162" s="7"/>
      <c r="ABC162" s="7"/>
      <c r="ABD162" s="7"/>
      <c r="ABE162" s="7"/>
      <c r="ABF162" s="7"/>
      <c r="ABG162" s="7"/>
      <c r="ABH162" s="7"/>
      <c r="ABI162" s="7"/>
      <c r="ABJ162" s="7"/>
      <c r="ABK162" s="7"/>
      <c r="ABL162" s="7"/>
      <c r="ABM162" s="7"/>
      <c r="ABN162" s="7"/>
      <c r="ABO162" s="7"/>
      <c r="ABP162" s="7"/>
      <c r="ABQ162" s="7"/>
      <c r="ABR162" s="7"/>
      <c r="ABS162" s="7"/>
      <c r="ABT162" s="7"/>
      <c r="ABU162" s="7"/>
      <c r="ABV162" s="7"/>
      <c r="ABW162" s="7"/>
      <c r="ABX162" s="7"/>
      <c r="ABY162" s="7"/>
      <c r="ABZ162" s="7"/>
      <c r="ACA162" s="7"/>
      <c r="ACB162" s="7"/>
      <c r="ACC162" s="7"/>
      <c r="ACD162" s="7"/>
      <c r="ACE162" s="7"/>
      <c r="ACF162" s="7"/>
      <c r="ACG162" s="7"/>
      <c r="ACH162" s="7"/>
      <c r="ACI162" s="7"/>
      <c r="ACJ162" s="7"/>
      <c r="ACK162" s="7"/>
      <c r="ACL162" s="7"/>
      <c r="ACM162" s="7"/>
      <c r="ACN162" s="7"/>
      <c r="ACO162" s="7"/>
      <c r="ACP162" s="7"/>
      <c r="ACQ162" s="7"/>
      <c r="ACR162" s="7"/>
      <c r="ACS162" s="7"/>
      <c r="ACT162" s="7"/>
      <c r="ACU162" s="7"/>
      <c r="ACV162" s="7"/>
      <c r="ACW162" s="7"/>
      <c r="ACX162" s="7"/>
      <c r="ACY162" s="7"/>
      <c r="ACZ162" s="7"/>
      <c r="ADA162" s="7"/>
      <c r="ADB162" s="7"/>
      <c r="ADC162" s="7"/>
      <c r="ADD162" s="7"/>
      <c r="ADE162" s="7"/>
      <c r="ADF162" s="7"/>
      <c r="ADG162" s="7"/>
      <c r="ADH162" s="7"/>
      <c r="ADI162" s="7"/>
      <c r="ADJ162" s="7"/>
      <c r="ADK162" s="7"/>
      <c r="ADL162" s="7"/>
      <c r="ADM162" s="7"/>
      <c r="ADN162" s="7"/>
      <c r="ADO162" s="7"/>
      <c r="ADP162" s="7"/>
      <c r="ADQ162" s="7"/>
      <c r="ADR162" s="7"/>
      <c r="ADS162" s="7"/>
      <c r="ADT162" s="7"/>
      <c r="ADU162" s="7"/>
      <c r="ADV162" s="7"/>
      <c r="ADW162" s="7"/>
      <c r="ADX162" s="7"/>
      <c r="ADY162" s="7"/>
      <c r="ADZ162" s="7"/>
      <c r="AEA162" s="7"/>
      <c r="AEB162" s="7"/>
      <c r="AEC162" s="7"/>
      <c r="AED162" s="7"/>
      <c r="AEE162" s="7"/>
      <c r="AEF162" s="7"/>
      <c r="AEG162" s="7"/>
      <c r="AEH162" s="7"/>
      <c r="AEI162" s="7"/>
      <c r="AEJ162" s="7"/>
      <c r="AEK162" s="7"/>
      <c r="AEL162" s="7"/>
      <c r="AEM162" s="7"/>
      <c r="AEN162" s="7"/>
      <c r="AEO162" s="7"/>
      <c r="AEP162" s="7"/>
      <c r="AEQ162" s="7"/>
      <c r="AER162" s="7"/>
      <c r="AES162" s="7"/>
      <c r="AET162" s="7"/>
      <c r="AEU162" s="7"/>
      <c r="AEV162" s="7"/>
      <c r="AEW162" s="7"/>
      <c r="AEX162" s="7"/>
      <c r="AEY162" s="7"/>
      <c r="AEZ162" s="7"/>
      <c r="AFA162" s="7"/>
      <c r="AFB162" s="7"/>
      <c r="AFC162" s="7"/>
      <c r="AFD162" s="7"/>
      <c r="AFE162" s="7"/>
      <c r="AFF162" s="7"/>
      <c r="AFG162" s="7"/>
      <c r="AFH162" s="7"/>
      <c r="AFI162" s="7"/>
      <c r="AFJ162" s="7"/>
      <c r="AFK162" s="7"/>
      <c r="AFL162" s="7"/>
      <c r="AFM162" s="7"/>
      <c r="AFN162" s="7"/>
      <c r="AFO162" s="7"/>
      <c r="AFP162" s="7"/>
      <c r="AFQ162" s="7"/>
      <c r="AFR162" s="7"/>
      <c r="AFS162" s="7"/>
      <c r="AFT162" s="7"/>
      <c r="AFU162" s="7"/>
      <c r="AFV162" s="7"/>
      <c r="AFW162" s="7"/>
      <c r="AFX162" s="7"/>
      <c r="AFY162" s="7"/>
      <c r="AFZ162" s="7"/>
      <c r="AGA162" s="7"/>
      <c r="AGB162" s="7"/>
      <c r="AGC162" s="7"/>
      <c r="AGD162" s="7"/>
      <c r="AGE162" s="7"/>
      <c r="AGF162" s="7"/>
      <c r="AGG162" s="7"/>
      <c r="AGH162" s="7"/>
      <c r="AGI162" s="7"/>
      <c r="AGJ162" s="7"/>
      <c r="AGK162" s="7"/>
      <c r="AGL162" s="7"/>
      <c r="AGM162" s="7"/>
      <c r="AGN162" s="7"/>
      <c r="AGO162" s="7"/>
      <c r="AGP162" s="7"/>
      <c r="AGQ162" s="7"/>
      <c r="AGR162" s="7"/>
      <c r="AGS162" s="7"/>
      <c r="AGT162" s="7"/>
      <c r="AGU162" s="7"/>
      <c r="AGV162" s="7"/>
      <c r="AGW162" s="7"/>
      <c r="AGX162" s="7"/>
      <c r="AGY162" s="7"/>
      <c r="AGZ162" s="7"/>
      <c r="AHA162" s="7"/>
      <c r="AHB162" s="7"/>
      <c r="AHC162" s="7"/>
      <c r="AHD162" s="7"/>
      <c r="AHE162" s="7"/>
      <c r="AHF162" s="7"/>
      <c r="AHG162" s="7"/>
      <c r="AHH162" s="7"/>
      <c r="AHI162" s="7"/>
      <c r="AHJ162" s="7"/>
      <c r="AHK162" s="7"/>
      <c r="AHL162" s="7"/>
      <c r="AHM162" s="7"/>
      <c r="AHN162" s="7"/>
      <c r="AHO162" s="7"/>
      <c r="AHP162" s="7"/>
      <c r="AHQ162" s="7"/>
      <c r="AHR162" s="7"/>
      <c r="AHS162" s="7"/>
      <c r="AHT162" s="7"/>
      <c r="AHU162" s="7"/>
      <c r="AHV162" s="7"/>
      <c r="AHW162" s="7"/>
      <c r="AHX162" s="7"/>
      <c r="AHY162" s="7"/>
      <c r="AHZ162" s="7"/>
      <c r="AIA162" s="7"/>
      <c r="AIB162" s="7"/>
      <c r="AIC162" s="7"/>
      <c r="AID162" s="7"/>
      <c r="AIE162" s="7"/>
      <c r="AIF162" s="7"/>
      <c r="AIG162" s="7"/>
      <c r="AIH162" s="7"/>
      <c r="AII162" s="7"/>
      <c r="AIJ162" s="7"/>
      <c r="AIK162" s="7"/>
      <c r="AIL162" s="7"/>
      <c r="AIM162" s="7"/>
      <c r="AIN162" s="7"/>
      <c r="AIO162" s="7"/>
      <c r="AIP162" s="7"/>
      <c r="AIQ162" s="7"/>
      <c r="AIR162" s="7"/>
      <c r="AIS162" s="7"/>
      <c r="AIT162" s="7"/>
      <c r="AIU162" s="7"/>
      <c r="AIV162" s="7"/>
      <c r="AIW162" s="7"/>
      <c r="AIX162" s="7"/>
      <c r="AIY162" s="7"/>
      <c r="AIZ162" s="7"/>
      <c r="AJA162" s="7"/>
      <c r="AJB162" s="7"/>
      <c r="AJC162" s="7"/>
      <c r="AJD162" s="7"/>
      <c r="AJE162" s="7"/>
      <c r="AJF162" s="7"/>
      <c r="AJG162" s="7"/>
      <c r="AJH162" s="7"/>
      <c r="AJI162" s="7"/>
      <c r="AJJ162" s="7"/>
      <c r="AJK162" s="7"/>
      <c r="AJL162" s="7"/>
      <c r="AJM162" s="7"/>
      <c r="AJN162" s="7"/>
      <c r="AJO162" s="7"/>
      <c r="AJP162" s="7"/>
      <c r="AJQ162" s="7"/>
      <c r="AJR162" s="7"/>
      <c r="AJS162" s="7"/>
      <c r="AJT162" s="7"/>
      <c r="AJU162" s="7"/>
      <c r="AJV162" s="7"/>
      <c r="AJW162" s="7"/>
      <c r="AJX162" s="7"/>
      <c r="AJY162" s="7"/>
      <c r="AJZ162" s="7"/>
      <c r="AKA162" s="7"/>
      <c r="AKB162" s="7"/>
      <c r="AKC162" s="7"/>
      <c r="AKD162" s="7"/>
      <c r="AKE162" s="7"/>
      <c r="AKF162" s="7"/>
      <c r="AKG162" s="7"/>
      <c r="AKH162" s="7"/>
      <c r="AKI162" s="7"/>
      <c r="AKJ162" s="7"/>
      <c r="AKK162" s="7"/>
      <c r="AKL162" s="7"/>
      <c r="AKM162" s="7"/>
      <c r="AKN162" s="7"/>
      <c r="AKO162" s="7"/>
      <c r="AKP162" s="7"/>
      <c r="AKQ162" s="7"/>
      <c r="AKR162" s="7"/>
      <c r="AKS162" s="7"/>
      <c r="AKT162" s="7"/>
      <c r="AKU162" s="7"/>
      <c r="AKV162" s="7"/>
      <c r="AKW162" s="7"/>
      <c r="AKX162" s="7"/>
      <c r="AKY162" s="7"/>
      <c r="AKZ162" s="7"/>
      <c r="ALA162" s="7"/>
      <c r="ALB162" s="7"/>
      <c r="ALC162" s="7"/>
      <c r="ALD162" s="7"/>
      <c r="ALE162" s="7"/>
      <c r="ALF162" s="7"/>
      <c r="ALG162" s="7"/>
      <c r="ALH162" s="7"/>
      <c r="ALI162" s="7"/>
      <c r="ALJ162" s="7"/>
      <c r="ALK162" s="7"/>
      <c r="ALL162" s="7"/>
      <c r="ALM162" s="7"/>
      <c r="ALN162" s="7"/>
      <c r="ALO162" s="7"/>
      <c r="ALP162" s="7"/>
      <c r="ALQ162" s="7"/>
      <c r="ALR162" s="7"/>
      <c r="ALS162" s="7"/>
      <c r="ALT162" s="7"/>
      <c r="ALU162" s="7"/>
      <c r="ALV162" s="7"/>
      <c r="ALW162" s="7"/>
      <c r="ALX162" s="7"/>
      <c r="ALY162" s="7"/>
      <c r="ALZ162" s="7"/>
      <c r="AMA162" s="7"/>
      <c r="AMB162" s="7"/>
      <c r="AMC162" s="7"/>
      <c r="AMD162" s="7"/>
      <c r="AME162" s="7"/>
      <c r="AMF162" s="7"/>
      <c r="AMG162" s="7"/>
      <c r="AMH162" s="7"/>
      <c r="AMI162" s="7"/>
      <c r="AMJ162" s="7"/>
    </row>
    <row r="163" customFormat="false" ht="15.75" hidden="false" customHeight="true" outlineLevel="0" collapsed="false">
      <c r="A163" s="7"/>
      <c r="B163" s="7"/>
      <c r="C163" s="269" t="s">
        <v>29</v>
      </c>
      <c r="D163" s="270" t="n">
        <f aca="false">D28+D29+D56+D57+D84+D85+D111+D112</f>
        <v>142</v>
      </c>
      <c r="E163" s="271" t="n">
        <f aca="false">F27+F55+F83+F110</f>
        <v>9</v>
      </c>
      <c r="F163" s="320"/>
      <c r="G163" s="272"/>
      <c r="H163" s="24"/>
      <c r="I163" s="78"/>
      <c r="J163" s="8"/>
      <c r="K163" s="8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  <c r="KS163" s="7"/>
      <c r="KT163" s="7"/>
      <c r="KU163" s="7"/>
      <c r="KV163" s="7"/>
      <c r="KW163" s="7"/>
      <c r="KX163" s="7"/>
      <c r="KY163" s="7"/>
      <c r="KZ163" s="7"/>
      <c r="LA163" s="7"/>
      <c r="LB163" s="7"/>
      <c r="LC163" s="7"/>
      <c r="LD163" s="7"/>
      <c r="LE163" s="7"/>
      <c r="LF163" s="7"/>
      <c r="LG163" s="7"/>
      <c r="LH163" s="7"/>
      <c r="LI163" s="7"/>
      <c r="LJ163" s="7"/>
      <c r="LK163" s="7"/>
      <c r="LL163" s="7"/>
      <c r="LM163" s="7"/>
      <c r="LN163" s="7"/>
      <c r="LO163" s="7"/>
      <c r="LP163" s="7"/>
      <c r="LQ163" s="7"/>
      <c r="LR163" s="7"/>
      <c r="LS163" s="7"/>
      <c r="LT163" s="7"/>
      <c r="LU163" s="7"/>
      <c r="LV163" s="7"/>
      <c r="LW163" s="7"/>
      <c r="LX163" s="7"/>
      <c r="LY163" s="7"/>
      <c r="LZ163" s="7"/>
      <c r="MA163" s="7"/>
      <c r="MB163" s="7"/>
      <c r="MC163" s="7"/>
      <c r="MD163" s="7"/>
      <c r="ME163" s="7"/>
      <c r="MF163" s="7"/>
      <c r="MG163" s="7"/>
      <c r="MH163" s="7"/>
      <c r="MI163" s="7"/>
      <c r="MJ163" s="7"/>
      <c r="MK163" s="7"/>
      <c r="ML163" s="7"/>
      <c r="MM163" s="7"/>
      <c r="MN163" s="7"/>
      <c r="MO163" s="7"/>
      <c r="MP163" s="7"/>
      <c r="MQ163" s="7"/>
      <c r="MR163" s="7"/>
      <c r="MS163" s="7"/>
      <c r="MT163" s="7"/>
      <c r="MU163" s="7"/>
      <c r="MV163" s="7"/>
      <c r="MW163" s="7"/>
      <c r="MX163" s="7"/>
      <c r="MY163" s="7"/>
      <c r="MZ163" s="7"/>
      <c r="NA163" s="7"/>
      <c r="NB163" s="7"/>
      <c r="NC163" s="7"/>
      <c r="ND163" s="7"/>
      <c r="NE163" s="7"/>
      <c r="NF163" s="7"/>
      <c r="NG163" s="7"/>
      <c r="NH163" s="7"/>
      <c r="NI163" s="7"/>
      <c r="NJ163" s="7"/>
      <c r="NK163" s="7"/>
      <c r="NL163" s="7"/>
      <c r="NM163" s="7"/>
      <c r="NN163" s="7"/>
      <c r="NO163" s="7"/>
      <c r="NP163" s="7"/>
      <c r="NQ163" s="7"/>
      <c r="NR163" s="7"/>
      <c r="NS163" s="7"/>
      <c r="NT163" s="7"/>
      <c r="NU163" s="7"/>
      <c r="NV163" s="7"/>
      <c r="NW163" s="7"/>
      <c r="NX163" s="7"/>
      <c r="NY163" s="7"/>
      <c r="NZ163" s="7"/>
      <c r="OA163" s="7"/>
      <c r="OB163" s="7"/>
      <c r="OC163" s="7"/>
      <c r="OD163" s="7"/>
      <c r="OE163" s="7"/>
      <c r="OF163" s="7"/>
      <c r="OG163" s="7"/>
      <c r="OH163" s="7"/>
      <c r="OI163" s="7"/>
      <c r="OJ163" s="7"/>
      <c r="OK163" s="7"/>
      <c r="OL163" s="7"/>
      <c r="OM163" s="7"/>
      <c r="ON163" s="7"/>
      <c r="OO163" s="7"/>
      <c r="OP163" s="7"/>
      <c r="OQ163" s="7"/>
      <c r="OR163" s="7"/>
      <c r="OS163" s="7"/>
      <c r="OT163" s="7"/>
      <c r="OU163" s="7"/>
      <c r="OV163" s="7"/>
      <c r="OW163" s="7"/>
      <c r="OX163" s="7"/>
      <c r="OY163" s="7"/>
      <c r="OZ163" s="7"/>
      <c r="PA163" s="7"/>
      <c r="PB163" s="7"/>
      <c r="PC163" s="7"/>
      <c r="PD163" s="7"/>
      <c r="PE163" s="7"/>
      <c r="PF163" s="7"/>
      <c r="PG163" s="7"/>
      <c r="PH163" s="7"/>
      <c r="PI163" s="7"/>
      <c r="PJ163" s="7"/>
      <c r="PK163" s="7"/>
      <c r="PL163" s="7"/>
      <c r="PM163" s="7"/>
      <c r="PN163" s="7"/>
      <c r="PO163" s="7"/>
      <c r="PP163" s="7"/>
      <c r="PQ163" s="7"/>
      <c r="PR163" s="7"/>
      <c r="PS163" s="7"/>
      <c r="PT163" s="7"/>
      <c r="PU163" s="7"/>
      <c r="PV163" s="7"/>
      <c r="PW163" s="7"/>
      <c r="PX163" s="7"/>
      <c r="PY163" s="7"/>
      <c r="PZ163" s="7"/>
      <c r="QA163" s="7"/>
      <c r="QB163" s="7"/>
      <c r="QC163" s="7"/>
      <c r="QD163" s="7"/>
      <c r="QE163" s="7"/>
      <c r="QF163" s="7"/>
      <c r="QG163" s="7"/>
      <c r="QH163" s="7"/>
      <c r="QI163" s="7"/>
      <c r="QJ163" s="7"/>
      <c r="QK163" s="7"/>
      <c r="QL163" s="7"/>
      <c r="QM163" s="7"/>
      <c r="QN163" s="7"/>
      <c r="QO163" s="7"/>
      <c r="QP163" s="7"/>
      <c r="QQ163" s="7"/>
      <c r="QR163" s="7"/>
      <c r="QS163" s="7"/>
      <c r="QT163" s="7"/>
      <c r="QU163" s="7"/>
      <c r="QV163" s="7"/>
      <c r="QW163" s="7"/>
      <c r="QX163" s="7"/>
      <c r="QY163" s="7"/>
      <c r="QZ163" s="7"/>
      <c r="RA163" s="7"/>
      <c r="RB163" s="7"/>
      <c r="RC163" s="7"/>
      <c r="RD163" s="7"/>
      <c r="RE163" s="7"/>
      <c r="RF163" s="7"/>
      <c r="RG163" s="7"/>
      <c r="RH163" s="7"/>
      <c r="RI163" s="7"/>
      <c r="RJ163" s="7"/>
      <c r="RK163" s="7"/>
      <c r="RL163" s="7"/>
      <c r="RM163" s="7"/>
      <c r="RN163" s="7"/>
      <c r="RO163" s="7"/>
      <c r="RP163" s="7"/>
      <c r="RQ163" s="7"/>
      <c r="RR163" s="7"/>
      <c r="RS163" s="7"/>
      <c r="RT163" s="7"/>
      <c r="RU163" s="7"/>
      <c r="RV163" s="7"/>
      <c r="RW163" s="7"/>
      <c r="RX163" s="7"/>
      <c r="RY163" s="7"/>
      <c r="RZ163" s="7"/>
      <c r="SA163" s="7"/>
      <c r="SB163" s="7"/>
      <c r="SC163" s="7"/>
      <c r="SD163" s="7"/>
      <c r="SE163" s="7"/>
      <c r="SF163" s="7"/>
      <c r="SG163" s="7"/>
      <c r="SH163" s="7"/>
      <c r="SI163" s="7"/>
      <c r="SJ163" s="7"/>
      <c r="SK163" s="7"/>
      <c r="SL163" s="7"/>
      <c r="SM163" s="7"/>
      <c r="SN163" s="7"/>
      <c r="SO163" s="7"/>
      <c r="SP163" s="7"/>
      <c r="SQ163" s="7"/>
      <c r="SR163" s="7"/>
      <c r="SS163" s="7"/>
      <c r="ST163" s="7"/>
      <c r="SU163" s="7"/>
      <c r="SV163" s="7"/>
      <c r="SW163" s="7"/>
      <c r="SX163" s="7"/>
      <c r="SY163" s="7"/>
      <c r="SZ163" s="7"/>
      <c r="TA163" s="7"/>
      <c r="TB163" s="7"/>
      <c r="TC163" s="7"/>
      <c r="TD163" s="7"/>
      <c r="TE163" s="7"/>
      <c r="TF163" s="7"/>
      <c r="TG163" s="7"/>
      <c r="TH163" s="7"/>
      <c r="TI163" s="7"/>
      <c r="TJ163" s="7"/>
      <c r="TK163" s="7"/>
      <c r="TL163" s="7"/>
      <c r="TM163" s="7"/>
      <c r="TN163" s="7"/>
      <c r="TO163" s="7"/>
      <c r="TP163" s="7"/>
      <c r="TQ163" s="7"/>
      <c r="TR163" s="7"/>
      <c r="TS163" s="7"/>
      <c r="TT163" s="7"/>
      <c r="TU163" s="7"/>
      <c r="TV163" s="7"/>
      <c r="TW163" s="7"/>
      <c r="TX163" s="7"/>
      <c r="TY163" s="7"/>
      <c r="TZ163" s="7"/>
      <c r="UA163" s="7"/>
      <c r="UB163" s="7"/>
      <c r="UC163" s="7"/>
      <c r="UD163" s="7"/>
      <c r="UE163" s="7"/>
      <c r="UF163" s="7"/>
      <c r="UG163" s="7"/>
      <c r="UH163" s="7"/>
      <c r="UI163" s="7"/>
      <c r="UJ163" s="7"/>
      <c r="UK163" s="7"/>
      <c r="UL163" s="7"/>
      <c r="UM163" s="7"/>
      <c r="UN163" s="7"/>
      <c r="UO163" s="7"/>
      <c r="UP163" s="7"/>
      <c r="UQ163" s="7"/>
      <c r="UR163" s="7"/>
      <c r="US163" s="7"/>
      <c r="UT163" s="7"/>
      <c r="UU163" s="7"/>
      <c r="UV163" s="7"/>
      <c r="UW163" s="7"/>
      <c r="UX163" s="7"/>
      <c r="UY163" s="7"/>
      <c r="UZ163" s="7"/>
      <c r="VA163" s="7"/>
      <c r="VB163" s="7"/>
      <c r="VC163" s="7"/>
      <c r="VD163" s="7"/>
      <c r="VE163" s="7"/>
      <c r="VF163" s="7"/>
      <c r="VG163" s="7"/>
      <c r="VH163" s="7"/>
      <c r="VI163" s="7"/>
      <c r="VJ163" s="7"/>
      <c r="VK163" s="7"/>
      <c r="VL163" s="7"/>
      <c r="VM163" s="7"/>
      <c r="VN163" s="7"/>
      <c r="VO163" s="7"/>
      <c r="VP163" s="7"/>
      <c r="VQ163" s="7"/>
      <c r="VR163" s="7"/>
      <c r="VS163" s="7"/>
      <c r="VT163" s="7"/>
      <c r="VU163" s="7"/>
      <c r="VV163" s="7"/>
      <c r="VW163" s="7"/>
      <c r="VX163" s="7"/>
      <c r="VY163" s="7"/>
      <c r="VZ163" s="7"/>
      <c r="WA163" s="7"/>
      <c r="WB163" s="7"/>
      <c r="WC163" s="7"/>
      <c r="WD163" s="7"/>
      <c r="WE163" s="7"/>
      <c r="WF163" s="7"/>
      <c r="WG163" s="7"/>
      <c r="WH163" s="7"/>
      <c r="WI163" s="7"/>
      <c r="WJ163" s="7"/>
      <c r="WK163" s="7"/>
      <c r="WL163" s="7"/>
      <c r="WM163" s="7"/>
      <c r="WN163" s="7"/>
      <c r="WO163" s="7"/>
      <c r="WP163" s="7"/>
      <c r="WQ163" s="7"/>
      <c r="WR163" s="7"/>
      <c r="WS163" s="7"/>
      <c r="WT163" s="7"/>
      <c r="WU163" s="7"/>
      <c r="WV163" s="7"/>
      <c r="WW163" s="7"/>
      <c r="WX163" s="7"/>
      <c r="WY163" s="7"/>
      <c r="WZ163" s="7"/>
      <c r="XA163" s="7"/>
      <c r="XB163" s="7"/>
      <c r="XC163" s="7"/>
      <c r="XD163" s="7"/>
      <c r="XE163" s="7"/>
      <c r="XF163" s="7"/>
      <c r="XG163" s="7"/>
      <c r="XH163" s="7"/>
      <c r="XI163" s="7"/>
      <c r="XJ163" s="7"/>
      <c r="XK163" s="7"/>
      <c r="XL163" s="7"/>
      <c r="XM163" s="7"/>
      <c r="XN163" s="7"/>
      <c r="XO163" s="7"/>
      <c r="XP163" s="7"/>
      <c r="XQ163" s="7"/>
      <c r="XR163" s="7"/>
      <c r="XS163" s="7"/>
      <c r="XT163" s="7"/>
      <c r="XU163" s="7"/>
      <c r="XV163" s="7"/>
      <c r="XW163" s="7"/>
      <c r="XX163" s="7"/>
      <c r="XY163" s="7"/>
      <c r="XZ163" s="7"/>
      <c r="YA163" s="7"/>
      <c r="YB163" s="7"/>
      <c r="YC163" s="7"/>
      <c r="YD163" s="7"/>
      <c r="YE163" s="7"/>
      <c r="YF163" s="7"/>
      <c r="YG163" s="7"/>
      <c r="YH163" s="7"/>
      <c r="YI163" s="7"/>
      <c r="YJ163" s="7"/>
      <c r="YK163" s="7"/>
      <c r="YL163" s="7"/>
      <c r="YM163" s="7"/>
      <c r="YN163" s="7"/>
      <c r="YO163" s="7"/>
      <c r="YP163" s="7"/>
      <c r="YQ163" s="7"/>
      <c r="YR163" s="7"/>
      <c r="YS163" s="7"/>
      <c r="YT163" s="7"/>
      <c r="YU163" s="7"/>
      <c r="YV163" s="7"/>
      <c r="YW163" s="7"/>
      <c r="YX163" s="7"/>
      <c r="YY163" s="7"/>
      <c r="YZ163" s="7"/>
      <c r="ZA163" s="7"/>
      <c r="ZB163" s="7"/>
      <c r="ZC163" s="7"/>
      <c r="ZD163" s="7"/>
      <c r="ZE163" s="7"/>
      <c r="ZF163" s="7"/>
      <c r="ZG163" s="7"/>
      <c r="ZH163" s="7"/>
      <c r="ZI163" s="7"/>
      <c r="ZJ163" s="7"/>
      <c r="ZK163" s="7"/>
      <c r="ZL163" s="7"/>
      <c r="ZM163" s="7"/>
      <c r="ZN163" s="7"/>
      <c r="ZO163" s="7"/>
      <c r="ZP163" s="7"/>
      <c r="ZQ163" s="7"/>
      <c r="ZR163" s="7"/>
      <c r="ZS163" s="7"/>
      <c r="ZT163" s="7"/>
      <c r="ZU163" s="7"/>
      <c r="ZV163" s="7"/>
      <c r="ZW163" s="7"/>
      <c r="ZX163" s="7"/>
      <c r="ZY163" s="7"/>
      <c r="ZZ163" s="7"/>
      <c r="AAA163" s="7"/>
      <c r="AAB163" s="7"/>
      <c r="AAC163" s="7"/>
      <c r="AAD163" s="7"/>
      <c r="AAE163" s="7"/>
      <c r="AAF163" s="7"/>
      <c r="AAG163" s="7"/>
      <c r="AAH163" s="7"/>
      <c r="AAI163" s="7"/>
      <c r="AAJ163" s="7"/>
      <c r="AAK163" s="7"/>
      <c r="AAL163" s="7"/>
      <c r="AAM163" s="7"/>
      <c r="AAN163" s="7"/>
      <c r="AAO163" s="7"/>
      <c r="AAP163" s="7"/>
      <c r="AAQ163" s="7"/>
      <c r="AAR163" s="7"/>
      <c r="AAS163" s="7"/>
      <c r="AAT163" s="7"/>
      <c r="AAU163" s="7"/>
      <c r="AAV163" s="7"/>
      <c r="AAW163" s="7"/>
      <c r="AAX163" s="7"/>
      <c r="AAY163" s="7"/>
      <c r="AAZ163" s="7"/>
      <c r="ABA163" s="7"/>
      <c r="ABB163" s="7"/>
      <c r="ABC163" s="7"/>
      <c r="ABD163" s="7"/>
      <c r="ABE163" s="7"/>
      <c r="ABF163" s="7"/>
      <c r="ABG163" s="7"/>
      <c r="ABH163" s="7"/>
      <c r="ABI163" s="7"/>
      <c r="ABJ163" s="7"/>
      <c r="ABK163" s="7"/>
      <c r="ABL163" s="7"/>
      <c r="ABM163" s="7"/>
      <c r="ABN163" s="7"/>
      <c r="ABO163" s="7"/>
      <c r="ABP163" s="7"/>
      <c r="ABQ163" s="7"/>
      <c r="ABR163" s="7"/>
      <c r="ABS163" s="7"/>
      <c r="ABT163" s="7"/>
      <c r="ABU163" s="7"/>
      <c r="ABV163" s="7"/>
      <c r="ABW163" s="7"/>
      <c r="ABX163" s="7"/>
      <c r="ABY163" s="7"/>
      <c r="ABZ163" s="7"/>
      <c r="ACA163" s="7"/>
      <c r="ACB163" s="7"/>
      <c r="ACC163" s="7"/>
      <c r="ACD163" s="7"/>
      <c r="ACE163" s="7"/>
      <c r="ACF163" s="7"/>
      <c r="ACG163" s="7"/>
      <c r="ACH163" s="7"/>
      <c r="ACI163" s="7"/>
      <c r="ACJ163" s="7"/>
      <c r="ACK163" s="7"/>
      <c r="ACL163" s="7"/>
      <c r="ACM163" s="7"/>
      <c r="ACN163" s="7"/>
      <c r="ACO163" s="7"/>
      <c r="ACP163" s="7"/>
      <c r="ACQ163" s="7"/>
      <c r="ACR163" s="7"/>
      <c r="ACS163" s="7"/>
      <c r="ACT163" s="7"/>
      <c r="ACU163" s="7"/>
      <c r="ACV163" s="7"/>
      <c r="ACW163" s="7"/>
      <c r="ACX163" s="7"/>
      <c r="ACY163" s="7"/>
      <c r="ACZ163" s="7"/>
      <c r="ADA163" s="7"/>
      <c r="ADB163" s="7"/>
      <c r="ADC163" s="7"/>
      <c r="ADD163" s="7"/>
      <c r="ADE163" s="7"/>
      <c r="ADF163" s="7"/>
      <c r="ADG163" s="7"/>
      <c r="ADH163" s="7"/>
      <c r="ADI163" s="7"/>
      <c r="ADJ163" s="7"/>
      <c r="ADK163" s="7"/>
      <c r="ADL163" s="7"/>
      <c r="ADM163" s="7"/>
      <c r="ADN163" s="7"/>
      <c r="ADO163" s="7"/>
      <c r="ADP163" s="7"/>
      <c r="ADQ163" s="7"/>
      <c r="ADR163" s="7"/>
      <c r="ADS163" s="7"/>
      <c r="ADT163" s="7"/>
      <c r="ADU163" s="7"/>
      <c r="ADV163" s="7"/>
      <c r="ADW163" s="7"/>
      <c r="ADX163" s="7"/>
      <c r="ADY163" s="7"/>
      <c r="ADZ163" s="7"/>
      <c r="AEA163" s="7"/>
      <c r="AEB163" s="7"/>
      <c r="AEC163" s="7"/>
      <c r="AED163" s="7"/>
      <c r="AEE163" s="7"/>
      <c r="AEF163" s="7"/>
      <c r="AEG163" s="7"/>
      <c r="AEH163" s="7"/>
      <c r="AEI163" s="7"/>
      <c r="AEJ163" s="7"/>
      <c r="AEK163" s="7"/>
      <c r="AEL163" s="7"/>
      <c r="AEM163" s="7"/>
      <c r="AEN163" s="7"/>
      <c r="AEO163" s="7"/>
      <c r="AEP163" s="7"/>
      <c r="AEQ163" s="7"/>
      <c r="AER163" s="7"/>
      <c r="AES163" s="7"/>
      <c r="AET163" s="7"/>
      <c r="AEU163" s="7"/>
      <c r="AEV163" s="7"/>
      <c r="AEW163" s="7"/>
      <c r="AEX163" s="7"/>
      <c r="AEY163" s="7"/>
      <c r="AEZ163" s="7"/>
      <c r="AFA163" s="7"/>
      <c r="AFB163" s="7"/>
      <c r="AFC163" s="7"/>
      <c r="AFD163" s="7"/>
      <c r="AFE163" s="7"/>
      <c r="AFF163" s="7"/>
      <c r="AFG163" s="7"/>
      <c r="AFH163" s="7"/>
      <c r="AFI163" s="7"/>
      <c r="AFJ163" s="7"/>
      <c r="AFK163" s="7"/>
      <c r="AFL163" s="7"/>
      <c r="AFM163" s="7"/>
      <c r="AFN163" s="7"/>
      <c r="AFO163" s="7"/>
      <c r="AFP163" s="7"/>
      <c r="AFQ163" s="7"/>
      <c r="AFR163" s="7"/>
      <c r="AFS163" s="7"/>
      <c r="AFT163" s="7"/>
      <c r="AFU163" s="7"/>
      <c r="AFV163" s="7"/>
      <c r="AFW163" s="7"/>
      <c r="AFX163" s="7"/>
      <c r="AFY163" s="7"/>
      <c r="AFZ163" s="7"/>
      <c r="AGA163" s="7"/>
      <c r="AGB163" s="7"/>
      <c r="AGC163" s="7"/>
      <c r="AGD163" s="7"/>
      <c r="AGE163" s="7"/>
      <c r="AGF163" s="7"/>
      <c r="AGG163" s="7"/>
      <c r="AGH163" s="7"/>
      <c r="AGI163" s="7"/>
      <c r="AGJ163" s="7"/>
      <c r="AGK163" s="7"/>
      <c r="AGL163" s="7"/>
      <c r="AGM163" s="7"/>
      <c r="AGN163" s="7"/>
      <c r="AGO163" s="7"/>
      <c r="AGP163" s="7"/>
      <c r="AGQ163" s="7"/>
      <c r="AGR163" s="7"/>
      <c r="AGS163" s="7"/>
      <c r="AGT163" s="7"/>
      <c r="AGU163" s="7"/>
      <c r="AGV163" s="7"/>
      <c r="AGW163" s="7"/>
      <c r="AGX163" s="7"/>
      <c r="AGY163" s="7"/>
      <c r="AGZ163" s="7"/>
      <c r="AHA163" s="7"/>
      <c r="AHB163" s="7"/>
      <c r="AHC163" s="7"/>
      <c r="AHD163" s="7"/>
      <c r="AHE163" s="7"/>
      <c r="AHF163" s="7"/>
      <c r="AHG163" s="7"/>
      <c r="AHH163" s="7"/>
      <c r="AHI163" s="7"/>
      <c r="AHJ163" s="7"/>
      <c r="AHK163" s="7"/>
      <c r="AHL163" s="7"/>
      <c r="AHM163" s="7"/>
      <c r="AHN163" s="7"/>
      <c r="AHO163" s="7"/>
      <c r="AHP163" s="7"/>
      <c r="AHQ163" s="7"/>
      <c r="AHR163" s="7"/>
      <c r="AHS163" s="7"/>
      <c r="AHT163" s="7"/>
      <c r="AHU163" s="7"/>
      <c r="AHV163" s="7"/>
      <c r="AHW163" s="7"/>
      <c r="AHX163" s="7"/>
      <c r="AHY163" s="7"/>
      <c r="AHZ163" s="7"/>
      <c r="AIA163" s="7"/>
      <c r="AIB163" s="7"/>
      <c r="AIC163" s="7"/>
      <c r="AID163" s="7"/>
      <c r="AIE163" s="7"/>
      <c r="AIF163" s="7"/>
      <c r="AIG163" s="7"/>
      <c r="AIH163" s="7"/>
      <c r="AII163" s="7"/>
      <c r="AIJ163" s="7"/>
      <c r="AIK163" s="7"/>
      <c r="AIL163" s="7"/>
      <c r="AIM163" s="7"/>
      <c r="AIN163" s="7"/>
      <c r="AIO163" s="7"/>
      <c r="AIP163" s="7"/>
      <c r="AIQ163" s="7"/>
      <c r="AIR163" s="7"/>
      <c r="AIS163" s="7"/>
      <c r="AIT163" s="7"/>
      <c r="AIU163" s="7"/>
      <c r="AIV163" s="7"/>
      <c r="AIW163" s="7"/>
      <c r="AIX163" s="7"/>
      <c r="AIY163" s="7"/>
      <c r="AIZ163" s="7"/>
      <c r="AJA163" s="7"/>
      <c r="AJB163" s="7"/>
      <c r="AJC163" s="7"/>
      <c r="AJD163" s="7"/>
      <c r="AJE163" s="7"/>
      <c r="AJF163" s="7"/>
      <c r="AJG163" s="7"/>
      <c r="AJH163" s="7"/>
      <c r="AJI163" s="7"/>
      <c r="AJJ163" s="7"/>
      <c r="AJK163" s="7"/>
      <c r="AJL163" s="7"/>
      <c r="AJM163" s="7"/>
      <c r="AJN163" s="7"/>
      <c r="AJO163" s="7"/>
      <c r="AJP163" s="7"/>
      <c r="AJQ163" s="7"/>
      <c r="AJR163" s="7"/>
      <c r="AJS163" s="7"/>
      <c r="AJT163" s="7"/>
      <c r="AJU163" s="7"/>
      <c r="AJV163" s="7"/>
      <c r="AJW163" s="7"/>
      <c r="AJX163" s="7"/>
      <c r="AJY163" s="7"/>
      <c r="AJZ163" s="7"/>
      <c r="AKA163" s="7"/>
      <c r="AKB163" s="7"/>
      <c r="AKC163" s="7"/>
      <c r="AKD163" s="7"/>
      <c r="AKE163" s="7"/>
      <c r="AKF163" s="7"/>
      <c r="AKG163" s="7"/>
      <c r="AKH163" s="7"/>
      <c r="AKI163" s="7"/>
      <c r="AKJ163" s="7"/>
      <c r="AKK163" s="7"/>
      <c r="AKL163" s="7"/>
      <c r="AKM163" s="7"/>
      <c r="AKN163" s="7"/>
      <c r="AKO163" s="7"/>
      <c r="AKP163" s="7"/>
      <c r="AKQ163" s="7"/>
      <c r="AKR163" s="7"/>
      <c r="AKS163" s="7"/>
      <c r="AKT163" s="7"/>
      <c r="AKU163" s="7"/>
      <c r="AKV163" s="7"/>
      <c r="AKW163" s="7"/>
      <c r="AKX163" s="7"/>
      <c r="AKY163" s="7"/>
      <c r="AKZ163" s="7"/>
      <c r="ALA163" s="7"/>
      <c r="ALB163" s="7"/>
      <c r="ALC163" s="7"/>
      <c r="ALD163" s="7"/>
      <c r="ALE163" s="7"/>
      <c r="ALF163" s="7"/>
      <c r="ALG163" s="7"/>
      <c r="ALH163" s="7"/>
      <c r="ALI163" s="7"/>
      <c r="ALJ163" s="7"/>
      <c r="ALK163" s="7"/>
      <c r="ALL163" s="7"/>
      <c r="ALM163" s="7"/>
      <c r="ALN163" s="7"/>
      <c r="ALO163" s="7"/>
      <c r="ALP163" s="7"/>
      <c r="ALQ163" s="7"/>
      <c r="ALR163" s="7"/>
      <c r="ALS163" s="7"/>
      <c r="ALT163" s="7"/>
      <c r="ALU163" s="7"/>
      <c r="ALV163" s="7"/>
      <c r="ALW163" s="7"/>
      <c r="ALX163" s="7"/>
      <c r="ALY163" s="7"/>
      <c r="ALZ163" s="7"/>
      <c r="AMA163" s="7"/>
      <c r="AMB163" s="7"/>
      <c r="AMC163" s="7"/>
      <c r="AMD163" s="7"/>
      <c r="AME163" s="7"/>
      <c r="AMF163" s="7"/>
      <c r="AMG163" s="7"/>
      <c r="AMH163" s="7"/>
      <c r="AMI163" s="7"/>
      <c r="AMJ163" s="7"/>
    </row>
    <row r="164" customFormat="false" ht="15.75" hidden="false" customHeight="true" outlineLevel="0" collapsed="false">
      <c r="A164" s="7"/>
      <c r="B164" s="7"/>
      <c r="C164" s="269" t="s">
        <v>33</v>
      </c>
      <c r="D164" s="270" t="n">
        <f aca="false">D31+D59+D87+D114</f>
        <v>144</v>
      </c>
      <c r="E164" s="271" t="n">
        <f aca="false">F30+F58+F86+F113</f>
        <v>7</v>
      </c>
      <c r="F164" s="320"/>
      <c r="G164" s="272"/>
      <c r="H164" s="24"/>
      <c r="I164" s="78"/>
      <c r="J164" s="8"/>
      <c r="K164" s="8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  <c r="KS164" s="7"/>
      <c r="KT164" s="7"/>
      <c r="KU164" s="7"/>
      <c r="KV164" s="7"/>
      <c r="KW164" s="7"/>
      <c r="KX164" s="7"/>
      <c r="KY164" s="7"/>
      <c r="KZ164" s="7"/>
      <c r="LA164" s="7"/>
      <c r="LB164" s="7"/>
      <c r="LC164" s="7"/>
      <c r="LD164" s="7"/>
      <c r="LE164" s="7"/>
      <c r="LF164" s="7"/>
      <c r="LG164" s="7"/>
      <c r="LH164" s="7"/>
      <c r="LI164" s="7"/>
      <c r="LJ164" s="7"/>
      <c r="LK164" s="7"/>
      <c r="LL164" s="7"/>
      <c r="LM164" s="7"/>
      <c r="LN164" s="7"/>
      <c r="LO164" s="7"/>
      <c r="LP164" s="7"/>
      <c r="LQ164" s="7"/>
      <c r="LR164" s="7"/>
      <c r="LS164" s="7"/>
      <c r="LT164" s="7"/>
      <c r="LU164" s="7"/>
      <c r="LV164" s="7"/>
      <c r="LW164" s="7"/>
      <c r="LX164" s="7"/>
      <c r="LY164" s="7"/>
      <c r="LZ164" s="7"/>
      <c r="MA164" s="7"/>
      <c r="MB164" s="7"/>
      <c r="MC164" s="7"/>
      <c r="MD164" s="7"/>
      <c r="ME164" s="7"/>
      <c r="MF164" s="7"/>
      <c r="MG164" s="7"/>
      <c r="MH164" s="7"/>
      <c r="MI164" s="7"/>
      <c r="MJ164" s="7"/>
      <c r="MK164" s="7"/>
      <c r="ML164" s="7"/>
      <c r="MM164" s="7"/>
      <c r="MN164" s="7"/>
      <c r="MO164" s="7"/>
      <c r="MP164" s="7"/>
      <c r="MQ164" s="7"/>
      <c r="MR164" s="7"/>
      <c r="MS164" s="7"/>
      <c r="MT164" s="7"/>
      <c r="MU164" s="7"/>
      <c r="MV164" s="7"/>
      <c r="MW164" s="7"/>
      <c r="MX164" s="7"/>
      <c r="MY164" s="7"/>
      <c r="MZ164" s="7"/>
      <c r="NA164" s="7"/>
      <c r="NB164" s="7"/>
      <c r="NC164" s="7"/>
      <c r="ND164" s="7"/>
      <c r="NE164" s="7"/>
      <c r="NF164" s="7"/>
      <c r="NG164" s="7"/>
      <c r="NH164" s="7"/>
      <c r="NI164" s="7"/>
      <c r="NJ164" s="7"/>
      <c r="NK164" s="7"/>
      <c r="NL164" s="7"/>
      <c r="NM164" s="7"/>
      <c r="NN164" s="7"/>
      <c r="NO164" s="7"/>
      <c r="NP164" s="7"/>
      <c r="NQ164" s="7"/>
      <c r="NR164" s="7"/>
      <c r="NS164" s="7"/>
      <c r="NT164" s="7"/>
      <c r="NU164" s="7"/>
      <c r="NV164" s="7"/>
      <c r="NW164" s="7"/>
      <c r="NX164" s="7"/>
      <c r="NY164" s="7"/>
      <c r="NZ164" s="7"/>
      <c r="OA164" s="7"/>
      <c r="OB164" s="7"/>
      <c r="OC164" s="7"/>
      <c r="OD164" s="7"/>
      <c r="OE164" s="7"/>
      <c r="OF164" s="7"/>
      <c r="OG164" s="7"/>
      <c r="OH164" s="7"/>
      <c r="OI164" s="7"/>
      <c r="OJ164" s="7"/>
      <c r="OK164" s="7"/>
      <c r="OL164" s="7"/>
      <c r="OM164" s="7"/>
      <c r="ON164" s="7"/>
      <c r="OO164" s="7"/>
      <c r="OP164" s="7"/>
      <c r="OQ164" s="7"/>
      <c r="OR164" s="7"/>
      <c r="OS164" s="7"/>
      <c r="OT164" s="7"/>
      <c r="OU164" s="7"/>
      <c r="OV164" s="7"/>
      <c r="OW164" s="7"/>
      <c r="OX164" s="7"/>
      <c r="OY164" s="7"/>
      <c r="OZ164" s="7"/>
      <c r="PA164" s="7"/>
      <c r="PB164" s="7"/>
      <c r="PC164" s="7"/>
      <c r="PD164" s="7"/>
      <c r="PE164" s="7"/>
      <c r="PF164" s="7"/>
      <c r="PG164" s="7"/>
      <c r="PH164" s="7"/>
      <c r="PI164" s="7"/>
      <c r="PJ164" s="7"/>
      <c r="PK164" s="7"/>
      <c r="PL164" s="7"/>
      <c r="PM164" s="7"/>
      <c r="PN164" s="7"/>
      <c r="PO164" s="7"/>
      <c r="PP164" s="7"/>
      <c r="PQ164" s="7"/>
      <c r="PR164" s="7"/>
      <c r="PS164" s="7"/>
      <c r="PT164" s="7"/>
      <c r="PU164" s="7"/>
      <c r="PV164" s="7"/>
      <c r="PW164" s="7"/>
      <c r="PX164" s="7"/>
      <c r="PY164" s="7"/>
      <c r="PZ164" s="7"/>
      <c r="QA164" s="7"/>
      <c r="QB164" s="7"/>
      <c r="QC164" s="7"/>
      <c r="QD164" s="7"/>
      <c r="QE164" s="7"/>
      <c r="QF164" s="7"/>
      <c r="QG164" s="7"/>
      <c r="QH164" s="7"/>
      <c r="QI164" s="7"/>
      <c r="QJ164" s="7"/>
      <c r="QK164" s="7"/>
      <c r="QL164" s="7"/>
      <c r="QM164" s="7"/>
      <c r="QN164" s="7"/>
      <c r="QO164" s="7"/>
      <c r="QP164" s="7"/>
      <c r="QQ164" s="7"/>
      <c r="QR164" s="7"/>
      <c r="QS164" s="7"/>
      <c r="QT164" s="7"/>
      <c r="QU164" s="7"/>
      <c r="QV164" s="7"/>
      <c r="QW164" s="7"/>
      <c r="QX164" s="7"/>
      <c r="QY164" s="7"/>
      <c r="QZ164" s="7"/>
      <c r="RA164" s="7"/>
      <c r="RB164" s="7"/>
      <c r="RC164" s="7"/>
      <c r="RD164" s="7"/>
      <c r="RE164" s="7"/>
      <c r="RF164" s="7"/>
      <c r="RG164" s="7"/>
      <c r="RH164" s="7"/>
      <c r="RI164" s="7"/>
      <c r="RJ164" s="7"/>
      <c r="RK164" s="7"/>
      <c r="RL164" s="7"/>
      <c r="RM164" s="7"/>
      <c r="RN164" s="7"/>
      <c r="RO164" s="7"/>
      <c r="RP164" s="7"/>
      <c r="RQ164" s="7"/>
      <c r="RR164" s="7"/>
      <c r="RS164" s="7"/>
      <c r="RT164" s="7"/>
      <c r="RU164" s="7"/>
      <c r="RV164" s="7"/>
      <c r="RW164" s="7"/>
      <c r="RX164" s="7"/>
      <c r="RY164" s="7"/>
      <c r="RZ164" s="7"/>
      <c r="SA164" s="7"/>
      <c r="SB164" s="7"/>
      <c r="SC164" s="7"/>
      <c r="SD164" s="7"/>
      <c r="SE164" s="7"/>
      <c r="SF164" s="7"/>
      <c r="SG164" s="7"/>
      <c r="SH164" s="7"/>
      <c r="SI164" s="7"/>
      <c r="SJ164" s="7"/>
      <c r="SK164" s="7"/>
      <c r="SL164" s="7"/>
      <c r="SM164" s="7"/>
      <c r="SN164" s="7"/>
      <c r="SO164" s="7"/>
      <c r="SP164" s="7"/>
      <c r="SQ164" s="7"/>
      <c r="SR164" s="7"/>
      <c r="SS164" s="7"/>
      <c r="ST164" s="7"/>
      <c r="SU164" s="7"/>
      <c r="SV164" s="7"/>
      <c r="SW164" s="7"/>
      <c r="SX164" s="7"/>
      <c r="SY164" s="7"/>
      <c r="SZ164" s="7"/>
      <c r="TA164" s="7"/>
      <c r="TB164" s="7"/>
      <c r="TC164" s="7"/>
      <c r="TD164" s="7"/>
      <c r="TE164" s="7"/>
      <c r="TF164" s="7"/>
      <c r="TG164" s="7"/>
      <c r="TH164" s="7"/>
      <c r="TI164" s="7"/>
      <c r="TJ164" s="7"/>
      <c r="TK164" s="7"/>
      <c r="TL164" s="7"/>
      <c r="TM164" s="7"/>
      <c r="TN164" s="7"/>
      <c r="TO164" s="7"/>
      <c r="TP164" s="7"/>
      <c r="TQ164" s="7"/>
      <c r="TR164" s="7"/>
      <c r="TS164" s="7"/>
      <c r="TT164" s="7"/>
      <c r="TU164" s="7"/>
      <c r="TV164" s="7"/>
      <c r="TW164" s="7"/>
      <c r="TX164" s="7"/>
      <c r="TY164" s="7"/>
      <c r="TZ164" s="7"/>
      <c r="UA164" s="7"/>
      <c r="UB164" s="7"/>
      <c r="UC164" s="7"/>
      <c r="UD164" s="7"/>
      <c r="UE164" s="7"/>
      <c r="UF164" s="7"/>
      <c r="UG164" s="7"/>
      <c r="UH164" s="7"/>
      <c r="UI164" s="7"/>
      <c r="UJ164" s="7"/>
      <c r="UK164" s="7"/>
      <c r="UL164" s="7"/>
      <c r="UM164" s="7"/>
      <c r="UN164" s="7"/>
      <c r="UO164" s="7"/>
      <c r="UP164" s="7"/>
      <c r="UQ164" s="7"/>
      <c r="UR164" s="7"/>
      <c r="US164" s="7"/>
      <c r="UT164" s="7"/>
      <c r="UU164" s="7"/>
      <c r="UV164" s="7"/>
      <c r="UW164" s="7"/>
      <c r="UX164" s="7"/>
      <c r="UY164" s="7"/>
      <c r="UZ164" s="7"/>
      <c r="VA164" s="7"/>
      <c r="VB164" s="7"/>
      <c r="VC164" s="7"/>
      <c r="VD164" s="7"/>
      <c r="VE164" s="7"/>
      <c r="VF164" s="7"/>
      <c r="VG164" s="7"/>
      <c r="VH164" s="7"/>
      <c r="VI164" s="7"/>
      <c r="VJ164" s="7"/>
      <c r="VK164" s="7"/>
      <c r="VL164" s="7"/>
      <c r="VM164" s="7"/>
      <c r="VN164" s="7"/>
      <c r="VO164" s="7"/>
      <c r="VP164" s="7"/>
      <c r="VQ164" s="7"/>
      <c r="VR164" s="7"/>
      <c r="VS164" s="7"/>
      <c r="VT164" s="7"/>
      <c r="VU164" s="7"/>
      <c r="VV164" s="7"/>
      <c r="VW164" s="7"/>
      <c r="VX164" s="7"/>
      <c r="VY164" s="7"/>
      <c r="VZ164" s="7"/>
      <c r="WA164" s="7"/>
      <c r="WB164" s="7"/>
      <c r="WC164" s="7"/>
      <c r="WD164" s="7"/>
      <c r="WE164" s="7"/>
      <c r="WF164" s="7"/>
      <c r="WG164" s="7"/>
      <c r="WH164" s="7"/>
      <c r="WI164" s="7"/>
      <c r="WJ164" s="7"/>
      <c r="WK164" s="7"/>
      <c r="WL164" s="7"/>
      <c r="WM164" s="7"/>
      <c r="WN164" s="7"/>
      <c r="WO164" s="7"/>
      <c r="WP164" s="7"/>
      <c r="WQ164" s="7"/>
      <c r="WR164" s="7"/>
      <c r="WS164" s="7"/>
      <c r="WT164" s="7"/>
      <c r="WU164" s="7"/>
      <c r="WV164" s="7"/>
      <c r="WW164" s="7"/>
      <c r="WX164" s="7"/>
      <c r="WY164" s="7"/>
      <c r="WZ164" s="7"/>
      <c r="XA164" s="7"/>
      <c r="XB164" s="7"/>
      <c r="XC164" s="7"/>
      <c r="XD164" s="7"/>
      <c r="XE164" s="7"/>
      <c r="XF164" s="7"/>
      <c r="XG164" s="7"/>
      <c r="XH164" s="7"/>
      <c r="XI164" s="7"/>
      <c r="XJ164" s="7"/>
      <c r="XK164" s="7"/>
      <c r="XL164" s="7"/>
      <c r="XM164" s="7"/>
      <c r="XN164" s="7"/>
      <c r="XO164" s="7"/>
      <c r="XP164" s="7"/>
      <c r="XQ164" s="7"/>
      <c r="XR164" s="7"/>
      <c r="XS164" s="7"/>
      <c r="XT164" s="7"/>
      <c r="XU164" s="7"/>
      <c r="XV164" s="7"/>
      <c r="XW164" s="7"/>
      <c r="XX164" s="7"/>
      <c r="XY164" s="7"/>
      <c r="XZ164" s="7"/>
      <c r="YA164" s="7"/>
      <c r="YB164" s="7"/>
      <c r="YC164" s="7"/>
      <c r="YD164" s="7"/>
      <c r="YE164" s="7"/>
      <c r="YF164" s="7"/>
      <c r="YG164" s="7"/>
      <c r="YH164" s="7"/>
      <c r="YI164" s="7"/>
      <c r="YJ164" s="7"/>
      <c r="YK164" s="7"/>
      <c r="YL164" s="7"/>
      <c r="YM164" s="7"/>
      <c r="YN164" s="7"/>
      <c r="YO164" s="7"/>
      <c r="YP164" s="7"/>
      <c r="YQ164" s="7"/>
      <c r="YR164" s="7"/>
      <c r="YS164" s="7"/>
      <c r="YT164" s="7"/>
      <c r="YU164" s="7"/>
      <c r="YV164" s="7"/>
      <c r="YW164" s="7"/>
      <c r="YX164" s="7"/>
      <c r="YY164" s="7"/>
      <c r="YZ164" s="7"/>
      <c r="ZA164" s="7"/>
      <c r="ZB164" s="7"/>
      <c r="ZC164" s="7"/>
      <c r="ZD164" s="7"/>
      <c r="ZE164" s="7"/>
      <c r="ZF164" s="7"/>
      <c r="ZG164" s="7"/>
      <c r="ZH164" s="7"/>
      <c r="ZI164" s="7"/>
      <c r="ZJ164" s="7"/>
      <c r="ZK164" s="7"/>
      <c r="ZL164" s="7"/>
      <c r="ZM164" s="7"/>
      <c r="ZN164" s="7"/>
      <c r="ZO164" s="7"/>
      <c r="ZP164" s="7"/>
      <c r="ZQ164" s="7"/>
      <c r="ZR164" s="7"/>
      <c r="ZS164" s="7"/>
      <c r="ZT164" s="7"/>
      <c r="ZU164" s="7"/>
      <c r="ZV164" s="7"/>
      <c r="ZW164" s="7"/>
      <c r="ZX164" s="7"/>
      <c r="ZY164" s="7"/>
      <c r="ZZ164" s="7"/>
      <c r="AAA164" s="7"/>
      <c r="AAB164" s="7"/>
      <c r="AAC164" s="7"/>
      <c r="AAD164" s="7"/>
      <c r="AAE164" s="7"/>
      <c r="AAF164" s="7"/>
      <c r="AAG164" s="7"/>
      <c r="AAH164" s="7"/>
      <c r="AAI164" s="7"/>
      <c r="AAJ164" s="7"/>
      <c r="AAK164" s="7"/>
      <c r="AAL164" s="7"/>
      <c r="AAM164" s="7"/>
      <c r="AAN164" s="7"/>
      <c r="AAO164" s="7"/>
      <c r="AAP164" s="7"/>
      <c r="AAQ164" s="7"/>
      <c r="AAR164" s="7"/>
      <c r="AAS164" s="7"/>
      <c r="AAT164" s="7"/>
      <c r="AAU164" s="7"/>
      <c r="AAV164" s="7"/>
      <c r="AAW164" s="7"/>
      <c r="AAX164" s="7"/>
      <c r="AAY164" s="7"/>
      <c r="AAZ164" s="7"/>
      <c r="ABA164" s="7"/>
      <c r="ABB164" s="7"/>
      <c r="ABC164" s="7"/>
      <c r="ABD164" s="7"/>
      <c r="ABE164" s="7"/>
      <c r="ABF164" s="7"/>
      <c r="ABG164" s="7"/>
      <c r="ABH164" s="7"/>
      <c r="ABI164" s="7"/>
      <c r="ABJ164" s="7"/>
      <c r="ABK164" s="7"/>
      <c r="ABL164" s="7"/>
      <c r="ABM164" s="7"/>
      <c r="ABN164" s="7"/>
      <c r="ABO164" s="7"/>
      <c r="ABP164" s="7"/>
      <c r="ABQ164" s="7"/>
      <c r="ABR164" s="7"/>
      <c r="ABS164" s="7"/>
      <c r="ABT164" s="7"/>
      <c r="ABU164" s="7"/>
      <c r="ABV164" s="7"/>
      <c r="ABW164" s="7"/>
      <c r="ABX164" s="7"/>
      <c r="ABY164" s="7"/>
      <c r="ABZ164" s="7"/>
      <c r="ACA164" s="7"/>
      <c r="ACB164" s="7"/>
      <c r="ACC164" s="7"/>
      <c r="ACD164" s="7"/>
      <c r="ACE164" s="7"/>
      <c r="ACF164" s="7"/>
      <c r="ACG164" s="7"/>
      <c r="ACH164" s="7"/>
      <c r="ACI164" s="7"/>
      <c r="ACJ164" s="7"/>
      <c r="ACK164" s="7"/>
      <c r="ACL164" s="7"/>
      <c r="ACM164" s="7"/>
      <c r="ACN164" s="7"/>
      <c r="ACO164" s="7"/>
      <c r="ACP164" s="7"/>
      <c r="ACQ164" s="7"/>
      <c r="ACR164" s="7"/>
      <c r="ACS164" s="7"/>
      <c r="ACT164" s="7"/>
      <c r="ACU164" s="7"/>
      <c r="ACV164" s="7"/>
      <c r="ACW164" s="7"/>
      <c r="ACX164" s="7"/>
      <c r="ACY164" s="7"/>
      <c r="ACZ164" s="7"/>
      <c r="ADA164" s="7"/>
      <c r="ADB164" s="7"/>
      <c r="ADC164" s="7"/>
      <c r="ADD164" s="7"/>
      <c r="ADE164" s="7"/>
      <c r="ADF164" s="7"/>
      <c r="ADG164" s="7"/>
      <c r="ADH164" s="7"/>
      <c r="ADI164" s="7"/>
      <c r="ADJ164" s="7"/>
      <c r="ADK164" s="7"/>
      <c r="ADL164" s="7"/>
      <c r="ADM164" s="7"/>
      <c r="ADN164" s="7"/>
      <c r="ADO164" s="7"/>
      <c r="ADP164" s="7"/>
      <c r="ADQ164" s="7"/>
      <c r="ADR164" s="7"/>
      <c r="ADS164" s="7"/>
      <c r="ADT164" s="7"/>
      <c r="ADU164" s="7"/>
      <c r="ADV164" s="7"/>
      <c r="ADW164" s="7"/>
      <c r="ADX164" s="7"/>
      <c r="ADY164" s="7"/>
      <c r="ADZ164" s="7"/>
      <c r="AEA164" s="7"/>
      <c r="AEB164" s="7"/>
      <c r="AEC164" s="7"/>
      <c r="AED164" s="7"/>
      <c r="AEE164" s="7"/>
      <c r="AEF164" s="7"/>
      <c r="AEG164" s="7"/>
      <c r="AEH164" s="7"/>
      <c r="AEI164" s="7"/>
      <c r="AEJ164" s="7"/>
      <c r="AEK164" s="7"/>
      <c r="AEL164" s="7"/>
      <c r="AEM164" s="7"/>
      <c r="AEN164" s="7"/>
      <c r="AEO164" s="7"/>
      <c r="AEP164" s="7"/>
      <c r="AEQ164" s="7"/>
      <c r="AER164" s="7"/>
      <c r="AES164" s="7"/>
      <c r="AET164" s="7"/>
      <c r="AEU164" s="7"/>
      <c r="AEV164" s="7"/>
      <c r="AEW164" s="7"/>
      <c r="AEX164" s="7"/>
      <c r="AEY164" s="7"/>
      <c r="AEZ164" s="7"/>
      <c r="AFA164" s="7"/>
      <c r="AFB164" s="7"/>
      <c r="AFC164" s="7"/>
      <c r="AFD164" s="7"/>
      <c r="AFE164" s="7"/>
      <c r="AFF164" s="7"/>
      <c r="AFG164" s="7"/>
      <c r="AFH164" s="7"/>
      <c r="AFI164" s="7"/>
      <c r="AFJ164" s="7"/>
      <c r="AFK164" s="7"/>
      <c r="AFL164" s="7"/>
      <c r="AFM164" s="7"/>
      <c r="AFN164" s="7"/>
      <c r="AFO164" s="7"/>
      <c r="AFP164" s="7"/>
      <c r="AFQ164" s="7"/>
      <c r="AFR164" s="7"/>
      <c r="AFS164" s="7"/>
      <c r="AFT164" s="7"/>
      <c r="AFU164" s="7"/>
      <c r="AFV164" s="7"/>
      <c r="AFW164" s="7"/>
      <c r="AFX164" s="7"/>
      <c r="AFY164" s="7"/>
      <c r="AFZ164" s="7"/>
      <c r="AGA164" s="7"/>
      <c r="AGB164" s="7"/>
      <c r="AGC164" s="7"/>
      <c r="AGD164" s="7"/>
      <c r="AGE164" s="7"/>
      <c r="AGF164" s="7"/>
      <c r="AGG164" s="7"/>
      <c r="AGH164" s="7"/>
      <c r="AGI164" s="7"/>
      <c r="AGJ164" s="7"/>
      <c r="AGK164" s="7"/>
      <c r="AGL164" s="7"/>
      <c r="AGM164" s="7"/>
      <c r="AGN164" s="7"/>
      <c r="AGO164" s="7"/>
      <c r="AGP164" s="7"/>
      <c r="AGQ164" s="7"/>
      <c r="AGR164" s="7"/>
      <c r="AGS164" s="7"/>
      <c r="AGT164" s="7"/>
      <c r="AGU164" s="7"/>
      <c r="AGV164" s="7"/>
      <c r="AGW164" s="7"/>
      <c r="AGX164" s="7"/>
      <c r="AGY164" s="7"/>
      <c r="AGZ164" s="7"/>
      <c r="AHA164" s="7"/>
      <c r="AHB164" s="7"/>
      <c r="AHC164" s="7"/>
      <c r="AHD164" s="7"/>
      <c r="AHE164" s="7"/>
      <c r="AHF164" s="7"/>
      <c r="AHG164" s="7"/>
      <c r="AHH164" s="7"/>
      <c r="AHI164" s="7"/>
      <c r="AHJ164" s="7"/>
      <c r="AHK164" s="7"/>
      <c r="AHL164" s="7"/>
      <c r="AHM164" s="7"/>
      <c r="AHN164" s="7"/>
      <c r="AHO164" s="7"/>
      <c r="AHP164" s="7"/>
      <c r="AHQ164" s="7"/>
      <c r="AHR164" s="7"/>
      <c r="AHS164" s="7"/>
      <c r="AHT164" s="7"/>
      <c r="AHU164" s="7"/>
      <c r="AHV164" s="7"/>
      <c r="AHW164" s="7"/>
      <c r="AHX164" s="7"/>
      <c r="AHY164" s="7"/>
      <c r="AHZ164" s="7"/>
      <c r="AIA164" s="7"/>
      <c r="AIB164" s="7"/>
      <c r="AIC164" s="7"/>
      <c r="AID164" s="7"/>
      <c r="AIE164" s="7"/>
      <c r="AIF164" s="7"/>
      <c r="AIG164" s="7"/>
      <c r="AIH164" s="7"/>
      <c r="AII164" s="7"/>
      <c r="AIJ164" s="7"/>
      <c r="AIK164" s="7"/>
      <c r="AIL164" s="7"/>
      <c r="AIM164" s="7"/>
      <c r="AIN164" s="7"/>
      <c r="AIO164" s="7"/>
      <c r="AIP164" s="7"/>
      <c r="AIQ164" s="7"/>
      <c r="AIR164" s="7"/>
      <c r="AIS164" s="7"/>
      <c r="AIT164" s="7"/>
      <c r="AIU164" s="7"/>
      <c r="AIV164" s="7"/>
      <c r="AIW164" s="7"/>
      <c r="AIX164" s="7"/>
      <c r="AIY164" s="7"/>
      <c r="AIZ164" s="7"/>
      <c r="AJA164" s="7"/>
      <c r="AJB164" s="7"/>
      <c r="AJC164" s="7"/>
      <c r="AJD164" s="7"/>
      <c r="AJE164" s="7"/>
      <c r="AJF164" s="7"/>
      <c r="AJG164" s="7"/>
      <c r="AJH164" s="7"/>
      <c r="AJI164" s="7"/>
      <c r="AJJ164" s="7"/>
      <c r="AJK164" s="7"/>
      <c r="AJL164" s="7"/>
      <c r="AJM164" s="7"/>
      <c r="AJN164" s="7"/>
      <c r="AJO164" s="7"/>
      <c r="AJP164" s="7"/>
      <c r="AJQ164" s="7"/>
      <c r="AJR164" s="7"/>
      <c r="AJS164" s="7"/>
      <c r="AJT164" s="7"/>
      <c r="AJU164" s="7"/>
      <c r="AJV164" s="7"/>
      <c r="AJW164" s="7"/>
      <c r="AJX164" s="7"/>
      <c r="AJY164" s="7"/>
      <c r="AJZ164" s="7"/>
      <c r="AKA164" s="7"/>
      <c r="AKB164" s="7"/>
      <c r="AKC164" s="7"/>
      <c r="AKD164" s="7"/>
      <c r="AKE164" s="7"/>
      <c r="AKF164" s="7"/>
      <c r="AKG164" s="7"/>
      <c r="AKH164" s="7"/>
      <c r="AKI164" s="7"/>
      <c r="AKJ164" s="7"/>
      <c r="AKK164" s="7"/>
      <c r="AKL164" s="7"/>
      <c r="AKM164" s="7"/>
      <c r="AKN164" s="7"/>
      <c r="AKO164" s="7"/>
      <c r="AKP164" s="7"/>
      <c r="AKQ164" s="7"/>
      <c r="AKR164" s="7"/>
      <c r="AKS164" s="7"/>
      <c r="AKT164" s="7"/>
      <c r="AKU164" s="7"/>
      <c r="AKV164" s="7"/>
      <c r="AKW164" s="7"/>
      <c r="AKX164" s="7"/>
      <c r="AKY164" s="7"/>
      <c r="AKZ164" s="7"/>
      <c r="ALA164" s="7"/>
      <c r="ALB164" s="7"/>
      <c r="ALC164" s="7"/>
      <c r="ALD164" s="7"/>
      <c r="ALE164" s="7"/>
      <c r="ALF164" s="7"/>
      <c r="ALG164" s="7"/>
      <c r="ALH164" s="7"/>
      <c r="ALI164" s="7"/>
      <c r="ALJ164" s="7"/>
      <c r="ALK164" s="7"/>
      <c r="ALL164" s="7"/>
      <c r="ALM164" s="7"/>
      <c r="ALN164" s="7"/>
      <c r="ALO164" s="7"/>
      <c r="ALP164" s="7"/>
      <c r="ALQ164" s="7"/>
      <c r="ALR164" s="7"/>
      <c r="ALS164" s="7"/>
      <c r="ALT164" s="7"/>
      <c r="ALU164" s="7"/>
      <c r="ALV164" s="7"/>
      <c r="ALW164" s="7"/>
      <c r="ALX164" s="7"/>
      <c r="ALY164" s="7"/>
      <c r="ALZ164" s="7"/>
      <c r="AMA164" s="7"/>
      <c r="AMB164" s="7"/>
      <c r="AMC164" s="7"/>
      <c r="AMD164" s="7"/>
      <c r="AME164" s="7"/>
      <c r="AMF164" s="7"/>
      <c r="AMG164" s="7"/>
      <c r="AMH164" s="7"/>
      <c r="AMI164" s="7"/>
      <c r="AMJ164" s="7"/>
    </row>
    <row r="165" customFormat="false" ht="15.75" hidden="false" customHeight="true" outlineLevel="0" collapsed="false">
      <c r="A165" s="7"/>
      <c r="B165" s="7"/>
      <c r="C165" s="269" t="s">
        <v>18</v>
      </c>
      <c r="D165" s="270" t="n">
        <f aca="false">D128+D127+D126+D72+D71+D46+D45+D23+D22+D20+D19+D17+D16+D15</f>
        <v>282</v>
      </c>
      <c r="E165" s="271" t="n">
        <f aca="false">F14+F18+F21+F44+F70+F125</f>
        <v>16</v>
      </c>
      <c r="F165" s="320"/>
      <c r="G165" s="272"/>
      <c r="H165" s="24"/>
      <c r="I165" s="78"/>
      <c r="J165" s="8"/>
      <c r="K165" s="8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  <c r="KS165" s="7"/>
      <c r="KT165" s="7"/>
      <c r="KU165" s="7"/>
      <c r="KV165" s="7"/>
      <c r="KW165" s="7"/>
      <c r="KX165" s="7"/>
      <c r="KY165" s="7"/>
      <c r="KZ165" s="7"/>
      <c r="LA165" s="7"/>
      <c r="LB165" s="7"/>
      <c r="LC165" s="7"/>
      <c r="LD165" s="7"/>
      <c r="LE165" s="7"/>
      <c r="LF165" s="7"/>
      <c r="LG165" s="7"/>
      <c r="LH165" s="7"/>
      <c r="LI165" s="7"/>
      <c r="LJ165" s="7"/>
      <c r="LK165" s="7"/>
      <c r="LL165" s="7"/>
      <c r="LM165" s="7"/>
      <c r="LN165" s="7"/>
      <c r="LO165" s="7"/>
      <c r="LP165" s="7"/>
      <c r="LQ165" s="7"/>
      <c r="LR165" s="7"/>
      <c r="LS165" s="7"/>
      <c r="LT165" s="7"/>
      <c r="LU165" s="7"/>
      <c r="LV165" s="7"/>
      <c r="LW165" s="7"/>
      <c r="LX165" s="7"/>
      <c r="LY165" s="7"/>
      <c r="LZ165" s="7"/>
      <c r="MA165" s="7"/>
      <c r="MB165" s="7"/>
      <c r="MC165" s="7"/>
      <c r="MD165" s="7"/>
      <c r="ME165" s="7"/>
      <c r="MF165" s="7"/>
      <c r="MG165" s="7"/>
      <c r="MH165" s="7"/>
      <c r="MI165" s="7"/>
      <c r="MJ165" s="7"/>
      <c r="MK165" s="7"/>
      <c r="ML165" s="7"/>
      <c r="MM165" s="7"/>
      <c r="MN165" s="7"/>
      <c r="MO165" s="7"/>
      <c r="MP165" s="7"/>
      <c r="MQ165" s="7"/>
      <c r="MR165" s="7"/>
      <c r="MS165" s="7"/>
      <c r="MT165" s="7"/>
      <c r="MU165" s="7"/>
      <c r="MV165" s="7"/>
      <c r="MW165" s="7"/>
      <c r="MX165" s="7"/>
      <c r="MY165" s="7"/>
      <c r="MZ165" s="7"/>
      <c r="NA165" s="7"/>
      <c r="NB165" s="7"/>
      <c r="NC165" s="7"/>
      <c r="ND165" s="7"/>
      <c r="NE165" s="7"/>
      <c r="NF165" s="7"/>
      <c r="NG165" s="7"/>
      <c r="NH165" s="7"/>
      <c r="NI165" s="7"/>
      <c r="NJ165" s="7"/>
      <c r="NK165" s="7"/>
      <c r="NL165" s="7"/>
      <c r="NM165" s="7"/>
      <c r="NN165" s="7"/>
      <c r="NO165" s="7"/>
      <c r="NP165" s="7"/>
      <c r="NQ165" s="7"/>
      <c r="NR165" s="7"/>
      <c r="NS165" s="7"/>
      <c r="NT165" s="7"/>
      <c r="NU165" s="7"/>
      <c r="NV165" s="7"/>
      <c r="NW165" s="7"/>
      <c r="NX165" s="7"/>
      <c r="NY165" s="7"/>
      <c r="NZ165" s="7"/>
      <c r="OA165" s="7"/>
      <c r="OB165" s="7"/>
      <c r="OC165" s="7"/>
      <c r="OD165" s="7"/>
      <c r="OE165" s="7"/>
      <c r="OF165" s="7"/>
      <c r="OG165" s="7"/>
      <c r="OH165" s="7"/>
      <c r="OI165" s="7"/>
      <c r="OJ165" s="7"/>
      <c r="OK165" s="7"/>
      <c r="OL165" s="7"/>
      <c r="OM165" s="7"/>
      <c r="ON165" s="7"/>
      <c r="OO165" s="7"/>
      <c r="OP165" s="7"/>
      <c r="OQ165" s="7"/>
      <c r="OR165" s="7"/>
      <c r="OS165" s="7"/>
      <c r="OT165" s="7"/>
      <c r="OU165" s="7"/>
      <c r="OV165" s="7"/>
      <c r="OW165" s="7"/>
      <c r="OX165" s="7"/>
      <c r="OY165" s="7"/>
      <c r="OZ165" s="7"/>
      <c r="PA165" s="7"/>
      <c r="PB165" s="7"/>
      <c r="PC165" s="7"/>
      <c r="PD165" s="7"/>
      <c r="PE165" s="7"/>
      <c r="PF165" s="7"/>
      <c r="PG165" s="7"/>
      <c r="PH165" s="7"/>
      <c r="PI165" s="7"/>
      <c r="PJ165" s="7"/>
      <c r="PK165" s="7"/>
      <c r="PL165" s="7"/>
      <c r="PM165" s="7"/>
      <c r="PN165" s="7"/>
      <c r="PO165" s="7"/>
      <c r="PP165" s="7"/>
      <c r="PQ165" s="7"/>
      <c r="PR165" s="7"/>
      <c r="PS165" s="7"/>
      <c r="PT165" s="7"/>
      <c r="PU165" s="7"/>
      <c r="PV165" s="7"/>
      <c r="PW165" s="7"/>
      <c r="PX165" s="7"/>
      <c r="PY165" s="7"/>
      <c r="PZ165" s="7"/>
      <c r="QA165" s="7"/>
      <c r="QB165" s="7"/>
      <c r="QC165" s="7"/>
      <c r="QD165" s="7"/>
      <c r="QE165" s="7"/>
      <c r="QF165" s="7"/>
      <c r="QG165" s="7"/>
      <c r="QH165" s="7"/>
      <c r="QI165" s="7"/>
      <c r="QJ165" s="7"/>
      <c r="QK165" s="7"/>
      <c r="QL165" s="7"/>
      <c r="QM165" s="7"/>
      <c r="QN165" s="7"/>
      <c r="QO165" s="7"/>
      <c r="QP165" s="7"/>
      <c r="QQ165" s="7"/>
      <c r="QR165" s="7"/>
      <c r="QS165" s="7"/>
      <c r="QT165" s="7"/>
      <c r="QU165" s="7"/>
      <c r="QV165" s="7"/>
      <c r="QW165" s="7"/>
      <c r="QX165" s="7"/>
      <c r="QY165" s="7"/>
      <c r="QZ165" s="7"/>
      <c r="RA165" s="7"/>
      <c r="RB165" s="7"/>
      <c r="RC165" s="7"/>
      <c r="RD165" s="7"/>
      <c r="RE165" s="7"/>
      <c r="RF165" s="7"/>
      <c r="RG165" s="7"/>
      <c r="RH165" s="7"/>
      <c r="RI165" s="7"/>
      <c r="RJ165" s="7"/>
      <c r="RK165" s="7"/>
      <c r="RL165" s="7"/>
      <c r="RM165" s="7"/>
      <c r="RN165" s="7"/>
      <c r="RO165" s="7"/>
      <c r="RP165" s="7"/>
      <c r="RQ165" s="7"/>
      <c r="RR165" s="7"/>
      <c r="RS165" s="7"/>
      <c r="RT165" s="7"/>
      <c r="RU165" s="7"/>
      <c r="RV165" s="7"/>
      <c r="RW165" s="7"/>
      <c r="RX165" s="7"/>
      <c r="RY165" s="7"/>
      <c r="RZ165" s="7"/>
      <c r="SA165" s="7"/>
      <c r="SB165" s="7"/>
      <c r="SC165" s="7"/>
      <c r="SD165" s="7"/>
      <c r="SE165" s="7"/>
      <c r="SF165" s="7"/>
      <c r="SG165" s="7"/>
      <c r="SH165" s="7"/>
      <c r="SI165" s="7"/>
      <c r="SJ165" s="7"/>
      <c r="SK165" s="7"/>
      <c r="SL165" s="7"/>
      <c r="SM165" s="7"/>
      <c r="SN165" s="7"/>
      <c r="SO165" s="7"/>
      <c r="SP165" s="7"/>
      <c r="SQ165" s="7"/>
      <c r="SR165" s="7"/>
      <c r="SS165" s="7"/>
      <c r="ST165" s="7"/>
      <c r="SU165" s="7"/>
      <c r="SV165" s="7"/>
      <c r="SW165" s="7"/>
      <c r="SX165" s="7"/>
      <c r="SY165" s="7"/>
      <c r="SZ165" s="7"/>
      <c r="TA165" s="7"/>
      <c r="TB165" s="7"/>
      <c r="TC165" s="7"/>
      <c r="TD165" s="7"/>
      <c r="TE165" s="7"/>
      <c r="TF165" s="7"/>
      <c r="TG165" s="7"/>
      <c r="TH165" s="7"/>
      <c r="TI165" s="7"/>
      <c r="TJ165" s="7"/>
      <c r="TK165" s="7"/>
      <c r="TL165" s="7"/>
      <c r="TM165" s="7"/>
      <c r="TN165" s="7"/>
      <c r="TO165" s="7"/>
      <c r="TP165" s="7"/>
      <c r="TQ165" s="7"/>
      <c r="TR165" s="7"/>
      <c r="TS165" s="7"/>
      <c r="TT165" s="7"/>
      <c r="TU165" s="7"/>
      <c r="TV165" s="7"/>
      <c r="TW165" s="7"/>
      <c r="TX165" s="7"/>
      <c r="TY165" s="7"/>
      <c r="TZ165" s="7"/>
      <c r="UA165" s="7"/>
      <c r="UB165" s="7"/>
      <c r="UC165" s="7"/>
      <c r="UD165" s="7"/>
      <c r="UE165" s="7"/>
      <c r="UF165" s="7"/>
      <c r="UG165" s="7"/>
      <c r="UH165" s="7"/>
      <c r="UI165" s="7"/>
      <c r="UJ165" s="7"/>
      <c r="UK165" s="7"/>
      <c r="UL165" s="7"/>
      <c r="UM165" s="7"/>
      <c r="UN165" s="7"/>
      <c r="UO165" s="7"/>
      <c r="UP165" s="7"/>
      <c r="UQ165" s="7"/>
      <c r="UR165" s="7"/>
      <c r="US165" s="7"/>
      <c r="UT165" s="7"/>
      <c r="UU165" s="7"/>
      <c r="UV165" s="7"/>
      <c r="UW165" s="7"/>
      <c r="UX165" s="7"/>
      <c r="UY165" s="7"/>
      <c r="UZ165" s="7"/>
      <c r="VA165" s="7"/>
      <c r="VB165" s="7"/>
      <c r="VC165" s="7"/>
      <c r="VD165" s="7"/>
      <c r="VE165" s="7"/>
      <c r="VF165" s="7"/>
      <c r="VG165" s="7"/>
      <c r="VH165" s="7"/>
      <c r="VI165" s="7"/>
      <c r="VJ165" s="7"/>
      <c r="VK165" s="7"/>
      <c r="VL165" s="7"/>
      <c r="VM165" s="7"/>
      <c r="VN165" s="7"/>
      <c r="VO165" s="7"/>
      <c r="VP165" s="7"/>
      <c r="VQ165" s="7"/>
      <c r="VR165" s="7"/>
      <c r="VS165" s="7"/>
      <c r="VT165" s="7"/>
      <c r="VU165" s="7"/>
      <c r="VV165" s="7"/>
      <c r="VW165" s="7"/>
      <c r="VX165" s="7"/>
      <c r="VY165" s="7"/>
      <c r="VZ165" s="7"/>
      <c r="WA165" s="7"/>
      <c r="WB165" s="7"/>
      <c r="WC165" s="7"/>
      <c r="WD165" s="7"/>
      <c r="WE165" s="7"/>
      <c r="WF165" s="7"/>
      <c r="WG165" s="7"/>
      <c r="WH165" s="7"/>
      <c r="WI165" s="7"/>
      <c r="WJ165" s="7"/>
      <c r="WK165" s="7"/>
      <c r="WL165" s="7"/>
      <c r="WM165" s="7"/>
      <c r="WN165" s="7"/>
      <c r="WO165" s="7"/>
      <c r="WP165" s="7"/>
      <c r="WQ165" s="7"/>
      <c r="WR165" s="7"/>
      <c r="WS165" s="7"/>
      <c r="WT165" s="7"/>
      <c r="WU165" s="7"/>
      <c r="WV165" s="7"/>
      <c r="WW165" s="7"/>
      <c r="WX165" s="7"/>
      <c r="WY165" s="7"/>
      <c r="WZ165" s="7"/>
      <c r="XA165" s="7"/>
      <c r="XB165" s="7"/>
      <c r="XC165" s="7"/>
      <c r="XD165" s="7"/>
      <c r="XE165" s="7"/>
      <c r="XF165" s="7"/>
      <c r="XG165" s="7"/>
      <c r="XH165" s="7"/>
      <c r="XI165" s="7"/>
      <c r="XJ165" s="7"/>
      <c r="XK165" s="7"/>
      <c r="XL165" s="7"/>
      <c r="XM165" s="7"/>
      <c r="XN165" s="7"/>
      <c r="XO165" s="7"/>
      <c r="XP165" s="7"/>
      <c r="XQ165" s="7"/>
      <c r="XR165" s="7"/>
      <c r="XS165" s="7"/>
      <c r="XT165" s="7"/>
      <c r="XU165" s="7"/>
      <c r="XV165" s="7"/>
      <c r="XW165" s="7"/>
      <c r="XX165" s="7"/>
      <c r="XY165" s="7"/>
      <c r="XZ165" s="7"/>
      <c r="YA165" s="7"/>
      <c r="YB165" s="7"/>
      <c r="YC165" s="7"/>
      <c r="YD165" s="7"/>
      <c r="YE165" s="7"/>
      <c r="YF165" s="7"/>
      <c r="YG165" s="7"/>
      <c r="YH165" s="7"/>
      <c r="YI165" s="7"/>
      <c r="YJ165" s="7"/>
      <c r="YK165" s="7"/>
      <c r="YL165" s="7"/>
      <c r="YM165" s="7"/>
      <c r="YN165" s="7"/>
      <c r="YO165" s="7"/>
      <c r="YP165" s="7"/>
      <c r="YQ165" s="7"/>
      <c r="YR165" s="7"/>
      <c r="YS165" s="7"/>
      <c r="YT165" s="7"/>
      <c r="YU165" s="7"/>
      <c r="YV165" s="7"/>
      <c r="YW165" s="7"/>
      <c r="YX165" s="7"/>
      <c r="YY165" s="7"/>
      <c r="YZ165" s="7"/>
      <c r="ZA165" s="7"/>
      <c r="ZB165" s="7"/>
      <c r="ZC165" s="7"/>
      <c r="ZD165" s="7"/>
      <c r="ZE165" s="7"/>
      <c r="ZF165" s="7"/>
      <c r="ZG165" s="7"/>
      <c r="ZH165" s="7"/>
      <c r="ZI165" s="7"/>
      <c r="ZJ165" s="7"/>
      <c r="ZK165" s="7"/>
      <c r="ZL165" s="7"/>
      <c r="ZM165" s="7"/>
      <c r="ZN165" s="7"/>
      <c r="ZO165" s="7"/>
      <c r="ZP165" s="7"/>
      <c r="ZQ165" s="7"/>
      <c r="ZR165" s="7"/>
      <c r="ZS165" s="7"/>
      <c r="ZT165" s="7"/>
      <c r="ZU165" s="7"/>
      <c r="ZV165" s="7"/>
      <c r="ZW165" s="7"/>
      <c r="ZX165" s="7"/>
      <c r="ZY165" s="7"/>
      <c r="ZZ165" s="7"/>
      <c r="AAA165" s="7"/>
      <c r="AAB165" s="7"/>
      <c r="AAC165" s="7"/>
      <c r="AAD165" s="7"/>
      <c r="AAE165" s="7"/>
      <c r="AAF165" s="7"/>
      <c r="AAG165" s="7"/>
      <c r="AAH165" s="7"/>
      <c r="AAI165" s="7"/>
      <c r="AAJ165" s="7"/>
      <c r="AAK165" s="7"/>
      <c r="AAL165" s="7"/>
      <c r="AAM165" s="7"/>
      <c r="AAN165" s="7"/>
      <c r="AAO165" s="7"/>
      <c r="AAP165" s="7"/>
      <c r="AAQ165" s="7"/>
      <c r="AAR165" s="7"/>
      <c r="AAS165" s="7"/>
      <c r="AAT165" s="7"/>
      <c r="AAU165" s="7"/>
      <c r="AAV165" s="7"/>
      <c r="AAW165" s="7"/>
      <c r="AAX165" s="7"/>
      <c r="AAY165" s="7"/>
      <c r="AAZ165" s="7"/>
      <c r="ABA165" s="7"/>
      <c r="ABB165" s="7"/>
      <c r="ABC165" s="7"/>
      <c r="ABD165" s="7"/>
      <c r="ABE165" s="7"/>
      <c r="ABF165" s="7"/>
      <c r="ABG165" s="7"/>
      <c r="ABH165" s="7"/>
      <c r="ABI165" s="7"/>
      <c r="ABJ165" s="7"/>
      <c r="ABK165" s="7"/>
      <c r="ABL165" s="7"/>
      <c r="ABM165" s="7"/>
      <c r="ABN165" s="7"/>
      <c r="ABO165" s="7"/>
      <c r="ABP165" s="7"/>
      <c r="ABQ165" s="7"/>
      <c r="ABR165" s="7"/>
      <c r="ABS165" s="7"/>
      <c r="ABT165" s="7"/>
      <c r="ABU165" s="7"/>
      <c r="ABV165" s="7"/>
      <c r="ABW165" s="7"/>
      <c r="ABX165" s="7"/>
      <c r="ABY165" s="7"/>
      <c r="ABZ165" s="7"/>
      <c r="ACA165" s="7"/>
      <c r="ACB165" s="7"/>
      <c r="ACC165" s="7"/>
      <c r="ACD165" s="7"/>
      <c r="ACE165" s="7"/>
      <c r="ACF165" s="7"/>
      <c r="ACG165" s="7"/>
      <c r="ACH165" s="7"/>
      <c r="ACI165" s="7"/>
      <c r="ACJ165" s="7"/>
      <c r="ACK165" s="7"/>
      <c r="ACL165" s="7"/>
      <c r="ACM165" s="7"/>
      <c r="ACN165" s="7"/>
      <c r="ACO165" s="7"/>
      <c r="ACP165" s="7"/>
      <c r="ACQ165" s="7"/>
      <c r="ACR165" s="7"/>
      <c r="ACS165" s="7"/>
      <c r="ACT165" s="7"/>
      <c r="ACU165" s="7"/>
      <c r="ACV165" s="7"/>
      <c r="ACW165" s="7"/>
      <c r="ACX165" s="7"/>
      <c r="ACY165" s="7"/>
      <c r="ACZ165" s="7"/>
      <c r="ADA165" s="7"/>
      <c r="ADB165" s="7"/>
      <c r="ADC165" s="7"/>
      <c r="ADD165" s="7"/>
      <c r="ADE165" s="7"/>
      <c r="ADF165" s="7"/>
      <c r="ADG165" s="7"/>
      <c r="ADH165" s="7"/>
      <c r="ADI165" s="7"/>
      <c r="ADJ165" s="7"/>
      <c r="ADK165" s="7"/>
      <c r="ADL165" s="7"/>
      <c r="ADM165" s="7"/>
      <c r="ADN165" s="7"/>
      <c r="ADO165" s="7"/>
      <c r="ADP165" s="7"/>
      <c r="ADQ165" s="7"/>
      <c r="ADR165" s="7"/>
      <c r="ADS165" s="7"/>
      <c r="ADT165" s="7"/>
      <c r="ADU165" s="7"/>
      <c r="ADV165" s="7"/>
      <c r="ADW165" s="7"/>
      <c r="ADX165" s="7"/>
      <c r="ADY165" s="7"/>
      <c r="ADZ165" s="7"/>
      <c r="AEA165" s="7"/>
      <c r="AEB165" s="7"/>
      <c r="AEC165" s="7"/>
      <c r="AED165" s="7"/>
      <c r="AEE165" s="7"/>
      <c r="AEF165" s="7"/>
      <c r="AEG165" s="7"/>
      <c r="AEH165" s="7"/>
      <c r="AEI165" s="7"/>
      <c r="AEJ165" s="7"/>
      <c r="AEK165" s="7"/>
      <c r="AEL165" s="7"/>
      <c r="AEM165" s="7"/>
      <c r="AEN165" s="7"/>
      <c r="AEO165" s="7"/>
      <c r="AEP165" s="7"/>
      <c r="AEQ165" s="7"/>
      <c r="AER165" s="7"/>
      <c r="AES165" s="7"/>
      <c r="AET165" s="7"/>
      <c r="AEU165" s="7"/>
      <c r="AEV165" s="7"/>
      <c r="AEW165" s="7"/>
      <c r="AEX165" s="7"/>
      <c r="AEY165" s="7"/>
      <c r="AEZ165" s="7"/>
      <c r="AFA165" s="7"/>
      <c r="AFB165" s="7"/>
      <c r="AFC165" s="7"/>
      <c r="AFD165" s="7"/>
      <c r="AFE165" s="7"/>
      <c r="AFF165" s="7"/>
      <c r="AFG165" s="7"/>
      <c r="AFH165" s="7"/>
      <c r="AFI165" s="7"/>
      <c r="AFJ165" s="7"/>
      <c r="AFK165" s="7"/>
      <c r="AFL165" s="7"/>
      <c r="AFM165" s="7"/>
      <c r="AFN165" s="7"/>
      <c r="AFO165" s="7"/>
      <c r="AFP165" s="7"/>
      <c r="AFQ165" s="7"/>
      <c r="AFR165" s="7"/>
      <c r="AFS165" s="7"/>
      <c r="AFT165" s="7"/>
      <c r="AFU165" s="7"/>
      <c r="AFV165" s="7"/>
      <c r="AFW165" s="7"/>
      <c r="AFX165" s="7"/>
      <c r="AFY165" s="7"/>
      <c r="AFZ165" s="7"/>
      <c r="AGA165" s="7"/>
      <c r="AGB165" s="7"/>
      <c r="AGC165" s="7"/>
      <c r="AGD165" s="7"/>
      <c r="AGE165" s="7"/>
      <c r="AGF165" s="7"/>
      <c r="AGG165" s="7"/>
      <c r="AGH165" s="7"/>
      <c r="AGI165" s="7"/>
      <c r="AGJ165" s="7"/>
      <c r="AGK165" s="7"/>
      <c r="AGL165" s="7"/>
      <c r="AGM165" s="7"/>
      <c r="AGN165" s="7"/>
      <c r="AGO165" s="7"/>
      <c r="AGP165" s="7"/>
      <c r="AGQ165" s="7"/>
      <c r="AGR165" s="7"/>
      <c r="AGS165" s="7"/>
      <c r="AGT165" s="7"/>
      <c r="AGU165" s="7"/>
      <c r="AGV165" s="7"/>
      <c r="AGW165" s="7"/>
      <c r="AGX165" s="7"/>
      <c r="AGY165" s="7"/>
      <c r="AGZ165" s="7"/>
      <c r="AHA165" s="7"/>
      <c r="AHB165" s="7"/>
      <c r="AHC165" s="7"/>
      <c r="AHD165" s="7"/>
      <c r="AHE165" s="7"/>
      <c r="AHF165" s="7"/>
      <c r="AHG165" s="7"/>
      <c r="AHH165" s="7"/>
      <c r="AHI165" s="7"/>
      <c r="AHJ165" s="7"/>
      <c r="AHK165" s="7"/>
      <c r="AHL165" s="7"/>
      <c r="AHM165" s="7"/>
      <c r="AHN165" s="7"/>
      <c r="AHO165" s="7"/>
      <c r="AHP165" s="7"/>
      <c r="AHQ165" s="7"/>
      <c r="AHR165" s="7"/>
      <c r="AHS165" s="7"/>
      <c r="AHT165" s="7"/>
      <c r="AHU165" s="7"/>
      <c r="AHV165" s="7"/>
      <c r="AHW165" s="7"/>
      <c r="AHX165" s="7"/>
      <c r="AHY165" s="7"/>
      <c r="AHZ165" s="7"/>
      <c r="AIA165" s="7"/>
      <c r="AIB165" s="7"/>
      <c r="AIC165" s="7"/>
      <c r="AID165" s="7"/>
      <c r="AIE165" s="7"/>
      <c r="AIF165" s="7"/>
      <c r="AIG165" s="7"/>
      <c r="AIH165" s="7"/>
      <c r="AII165" s="7"/>
      <c r="AIJ165" s="7"/>
      <c r="AIK165" s="7"/>
      <c r="AIL165" s="7"/>
      <c r="AIM165" s="7"/>
      <c r="AIN165" s="7"/>
      <c r="AIO165" s="7"/>
      <c r="AIP165" s="7"/>
      <c r="AIQ165" s="7"/>
      <c r="AIR165" s="7"/>
      <c r="AIS165" s="7"/>
      <c r="AIT165" s="7"/>
      <c r="AIU165" s="7"/>
      <c r="AIV165" s="7"/>
      <c r="AIW165" s="7"/>
      <c r="AIX165" s="7"/>
      <c r="AIY165" s="7"/>
      <c r="AIZ165" s="7"/>
      <c r="AJA165" s="7"/>
      <c r="AJB165" s="7"/>
      <c r="AJC165" s="7"/>
      <c r="AJD165" s="7"/>
      <c r="AJE165" s="7"/>
      <c r="AJF165" s="7"/>
      <c r="AJG165" s="7"/>
      <c r="AJH165" s="7"/>
      <c r="AJI165" s="7"/>
      <c r="AJJ165" s="7"/>
      <c r="AJK165" s="7"/>
      <c r="AJL165" s="7"/>
      <c r="AJM165" s="7"/>
      <c r="AJN165" s="7"/>
      <c r="AJO165" s="7"/>
      <c r="AJP165" s="7"/>
      <c r="AJQ165" s="7"/>
      <c r="AJR165" s="7"/>
      <c r="AJS165" s="7"/>
      <c r="AJT165" s="7"/>
      <c r="AJU165" s="7"/>
      <c r="AJV165" s="7"/>
      <c r="AJW165" s="7"/>
      <c r="AJX165" s="7"/>
      <c r="AJY165" s="7"/>
      <c r="AJZ165" s="7"/>
      <c r="AKA165" s="7"/>
      <c r="AKB165" s="7"/>
      <c r="AKC165" s="7"/>
      <c r="AKD165" s="7"/>
      <c r="AKE165" s="7"/>
      <c r="AKF165" s="7"/>
      <c r="AKG165" s="7"/>
      <c r="AKH165" s="7"/>
      <c r="AKI165" s="7"/>
      <c r="AKJ165" s="7"/>
      <c r="AKK165" s="7"/>
      <c r="AKL165" s="7"/>
      <c r="AKM165" s="7"/>
      <c r="AKN165" s="7"/>
      <c r="AKO165" s="7"/>
      <c r="AKP165" s="7"/>
      <c r="AKQ165" s="7"/>
      <c r="AKR165" s="7"/>
      <c r="AKS165" s="7"/>
      <c r="AKT165" s="7"/>
      <c r="AKU165" s="7"/>
      <c r="AKV165" s="7"/>
      <c r="AKW165" s="7"/>
      <c r="AKX165" s="7"/>
      <c r="AKY165" s="7"/>
      <c r="AKZ165" s="7"/>
      <c r="ALA165" s="7"/>
      <c r="ALB165" s="7"/>
      <c r="ALC165" s="7"/>
      <c r="ALD165" s="7"/>
      <c r="ALE165" s="7"/>
      <c r="ALF165" s="7"/>
      <c r="ALG165" s="7"/>
      <c r="ALH165" s="7"/>
      <c r="ALI165" s="7"/>
      <c r="ALJ165" s="7"/>
      <c r="ALK165" s="7"/>
      <c r="ALL165" s="7"/>
      <c r="ALM165" s="7"/>
      <c r="ALN165" s="7"/>
      <c r="ALO165" s="7"/>
      <c r="ALP165" s="7"/>
      <c r="ALQ165" s="7"/>
      <c r="ALR165" s="7"/>
      <c r="ALS165" s="7"/>
      <c r="ALT165" s="7"/>
      <c r="ALU165" s="7"/>
      <c r="ALV165" s="7"/>
      <c r="ALW165" s="7"/>
      <c r="ALX165" s="7"/>
      <c r="ALY165" s="7"/>
      <c r="ALZ165" s="7"/>
      <c r="AMA165" s="7"/>
      <c r="AMB165" s="7"/>
      <c r="AMC165" s="7"/>
      <c r="AMD165" s="7"/>
      <c r="AME165" s="7"/>
      <c r="AMF165" s="7"/>
      <c r="AMG165" s="7"/>
      <c r="AMH165" s="7"/>
      <c r="AMI165" s="7"/>
      <c r="AMJ165" s="7"/>
    </row>
    <row r="166" customFormat="false" ht="15.75" hidden="false" customHeight="true" outlineLevel="0" collapsed="false">
      <c r="A166" s="7"/>
      <c r="B166" s="7"/>
      <c r="C166" s="273" t="s">
        <v>190</v>
      </c>
      <c r="D166" s="274" t="n">
        <f aca="false">D161+D162+D163+D164+D165</f>
        <v>788</v>
      </c>
      <c r="E166" s="275" t="n">
        <f aca="false">E161+E162+E163+E164+E165</f>
        <v>54</v>
      </c>
      <c r="F166" s="320"/>
      <c r="G166" s="272"/>
      <c r="H166" s="24"/>
      <c r="I166" s="268"/>
      <c r="J166" s="222"/>
      <c r="K166" s="22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  <c r="KS166" s="7"/>
      <c r="KT166" s="7"/>
      <c r="KU166" s="7"/>
      <c r="KV166" s="7"/>
      <c r="KW166" s="7"/>
      <c r="KX166" s="7"/>
      <c r="KY166" s="7"/>
      <c r="KZ166" s="7"/>
      <c r="LA166" s="7"/>
      <c r="LB166" s="7"/>
      <c r="LC166" s="7"/>
      <c r="LD166" s="7"/>
      <c r="LE166" s="7"/>
      <c r="LF166" s="7"/>
      <c r="LG166" s="7"/>
      <c r="LH166" s="7"/>
      <c r="LI166" s="7"/>
      <c r="LJ166" s="7"/>
      <c r="LK166" s="7"/>
      <c r="LL166" s="7"/>
      <c r="LM166" s="7"/>
      <c r="LN166" s="7"/>
      <c r="LO166" s="7"/>
      <c r="LP166" s="7"/>
      <c r="LQ166" s="7"/>
      <c r="LR166" s="7"/>
      <c r="LS166" s="7"/>
      <c r="LT166" s="7"/>
      <c r="LU166" s="7"/>
      <c r="LV166" s="7"/>
      <c r="LW166" s="7"/>
      <c r="LX166" s="7"/>
      <c r="LY166" s="7"/>
      <c r="LZ166" s="7"/>
      <c r="MA166" s="7"/>
      <c r="MB166" s="7"/>
      <c r="MC166" s="7"/>
      <c r="MD166" s="7"/>
      <c r="ME166" s="7"/>
      <c r="MF166" s="7"/>
      <c r="MG166" s="7"/>
      <c r="MH166" s="7"/>
      <c r="MI166" s="7"/>
      <c r="MJ166" s="7"/>
      <c r="MK166" s="7"/>
      <c r="ML166" s="7"/>
      <c r="MM166" s="7"/>
      <c r="MN166" s="7"/>
      <c r="MO166" s="7"/>
      <c r="MP166" s="7"/>
      <c r="MQ166" s="7"/>
      <c r="MR166" s="7"/>
      <c r="MS166" s="7"/>
      <c r="MT166" s="7"/>
      <c r="MU166" s="7"/>
      <c r="MV166" s="7"/>
      <c r="MW166" s="7"/>
      <c r="MX166" s="7"/>
      <c r="MY166" s="7"/>
      <c r="MZ166" s="7"/>
      <c r="NA166" s="7"/>
      <c r="NB166" s="7"/>
      <c r="NC166" s="7"/>
      <c r="ND166" s="7"/>
      <c r="NE166" s="7"/>
      <c r="NF166" s="7"/>
      <c r="NG166" s="7"/>
      <c r="NH166" s="7"/>
      <c r="NI166" s="7"/>
      <c r="NJ166" s="7"/>
      <c r="NK166" s="7"/>
      <c r="NL166" s="7"/>
      <c r="NM166" s="7"/>
      <c r="NN166" s="7"/>
      <c r="NO166" s="7"/>
      <c r="NP166" s="7"/>
      <c r="NQ166" s="7"/>
      <c r="NR166" s="7"/>
      <c r="NS166" s="7"/>
      <c r="NT166" s="7"/>
      <c r="NU166" s="7"/>
      <c r="NV166" s="7"/>
      <c r="NW166" s="7"/>
      <c r="NX166" s="7"/>
      <c r="NY166" s="7"/>
      <c r="NZ166" s="7"/>
      <c r="OA166" s="7"/>
      <c r="OB166" s="7"/>
      <c r="OC166" s="7"/>
      <c r="OD166" s="7"/>
      <c r="OE166" s="7"/>
      <c r="OF166" s="7"/>
      <c r="OG166" s="7"/>
      <c r="OH166" s="7"/>
      <c r="OI166" s="7"/>
      <c r="OJ166" s="7"/>
      <c r="OK166" s="7"/>
      <c r="OL166" s="7"/>
      <c r="OM166" s="7"/>
      <c r="ON166" s="7"/>
      <c r="OO166" s="7"/>
      <c r="OP166" s="7"/>
      <c r="OQ166" s="7"/>
      <c r="OR166" s="7"/>
      <c r="OS166" s="7"/>
      <c r="OT166" s="7"/>
      <c r="OU166" s="7"/>
      <c r="OV166" s="7"/>
      <c r="OW166" s="7"/>
      <c r="OX166" s="7"/>
      <c r="OY166" s="7"/>
      <c r="OZ166" s="7"/>
      <c r="PA166" s="7"/>
      <c r="PB166" s="7"/>
      <c r="PC166" s="7"/>
      <c r="PD166" s="7"/>
      <c r="PE166" s="7"/>
      <c r="PF166" s="7"/>
      <c r="PG166" s="7"/>
      <c r="PH166" s="7"/>
      <c r="PI166" s="7"/>
      <c r="PJ166" s="7"/>
      <c r="PK166" s="7"/>
      <c r="PL166" s="7"/>
      <c r="PM166" s="7"/>
      <c r="PN166" s="7"/>
      <c r="PO166" s="7"/>
      <c r="PP166" s="7"/>
      <c r="PQ166" s="7"/>
      <c r="PR166" s="7"/>
      <c r="PS166" s="7"/>
      <c r="PT166" s="7"/>
      <c r="PU166" s="7"/>
      <c r="PV166" s="7"/>
      <c r="PW166" s="7"/>
      <c r="PX166" s="7"/>
      <c r="PY166" s="7"/>
      <c r="PZ166" s="7"/>
      <c r="QA166" s="7"/>
      <c r="QB166" s="7"/>
      <c r="QC166" s="7"/>
      <c r="QD166" s="7"/>
      <c r="QE166" s="7"/>
      <c r="QF166" s="7"/>
      <c r="QG166" s="7"/>
      <c r="QH166" s="7"/>
      <c r="QI166" s="7"/>
      <c r="QJ166" s="7"/>
      <c r="QK166" s="7"/>
      <c r="QL166" s="7"/>
      <c r="QM166" s="7"/>
      <c r="QN166" s="7"/>
      <c r="QO166" s="7"/>
      <c r="QP166" s="7"/>
      <c r="QQ166" s="7"/>
      <c r="QR166" s="7"/>
      <c r="QS166" s="7"/>
      <c r="QT166" s="7"/>
      <c r="QU166" s="7"/>
      <c r="QV166" s="7"/>
      <c r="QW166" s="7"/>
      <c r="QX166" s="7"/>
      <c r="QY166" s="7"/>
      <c r="QZ166" s="7"/>
      <c r="RA166" s="7"/>
      <c r="RB166" s="7"/>
      <c r="RC166" s="7"/>
      <c r="RD166" s="7"/>
      <c r="RE166" s="7"/>
      <c r="RF166" s="7"/>
      <c r="RG166" s="7"/>
      <c r="RH166" s="7"/>
      <c r="RI166" s="7"/>
      <c r="RJ166" s="7"/>
      <c r="RK166" s="7"/>
      <c r="RL166" s="7"/>
      <c r="RM166" s="7"/>
      <c r="RN166" s="7"/>
      <c r="RO166" s="7"/>
      <c r="RP166" s="7"/>
      <c r="RQ166" s="7"/>
      <c r="RR166" s="7"/>
      <c r="RS166" s="7"/>
      <c r="RT166" s="7"/>
      <c r="RU166" s="7"/>
      <c r="RV166" s="7"/>
      <c r="RW166" s="7"/>
      <c r="RX166" s="7"/>
      <c r="RY166" s="7"/>
      <c r="RZ166" s="7"/>
      <c r="SA166" s="7"/>
      <c r="SB166" s="7"/>
      <c r="SC166" s="7"/>
      <c r="SD166" s="7"/>
      <c r="SE166" s="7"/>
      <c r="SF166" s="7"/>
      <c r="SG166" s="7"/>
      <c r="SH166" s="7"/>
      <c r="SI166" s="7"/>
      <c r="SJ166" s="7"/>
      <c r="SK166" s="7"/>
      <c r="SL166" s="7"/>
      <c r="SM166" s="7"/>
      <c r="SN166" s="7"/>
      <c r="SO166" s="7"/>
      <c r="SP166" s="7"/>
      <c r="SQ166" s="7"/>
      <c r="SR166" s="7"/>
      <c r="SS166" s="7"/>
      <c r="ST166" s="7"/>
      <c r="SU166" s="7"/>
      <c r="SV166" s="7"/>
      <c r="SW166" s="7"/>
      <c r="SX166" s="7"/>
      <c r="SY166" s="7"/>
      <c r="SZ166" s="7"/>
      <c r="TA166" s="7"/>
      <c r="TB166" s="7"/>
      <c r="TC166" s="7"/>
      <c r="TD166" s="7"/>
      <c r="TE166" s="7"/>
      <c r="TF166" s="7"/>
      <c r="TG166" s="7"/>
      <c r="TH166" s="7"/>
      <c r="TI166" s="7"/>
      <c r="TJ166" s="7"/>
      <c r="TK166" s="7"/>
      <c r="TL166" s="7"/>
      <c r="TM166" s="7"/>
      <c r="TN166" s="7"/>
      <c r="TO166" s="7"/>
      <c r="TP166" s="7"/>
      <c r="TQ166" s="7"/>
      <c r="TR166" s="7"/>
      <c r="TS166" s="7"/>
      <c r="TT166" s="7"/>
      <c r="TU166" s="7"/>
      <c r="TV166" s="7"/>
      <c r="TW166" s="7"/>
      <c r="TX166" s="7"/>
      <c r="TY166" s="7"/>
      <c r="TZ166" s="7"/>
      <c r="UA166" s="7"/>
      <c r="UB166" s="7"/>
      <c r="UC166" s="7"/>
      <c r="UD166" s="7"/>
      <c r="UE166" s="7"/>
      <c r="UF166" s="7"/>
      <c r="UG166" s="7"/>
      <c r="UH166" s="7"/>
      <c r="UI166" s="7"/>
      <c r="UJ166" s="7"/>
      <c r="UK166" s="7"/>
      <c r="UL166" s="7"/>
      <c r="UM166" s="7"/>
      <c r="UN166" s="7"/>
      <c r="UO166" s="7"/>
      <c r="UP166" s="7"/>
      <c r="UQ166" s="7"/>
      <c r="UR166" s="7"/>
      <c r="US166" s="7"/>
      <c r="UT166" s="7"/>
      <c r="UU166" s="7"/>
      <c r="UV166" s="7"/>
      <c r="UW166" s="7"/>
      <c r="UX166" s="7"/>
      <c r="UY166" s="7"/>
      <c r="UZ166" s="7"/>
      <c r="VA166" s="7"/>
      <c r="VB166" s="7"/>
      <c r="VC166" s="7"/>
      <c r="VD166" s="7"/>
      <c r="VE166" s="7"/>
      <c r="VF166" s="7"/>
      <c r="VG166" s="7"/>
      <c r="VH166" s="7"/>
      <c r="VI166" s="7"/>
      <c r="VJ166" s="7"/>
      <c r="VK166" s="7"/>
      <c r="VL166" s="7"/>
      <c r="VM166" s="7"/>
      <c r="VN166" s="7"/>
      <c r="VO166" s="7"/>
      <c r="VP166" s="7"/>
      <c r="VQ166" s="7"/>
      <c r="VR166" s="7"/>
      <c r="VS166" s="7"/>
      <c r="VT166" s="7"/>
      <c r="VU166" s="7"/>
      <c r="VV166" s="7"/>
      <c r="VW166" s="7"/>
      <c r="VX166" s="7"/>
      <c r="VY166" s="7"/>
      <c r="VZ166" s="7"/>
      <c r="WA166" s="7"/>
      <c r="WB166" s="7"/>
      <c r="WC166" s="7"/>
      <c r="WD166" s="7"/>
      <c r="WE166" s="7"/>
      <c r="WF166" s="7"/>
      <c r="WG166" s="7"/>
      <c r="WH166" s="7"/>
      <c r="WI166" s="7"/>
      <c r="WJ166" s="7"/>
      <c r="WK166" s="7"/>
      <c r="WL166" s="7"/>
      <c r="WM166" s="7"/>
      <c r="WN166" s="7"/>
      <c r="WO166" s="7"/>
      <c r="WP166" s="7"/>
      <c r="WQ166" s="7"/>
      <c r="WR166" s="7"/>
      <c r="WS166" s="7"/>
      <c r="WT166" s="7"/>
      <c r="WU166" s="7"/>
      <c r="WV166" s="7"/>
      <c r="WW166" s="7"/>
      <c r="WX166" s="7"/>
      <c r="WY166" s="7"/>
      <c r="WZ166" s="7"/>
      <c r="XA166" s="7"/>
      <c r="XB166" s="7"/>
      <c r="XC166" s="7"/>
      <c r="XD166" s="7"/>
      <c r="XE166" s="7"/>
      <c r="XF166" s="7"/>
      <c r="XG166" s="7"/>
      <c r="XH166" s="7"/>
      <c r="XI166" s="7"/>
      <c r="XJ166" s="7"/>
      <c r="XK166" s="7"/>
      <c r="XL166" s="7"/>
      <c r="XM166" s="7"/>
      <c r="XN166" s="7"/>
      <c r="XO166" s="7"/>
      <c r="XP166" s="7"/>
      <c r="XQ166" s="7"/>
      <c r="XR166" s="7"/>
      <c r="XS166" s="7"/>
      <c r="XT166" s="7"/>
      <c r="XU166" s="7"/>
      <c r="XV166" s="7"/>
      <c r="XW166" s="7"/>
      <c r="XX166" s="7"/>
      <c r="XY166" s="7"/>
      <c r="XZ166" s="7"/>
      <c r="YA166" s="7"/>
      <c r="YB166" s="7"/>
      <c r="YC166" s="7"/>
      <c r="YD166" s="7"/>
      <c r="YE166" s="7"/>
      <c r="YF166" s="7"/>
      <c r="YG166" s="7"/>
      <c r="YH166" s="7"/>
      <c r="YI166" s="7"/>
      <c r="YJ166" s="7"/>
      <c r="YK166" s="7"/>
      <c r="YL166" s="7"/>
      <c r="YM166" s="7"/>
      <c r="YN166" s="7"/>
      <c r="YO166" s="7"/>
      <c r="YP166" s="7"/>
      <c r="YQ166" s="7"/>
      <c r="YR166" s="7"/>
      <c r="YS166" s="7"/>
      <c r="YT166" s="7"/>
      <c r="YU166" s="7"/>
      <c r="YV166" s="7"/>
      <c r="YW166" s="7"/>
      <c r="YX166" s="7"/>
      <c r="YY166" s="7"/>
      <c r="YZ166" s="7"/>
      <c r="ZA166" s="7"/>
      <c r="ZB166" s="7"/>
      <c r="ZC166" s="7"/>
      <c r="ZD166" s="7"/>
      <c r="ZE166" s="7"/>
      <c r="ZF166" s="7"/>
      <c r="ZG166" s="7"/>
      <c r="ZH166" s="7"/>
      <c r="ZI166" s="7"/>
      <c r="ZJ166" s="7"/>
      <c r="ZK166" s="7"/>
      <c r="ZL166" s="7"/>
      <c r="ZM166" s="7"/>
      <c r="ZN166" s="7"/>
      <c r="ZO166" s="7"/>
      <c r="ZP166" s="7"/>
      <c r="ZQ166" s="7"/>
      <c r="ZR166" s="7"/>
      <c r="ZS166" s="7"/>
      <c r="ZT166" s="7"/>
      <c r="ZU166" s="7"/>
      <c r="ZV166" s="7"/>
      <c r="ZW166" s="7"/>
      <c r="ZX166" s="7"/>
      <c r="ZY166" s="7"/>
      <c r="ZZ166" s="7"/>
      <c r="AAA166" s="7"/>
      <c r="AAB166" s="7"/>
      <c r="AAC166" s="7"/>
      <c r="AAD166" s="7"/>
      <c r="AAE166" s="7"/>
      <c r="AAF166" s="7"/>
      <c r="AAG166" s="7"/>
      <c r="AAH166" s="7"/>
      <c r="AAI166" s="7"/>
      <c r="AAJ166" s="7"/>
      <c r="AAK166" s="7"/>
      <c r="AAL166" s="7"/>
      <c r="AAM166" s="7"/>
      <c r="AAN166" s="7"/>
      <c r="AAO166" s="7"/>
      <c r="AAP166" s="7"/>
      <c r="AAQ166" s="7"/>
      <c r="AAR166" s="7"/>
      <c r="AAS166" s="7"/>
      <c r="AAT166" s="7"/>
      <c r="AAU166" s="7"/>
      <c r="AAV166" s="7"/>
      <c r="AAW166" s="7"/>
      <c r="AAX166" s="7"/>
      <c r="AAY166" s="7"/>
      <c r="AAZ166" s="7"/>
      <c r="ABA166" s="7"/>
      <c r="ABB166" s="7"/>
      <c r="ABC166" s="7"/>
      <c r="ABD166" s="7"/>
      <c r="ABE166" s="7"/>
      <c r="ABF166" s="7"/>
      <c r="ABG166" s="7"/>
      <c r="ABH166" s="7"/>
      <c r="ABI166" s="7"/>
      <c r="ABJ166" s="7"/>
      <c r="ABK166" s="7"/>
      <c r="ABL166" s="7"/>
      <c r="ABM166" s="7"/>
      <c r="ABN166" s="7"/>
      <c r="ABO166" s="7"/>
      <c r="ABP166" s="7"/>
      <c r="ABQ166" s="7"/>
      <c r="ABR166" s="7"/>
      <c r="ABS166" s="7"/>
      <c r="ABT166" s="7"/>
      <c r="ABU166" s="7"/>
      <c r="ABV166" s="7"/>
      <c r="ABW166" s="7"/>
      <c r="ABX166" s="7"/>
      <c r="ABY166" s="7"/>
      <c r="ABZ166" s="7"/>
      <c r="ACA166" s="7"/>
      <c r="ACB166" s="7"/>
      <c r="ACC166" s="7"/>
      <c r="ACD166" s="7"/>
      <c r="ACE166" s="7"/>
      <c r="ACF166" s="7"/>
      <c r="ACG166" s="7"/>
      <c r="ACH166" s="7"/>
      <c r="ACI166" s="7"/>
      <c r="ACJ166" s="7"/>
      <c r="ACK166" s="7"/>
      <c r="ACL166" s="7"/>
      <c r="ACM166" s="7"/>
      <c r="ACN166" s="7"/>
      <c r="ACO166" s="7"/>
      <c r="ACP166" s="7"/>
      <c r="ACQ166" s="7"/>
      <c r="ACR166" s="7"/>
      <c r="ACS166" s="7"/>
      <c r="ACT166" s="7"/>
      <c r="ACU166" s="7"/>
      <c r="ACV166" s="7"/>
      <c r="ACW166" s="7"/>
      <c r="ACX166" s="7"/>
      <c r="ACY166" s="7"/>
      <c r="ACZ166" s="7"/>
      <c r="ADA166" s="7"/>
      <c r="ADB166" s="7"/>
      <c r="ADC166" s="7"/>
      <c r="ADD166" s="7"/>
      <c r="ADE166" s="7"/>
      <c r="ADF166" s="7"/>
      <c r="ADG166" s="7"/>
      <c r="ADH166" s="7"/>
      <c r="ADI166" s="7"/>
      <c r="ADJ166" s="7"/>
      <c r="ADK166" s="7"/>
      <c r="ADL166" s="7"/>
      <c r="ADM166" s="7"/>
      <c r="ADN166" s="7"/>
      <c r="ADO166" s="7"/>
      <c r="ADP166" s="7"/>
      <c r="ADQ166" s="7"/>
      <c r="ADR166" s="7"/>
      <c r="ADS166" s="7"/>
      <c r="ADT166" s="7"/>
      <c r="ADU166" s="7"/>
      <c r="ADV166" s="7"/>
      <c r="ADW166" s="7"/>
      <c r="ADX166" s="7"/>
      <c r="ADY166" s="7"/>
      <c r="ADZ166" s="7"/>
      <c r="AEA166" s="7"/>
      <c r="AEB166" s="7"/>
      <c r="AEC166" s="7"/>
      <c r="AED166" s="7"/>
      <c r="AEE166" s="7"/>
      <c r="AEF166" s="7"/>
      <c r="AEG166" s="7"/>
      <c r="AEH166" s="7"/>
      <c r="AEI166" s="7"/>
      <c r="AEJ166" s="7"/>
      <c r="AEK166" s="7"/>
      <c r="AEL166" s="7"/>
      <c r="AEM166" s="7"/>
      <c r="AEN166" s="7"/>
      <c r="AEO166" s="7"/>
      <c r="AEP166" s="7"/>
      <c r="AEQ166" s="7"/>
      <c r="AER166" s="7"/>
      <c r="AES166" s="7"/>
      <c r="AET166" s="7"/>
      <c r="AEU166" s="7"/>
      <c r="AEV166" s="7"/>
      <c r="AEW166" s="7"/>
      <c r="AEX166" s="7"/>
      <c r="AEY166" s="7"/>
      <c r="AEZ166" s="7"/>
      <c r="AFA166" s="7"/>
      <c r="AFB166" s="7"/>
      <c r="AFC166" s="7"/>
      <c r="AFD166" s="7"/>
      <c r="AFE166" s="7"/>
      <c r="AFF166" s="7"/>
      <c r="AFG166" s="7"/>
      <c r="AFH166" s="7"/>
      <c r="AFI166" s="7"/>
      <c r="AFJ166" s="7"/>
      <c r="AFK166" s="7"/>
      <c r="AFL166" s="7"/>
      <c r="AFM166" s="7"/>
      <c r="AFN166" s="7"/>
      <c r="AFO166" s="7"/>
      <c r="AFP166" s="7"/>
      <c r="AFQ166" s="7"/>
      <c r="AFR166" s="7"/>
      <c r="AFS166" s="7"/>
      <c r="AFT166" s="7"/>
      <c r="AFU166" s="7"/>
      <c r="AFV166" s="7"/>
      <c r="AFW166" s="7"/>
      <c r="AFX166" s="7"/>
      <c r="AFY166" s="7"/>
      <c r="AFZ166" s="7"/>
      <c r="AGA166" s="7"/>
      <c r="AGB166" s="7"/>
      <c r="AGC166" s="7"/>
      <c r="AGD166" s="7"/>
      <c r="AGE166" s="7"/>
      <c r="AGF166" s="7"/>
      <c r="AGG166" s="7"/>
      <c r="AGH166" s="7"/>
      <c r="AGI166" s="7"/>
      <c r="AGJ166" s="7"/>
      <c r="AGK166" s="7"/>
      <c r="AGL166" s="7"/>
      <c r="AGM166" s="7"/>
      <c r="AGN166" s="7"/>
      <c r="AGO166" s="7"/>
      <c r="AGP166" s="7"/>
      <c r="AGQ166" s="7"/>
      <c r="AGR166" s="7"/>
      <c r="AGS166" s="7"/>
      <c r="AGT166" s="7"/>
      <c r="AGU166" s="7"/>
      <c r="AGV166" s="7"/>
      <c r="AGW166" s="7"/>
      <c r="AGX166" s="7"/>
      <c r="AGY166" s="7"/>
      <c r="AGZ166" s="7"/>
      <c r="AHA166" s="7"/>
      <c r="AHB166" s="7"/>
      <c r="AHC166" s="7"/>
      <c r="AHD166" s="7"/>
      <c r="AHE166" s="7"/>
      <c r="AHF166" s="7"/>
      <c r="AHG166" s="7"/>
      <c r="AHH166" s="7"/>
      <c r="AHI166" s="7"/>
      <c r="AHJ166" s="7"/>
      <c r="AHK166" s="7"/>
      <c r="AHL166" s="7"/>
      <c r="AHM166" s="7"/>
      <c r="AHN166" s="7"/>
      <c r="AHO166" s="7"/>
      <c r="AHP166" s="7"/>
      <c r="AHQ166" s="7"/>
      <c r="AHR166" s="7"/>
      <c r="AHS166" s="7"/>
      <c r="AHT166" s="7"/>
      <c r="AHU166" s="7"/>
      <c r="AHV166" s="7"/>
      <c r="AHW166" s="7"/>
      <c r="AHX166" s="7"/>
      <c r="AHY166" s="7"/>
      <c r="AHZ166" s="7"/>
      <c r="AIA166" s="7"/>
      <c r="AIB166" s="7"/>
      <c r="AIC166" s="7"/>
      <c r="AID166" s="7"/>
      <c r="AIE166" s="7"/>
      <c r="AIF166" s="7"/>
      <c r="AIG166" s="7"/>
      <c r="AIH166" s="7"/>
      <c r="AII166" s="7"/>
      <c r="AIJ166" s="7"/>
      <c r="AIK166" s="7"/>
      <c r="AIL166" s="7"/>
      <c r="AIM166" s="7"/>
      <c r="AIN166" s="7"/>
      <c r="AIO166" s="7"/>
      <c r="AIP166" s="7"/>
      <c r="AIQ166" s="7"/>
      <c r="AIR166" s="7"/>
      <c r="AIS166" s="7"/>
      <c r="AIT166" s="7"/>
      <c r="AIU166" s="7"/>
      <c r="AIV166" s="7"/>
      <c r="AIW166" s="7"/>
      <c r="AIX166" s="7"/>
      <c r="AIY166" s="7"/>
      <c r="AIZ166" s="7"/>
      <c r="AJA166" s="7"/>
      <c r="AJB166" s="7"/>
      <c r="AJC166" s="7"/>
      <c r="AJD166" s="7"/>
      <c r="AJE166" s="7"/>
      <c r="AJF166" s="7"/>
      <c r="AJG166" s="7"/>
      <c r="AJH166" s="7"/>
      <c r="AJI166" s="7"/>
      <c r="AJJ166" s="7"/>
      <c r="AJK166" s="7"/>
      <c r="AJL166" s="7"/>
      <c r="AJM166" s="7"/>
      <c r="AJN166" s="7"/>
      <c r="AJO166" s="7"/>
      <c r="AJP166" s="7"/>
      <c r="AJQ166" s="7"/>
      <c r="AJR166" s="7"/>
      <c r="AJS166" s="7"/>
      <c r="AJT166" s="7"/>
      <c r="AJU166" s="7"/>
      <c r="AJV166" s="7"/>
      <c r="AJW166" s="7"/>
      <c r="AJX166" s="7"/>
      <c r="AJY166" s="7"/>
      <c r="AJZ166" s="7"/>
      <c r="AKA166" s="7"/>
      <c r="AKB166" s="7"/>
      <c r="AKC166" s="7"/>
      <c r="AKD166" s="7"/>
      <c r="AKE166" s="7"/>
      <c r="AKF166" s="7"/>
      <c r="AKG166" s="7"/>
      <c r="AKH166" s="7"/>
      <c r="AKI166" s="7"/>
      <c r="AKJ166" s="7"/>
      <c r="AKK166" s="7"/>
      <c r="AKL166" s="7"/>
      <c r="AKM166" s="7"/>
      <c r="AKN166" s="7"/>
      <c r="AKO166" s="7"/>
      <c r="AKP166" s="7"/>
      <c r="AKQ166" s="7"/>
      <c r="AKR166" s="7"/>
      <c r="AKS166" s="7"/>
      <c r="AKT166" s="7"/>
      <c r="AKU166" s="7"/>
      <c r="AKV166" s="7"/>
      <c r="AKW166" s="7"/>
      <c r="AKX166" s="7"/>
      <c r="AKY166" s="7"/>
      <c r="AKZ166" s="7"/>
      <c r="ALA166" s="7"/>
      <c r="ALB166" s="7"/>
      <c r="ALC166" s="7"/>
      <c r="ALD166" s="7"/>
      <c r="ALE166" s="7"/>
      <c r="ALF166" s="7"/>
      <c r="ALG166" s="7"/>
      <c r="ALH166" s="7"/>
      <c r="ALI166" s="7"/>
      <c r="ALJ166" s="7"/>
      <c r="ALK166" s="7"/>
      <c r="ALL166" s="7"/>
      <c r="ALM166" s="7"/>
      <c r="ALN166" s="7"/>
      <c r="ALO166" s="7"/>
      <c r="ALP166" s="7"/>
      <c r="ALQ166" s="7"/>
      <c r="ALR166" s="7"/>
      <c r="ALS166" s="7"/>
      <c r="ALT166" s="7"/>
      <c r="ALU166" s="7"/>
      <c r="ALV166" s="7"/>
      <c r="ALW166" s="7"/>
      <c r="ALX166" s="7"/>
      <c r="ALY166" s="7"/>
      <c r="ALZ166" s="7"/>
      <c r="AMA166" s="7"/>
      <c r="AMB166" s="7"/>
      <c r="AMC166" s="7"/>
      <c r="AMD166" s="7"/>
      <c r="AME166" s="7"/>
      <c r="AMF166" s="7"/>
      <c r="AMG166" s="7"/>
      <c r="AMH166" s="7"/>
      <c r="AMI166" s="7"/>
      <c r="AMJ166" s="7"/>
    </row>
    <row r="167" customFormat="false" ht="15.75" hidden="false" customHeight="true" outlineLevel="0" collapsed="false">
      <c r="A167" s="7"/>
      <c r="B167" s="7"/>
      <c r="C167" s="78"/>
      <c r="D167" s="8"/>
      <c r="E167" s="8"/>
      <c r="F167" s="321"/>
      <c r="G167" s="10"/>
      <c r="H167" s="24"/>
      <c r="I167" s="230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  <c r="KS167" s="7"/>
      <c r="KT167" s="7"/>
      <c r="KU167" s="7"/>
      <c r="KV167" s="7"/>
      <c r="KW167" s="7"/>
      <c r="KX167" s="7"/>
      <c r="KY167" s="7"/>
      <c r="KZ167" s="7"/>
      <c r="LA167" s="7"/>
      <c r="LB167" s="7"/>
      <c r="LC167" s="7"/>
      <c r="LD167" s="7"/>
      <c r="LE167" s="7"/>
      <c r="LF167" s="7"/>
      <c r="LG167" s="7"/>
      <c r="LH167" s="7"/>
      <c r="LI167" s="7"/>
      <c r="LJ167" s="7"/>
      <c r="LK167" s="7"/>
      <c r="LL167" s="7"/>
      <c r="LM167" s="7"/>
      <c r="LN167" s="7"/>
      <c r="LO167" s="7"/>
      <c r="LP167" s="7"/>
      <c r="LQ167" s="7"/>
      <c r="LR167" s="7"/>
      <c r="LS167" s="7"/>
      <c r="LT167" s="7"/>
      <c r="LU167" s="7"/>
      <c r="LV167" s="7"/>
      <c r="LW167" s="7"/>
      <c r="LX167" s="7"/>
      <c r="LY167" s="7"/>
      <c r="LZ167" s="7"/>
      <c r="MA167" s="7"/>
      <c r="MB167" s="7"/>
      <c r="MC167" s="7"/>
      <c r="MD167" s="7"/>
      <c r="ME167" s="7"/>
      <c r="MF167" s="7"/>
      <c r="MG167" s="7"/>
      <c r="MH167" s="7"/>
      <c r="MI167" s="7"/>
      <c r="MJ167" s="7"/>
      <c r="MK167" s="7"/>
      <c r="ML167" s="7"/>
      <c r="MM167" s="7"/>
      <c r="MN167" s="7"/>
      <c r="MO167" s="7"/>
      <c r="MP167" s="7"/>
      <c r="MQ167" s="7"/>
      <c r="MR167" s="7"/>
      <c r="MS167" s="7"/>
      <c r="MT167" s="7"/>
      <c r="MU167" s="7"/>
      <c r="MV167" s="7"/>
      <c r="MW167" s="7"/>
      <c r="MX167" s="7"/>
      <c r="MY167" s="7"/>
      <c r="MZ167" s="7"/>
      <c r="NA167" s="7"/>
      <c r="NB167" s="7"/>
      <c r="NC167" s="7"/>
      <c r="ND167" s="7"/>
      <c r="NE167" s="7"/>
      <c r="NF167" s="7"/>
      <c r="NG167" s="7"/>
      <c r="NH167" s="7"/>
      <c r="NI167" s="7"/>
      <c r="NJ167" s="7"/>
      <c r="NK167" s="7"/>
      <c r="NL167" s="7"/>
      <c r="NM167" s="7"/>
      <c r="NN167" s="7"/>
      <c r="NO167" s="7"/>
      <c r="NP167" s="7"/>
      <c r="NQ167" s="7"/>
      <c r="NR167" s="7"/>
      <c r="NS167" s="7"/>
      <c r="NT167" s="7"/>
      <c r="NU167" s="7"/>
      <c r="NV167" s="7"/>
      <c r="NW167" s="7"/>
      <c r="NX167" s="7"/>
      <c r="NY167" s="7"/>
      <c r="NZ167" s="7"/>
      <c r="OA167" s="7"/>
      <c r="OB167" s="7"/>
      <c r="OC167" s="7"/>
      <c r="OD167" s="7"/>
      <c r="OE167" s="7"/>
      <c r="OF167" s="7"/>
      <c r="OG167" s="7"/>
      <c r="OH167" s="7"/>
      <c r="OI167" s="7"/>
      <c r="OJ167" s="7"/>
      <c r="OK167" s="7"/>
      <c r="OL167" s="7"/>
      <c r="OM167" s="7"/>
      <c r="ON167" s="7"/>
      <c r="OO167" s="7"/>
      <c r="OP167" s="7"/>
      <c r="OQ167" s="7"/>
      <c r="OR167" s="7"/>
      <c r="OS167" s="7"/>
      <c r="OT167" s="7"/>
      <c r="OU167" s="7"/>
      <c r="OV167" s="7"/>
      <c r="OW167" s="7"/>
      <c r="OX167" s="7"/>
      <c r="OY167" s="7"/>
      <c r="OZ167" s="7"/>
      <c r="PA167" s="7"/>
      <c r="PB167" s="7"/>
      <c r="PC167" s="7"/>
      <c r="PD167" s="7"/>
      <c r="PE167" s="7"/>
      <c r="PF167" s="7"/>
      <c r="PG167" s="7"/>
      <c r="PH167" s="7"/>
      <c r="PI167" s="7"/>
      <c r="PJ167" s="7"/>
      <c r="PK167" s="7"/>
      <c r="PL167" s="7"/>
      <c r="PM167" s="7"/>
      <c r="PN167" s="7"/>
      <c r="PO167" s="7"/>
      <c r="PP167" s="7"/>
      <c r="PQ167" s="7"/>
      <c r="PR167" s="7"/>
      <c r="PS167" s="7"/>
      <c r="PT167" s="7"/>
      <c r="PU167" s="7"/>
      <c r="PV167" s="7"/>
      <c r="PW167" s="7"/>
      <c r="PX167" s="7"/>
      <c r="PY167" s="7"/>
      <c r="PZ167" s="7"/>
      <c r="QA167" s="7"/>
      <c r="QB167" s="7"/>
      <c r="QC167" s="7"/>
      <c r="QD167" s="7"/>
      <c r="QE167" s="7"/>
      <c r="QF167" s="7"/>
      <c r="QG167" s="7"/>
      <c r="QH167" s="7"/>
      <c r="QI167" s="7"/>
      <c r="QJ167" s="7"/>
      <c r="QK167" s="7"/>
      <c r="QL167" s="7"/>
      <c r="QM167" s="7"/>
      <c r="QN167" s="7"/>
      <c r="QO167" s="7"/>
      <c r="QP167" s="7"/>
      <c r="QQ167" s="7"/>
      <c r="QR167" s="7"/>
      <c r="QS167" s="7"/>
      <c r="QT167" s="7"/>
      <c r="QU167" s="7"/>
      <c r="QV167" s="7"/>
      <c r="QW167" s="7"/>
      <c r="QX167" s="7"/>
      <c r="QY167" s="7"/>
      <c r="QZ167" s="7"/>
      <c r="RA167" s="7"/>
      <c r="RB167" s="7"/>
      <c r="RC167" s="7"/>
      <c r="RD167" s="7"/>
      <c r="RE167" s="7"/>
      <c r="RF167" s="7"/>
      <c r="RG167" s="7"/>
      <c r="RH167" s="7"/>
      <c r="RI167" s="7"/>
      <c r="RJ167" s="7"/>
      <c r="RK167" s="7"/>
      <c r="RL167" s="7"/>
      <c r="RM167" s="7"/>
      <c r="RN167" s="7"/>
      <c r="RO167" s="7"/>
      <c r="RP167" s="7"/>
      <c r="RQ167" s="7"/>
      <c r="RR167" s="7"/>
      <c r="RS167" s="7"/>
      <c r="RT167" s="7"/>
      <c r="RU167" s="7"/>
      <c r="RV167" s="7"/>
      <c r="RW167" s="7"/>
      <c r="RX167" s="7"/>
      <c r="RY167" s="7"/>
      <c r="RZ167" s="7"/>
      <c r="SA167" s="7"/>
      <c r="SB167" s="7"/>
      <c r="SC167" s="7"/>
      <c r="SD167" s="7"/>
      <c r="SE167" s="7"/>
      <c r="SF167" s="7"/>
      <c r="SG167" s="7"/>
      <c r="SH167" s="7"/>
      <c r="SI167" s="7"/>
      <c r="SJ167" s="7"/>
      <c r="SK167" s="7"/>
      <c r="SL167" s="7"/>
      <c r="SM167" s="7"/>
      <c r="SN167" s="7"/>
      <c r="SO167" s="7"/>
      <c r="SP167" s="7"/>
      <c r="SQ167" s="7"/>
      <c r="SR167" s="7"/>
      <c r="SS167" s="7"/>
      <c r="ST167" s="7"/>
      <c r="SU167" s="7"/>
      <c r="SV167" s="7"/>
      <c r="SW167" s="7"/>
      <c r="SX167" s="7"/>
      <c r="SY167" s="7"/>
      <c r="SZ167" s="7"/>
      <c r="TA167" s="7"/>
      <c r="TB167" s="7"/>
      <c r="TC167" s="7"/>
      <c r="TD167" s="7"/>
      <c r="TE167" s="7"/>
      <c r="TF167" s="7"/>
      <c r="TG167" s="7"/>
      <c r="TH167" s="7"/>
      <c r="TI167" s="7"/>
      <c r="TJ167" s="7"/>
      <c r="TK167" s="7"/>
      <c r="TL167" s="7"/>
      <c r="TM167" s="7"/>
      <c r="TN167" s="7"/>
      <c r="TO167" s="7"/>
      <c r="TP167" s="7"/>
      <c r="TQ167" s="7"/>
      <c r="TR167" s="7"/>
      <c r="TS167" s="7"/>
      <c r="TT167" s="7"/>
      <c r="TU167" s="7"/>
      <c r="TV167" s="7"/>
      <c r="TW167" s="7"/>
      <c r="TX167" s="7"/>
      <c r="TY167" s="7"/>
      <c r="TZ167" s="7"/>
      <c r="UA167" s="7"/>
      <c r="UB167" s="7"/>
      <c r="UC167" s="7"/>
      <c r="UD167" s="7"/>
      <c r="UE167" s="7"/>
      <c r="UF167" s="7"/>
      <c r="UG167" s="7"/>
      <c r="UH167" s="7"/>
      <c r="UI167" s="7"/>
      <c r="UJ167" s="7"/>
      <c r="UK167" s="7"/>
      <c r="UL167" s="7"/>
      <c r="UM167" s="7"/>
      <c r="UN167" s="7"/>
      <c r="UO167" s="7"/>
      <c r="UP167" s="7"/>
      <c r="UQ167" s="7"/>
      <c r="UR167" s="7"/>
      <c r="US167" s="7"/>
      <c r="UT167" s="7"/>
      <c r="UU167" s="7"/>
      <c r="UV167" s="7"/>
      <c r="UW167" s="7"/>
      <c r="UX167" s="7"/>
      <c r="UY167" s="7"/>
      <c r="UZ167" s="7"/>
      <c r="VA167" s="7"/>
      <c r="VB167" s="7"/>
      <c r="VC167" s="7"/>
      <c r="VD167" s="7"/>
      <c r="VE167" s="7"/>
      <c r="VF167" s="7"/>
      <c r="VG167" s="7"/>
      <c r="VH167" s="7"/>
      <c r="VI167" s="7"/>
      <c r="VJ167" s="7"/>
      <c r="VK167" s="7"/>
      <c r="VL167" s="7"/>
      <c r="VM167" s="7"/>
      <c r="VN167" s="7"/>
      <c r="VO167" s="7"/>
      <c r="VP167" s="7"/>
      <c r="VQ167" s="7"/>
      <c r="VR167" s="7"/>
      <c r="VS167" s="7"/>
      <c r="VT167" s="7"/>
      <c r="VU167" s="7"/>
      <c r="VV167" s="7"/>
      <c r="VW167" s="7"/>
      <c r="VX167" s="7"/>
      <c r="VY167" s="7"/>
      <c r="VZ167" s="7"/>
      <c r="WA167" s="7"/>
      <c r="WB167" s="7"/>
      <c r="WC167" s="7"/>
      <c r="WD167" s="7"/>
      <c r="WE167" s="7"/>
      <c r="WF167" s="7"/>
      <c r="WG167" s="7"/>
      <c r="WH167" s="7"/>
      <c r="WI167" s="7"/>
      <c r="WJ167" s="7"/>
      <c r="WK167" s="7"/>
      <c r="WL167" s="7"/>
      <c r="WM167" s="7"/>
      <c r="WN167" s="7"/>
      <c r="WO167" s="7"/>
      <c r="WP167" s="7"/>
      <c r="WQ167" s="7"/>
      <c r="WR167" s="7"/>
      <c r="WS167" s="7"/>
      <c r="WT167" s="7"/>
      <c r="WU167" s="7"/>
      <c r="WV167" s="7"/>
      <c r="WW167" s="7"/>
      <c r="WX167" s="7"/>
      <c r="WY167" s="7"/>
      <c r="WZ167" s="7"/>
      <c r="XA167" s="7"/>
      <c r="XB167" s="7"/>
      <c r="XC167" s="7"/>
      <c r="XD167" s="7"/>
      <c r="XE167" s="7"/>
      <c r="XF167" s="7"/>
      <c r="XG167" s="7"/>
      <c r="XH167" s="7"/>
      <c r="XI167" s="7"/>
      <c r="XJ167" s="7"/>
      <c r="XK167" s="7"/>
      <c r="XL167" s="7"/>
      <c r="XM167" s="7"/>
      <c r="XN167" s="7"/>
      <c r="XO167" s="7"/>
      <c r="XP167" s="7"/>
      <c r="XQ167" s="7"/>
      <c r="XR167" s="7"/>
      <c r="XS167" s="7"/>
      <c r="XT167" s="7"/>
      <c r="XU167" s="7"/>
      <c r="XV167" s="7"/>
      <c r="XW167" s="7"/>
      <c r="XX167" s="7"/>
      <c r="XY167" s="7"/>
      <c r="XZ167" s="7"/>
      <c r="YA167" s="7"/>
      <c r="YB167" s="7"/>
      <c r="YC167" s="7"/>
      <c r="YD167" s="7"/>
      <c r="YE167" s="7"/>
      <c r="YF167" s="7"/>
      <c r="YG167" s="7"/>
      <c r="YH167" s="7"/>
      <c r="YI167" s="7"/>
      <c r="YJ167" s="7"/>
      <c r="YK167" s="7"/>
      <c r="YL167" s="7"/>
      <c r="YM167" s="7"/>
      <c r="YN167" s="7"/>
      <c r="YO167" s="7"/>
      <c r="YP167" s="7"/>
      <c r="YQ167" s="7"/>
      <c r="YR167" s="7"/>
      <c r="YS167" s="7"/>
      <c r="YT167" s="7"/>
      <c r="YU167" s="7"/>
      <c r="YV167" s="7"/>
      <c r="YW167" s="7"/>
      <c r="YX167" s="7"/>
      <c r="YY167" s="7"/>
      <c r="YZ167" s="7"/>
      <c r="ZA167" s="7"/>
      <c r="ZB167" s="7"/>
      <c r="ZC167" s="7"/>
      <c r="ZD167" s="7"/>
      <c r="ZE167" s="7"/>
      <c r="ZF167" s="7"/>
      <c r="ZG167" s="7"/>
      <c r="ZH167" s="7"/>
      <c r="ZI167" s="7"/>
      <c r="ZJ167" s="7"/>
      <c r="ZK167" s="7"/>
      <c r="ZL167" s="7"/>
      <c r="ZM167" s="7"/>
      <c r="ZN167" s="7"/>
      <c r="ZO167" s="7"/>
      <c r="ZP167" s="7"/>
      <c r="ZQ167" s="7"/>
      <c r="ZR167" s="7"/>
      <c r="ZS167" s="7"/>
      <c r="ZT167" s="7"/>
      <c r="ZU167" s="7"/>
      <c r="ZV167" s="7"/>
      <c r="ZW167" s="7"/>
      <c r="ZX167" s="7"/>
      <c r="ZY167" s="7"/>
      <c r="ZZ167" s="7"/>
      <c r="AAA167" s="7"/>
      <c r="AAB167" s="7"/>
      <c r="AAC167" s="7"/>
      <c r="AAD167" s="7"/>
      <c r="AAE167" s="7"/>
      <c r="AAF167" s="7"/>
      <c r="AAG167" s="7"/>
      <c r="AAH167" s="7"/>
      <c r="AAI167" s="7"/>
      <c r="AAJ167" s="7"/>
      <c r="AAK167" s="7"/>
      <c r="AAL167" s="7"/>
      <c r="AAM167" s="7"/>
      <c r="AAN167" s="7"/>
      <c r="AAO167" s="7"/>
      <c r="AAP167" s="7"/>
      <c r="AAQ167" s="7"/>
      <c r="AAR167" s="7"/>
      <c r="AAS167" s="7"/>
      <c r="AAT167" s="7"/>
      <c r="AAU167" s="7"/>
      <c r="AAV167" s="7"/>
      <c r="AAW167" s="7"/>
      <c r="AAX167" s="7"/>
      <c r="AAY167" s="7"/>
      <c r="AAZ167" s="7"/>
      <c r="ABA167" s="7"/>
      <c r="ABB167" s="7"/>
      <c r="ABC167" s="7"/>
      <c r="ABD167" s="7"/>
      <c r="ABE167" s="7"/>
      <c r="ABF167" s="7"/>
      <c r="ABG167" s="7"/>
      <c r="ABH167" s="7"/>
      <c r="ABI167" s="7"/>
      <c r="ABJ167" s="7"/>
      <c r="ABK167" s="7"/>
      <c r="ABL167" s="7"/>
      <c r="ABM167" s="7"/>
      <c r="ABN167" s="7"/>
      <c r="ABO167" s="7"/>
      <c r="ABP167" s="7"/>
      <c r="ABQ167" s="7"/>
      <c r="ABR167" s="7"/>
      <c r="ABS167" s="7"/>
      <c r="ABT167" s="7"/>
      <c r="ABU167" s="7"/>
      <c r="ABV167" s="7"/>
      <c r="ABW167" s="7"/>
      <c r="ABX167" s="7"/>
      <c r="ABY167" s="7"/>
      <c r="ABZ167" s="7"/>
      <c r="ACA167" s="7"/>
      <c r="ACB167" s="7"/>
      <c r="ACC167" s="7"/>
      <c r="ACD167" s="7"/>
      <c r="ACE167" s="7"/>
      <c r="ACF167" s="7"/>
      <c r="ACG167" s="7"/>
      <c r="ACH167" s="7"/>
      <c r="ACI167" s="7"/>
      <c r="ACJ167" s="7"/>
      <c r="ACK167" s="7"/>
      <c r="ACL167" s="7"/>
      <c r="ACM167" s="7"/>
      <c r="ACN167" s="7"/>
      <c r="ACO167" s="7"/>
      <c r="ACP167" s="7"/>
      <c r="ACQ167" s="7"/>
      <c r="ACR167" s="7"/>
      <c r="ACS167" s="7"/>
      <c r="ACT167" s="7"/>
      <c r="ACU167" s="7"/>
      <c r="ACV167" s="7"/>
      <c r="ACW167" s="7"/>
      <c r="ACX167" s="7"/>
      <c r="ACY167" s="7"/>
      <c r="ACZ167" s="7"/>
      <c r="ADA167" s="7"/>
      <c r="ADB167" s="7"/>
      <c r="ADC167" s="7"/>
      <c r="ADD167" s="7"/>
      <c r="ADE167" s="7"/>
      <c r="ADF167" s="7"/>
      <c r="ADG167" s="7"/>
      <c r="ADH167" s="7"/>
      <c r="ADI167" s="7"/>
      <c r="ADJ167" s="7"/>
      <c r="ADK167" s="7"/>
      <c r="ADL167" s="7"/>
      <c r="ADM167" s="7"/>
      <c r="ADN167" s="7"/>
      <c r="ADO167" s="7"/>
      <c r="ADP167" s="7"/>
      <c r="ADQ167" s="7"/>
      <c r="ADR167" s="7"/>
      <c r="ADS167" s="7"/>
      <c r="ADT167" s="7"/>
      <c r="ADU167" s="7"/>
      <c r="ADV167" s="7"/>
      <c r="ADW167" s="7"/>
      <c r="ADX167" s="7"/>
      <c r="ADY167" s="7"/>
      <c r="ADZ167" s="7"/>
      <c r="AEA167" s="7"/>
      <c r="AEB167" s="7"/>
      <c r="AEC167" s="7"/>
      <c r="AED167" s="7"/>
      <c r="AEE167" s="7"/>
      <c r="AEF167" s="7"/>
      <c r="AEG167" s="7"/>
      <c r="AEH167" s="7"/>
      <c r="AEI167" s="7"/>
      <c r="AEJ167" s="7"/>
      <c r="AEK167" s="7"/>
      <c r="AEL167" s="7"/>
      <c r="AEM167" s="7"/>
      <c r="AEN167" s="7"/>
      <c r="AEO167" s="7"/>
      <c r="AEP167" s="7"/>
      <c r="AEQ167" s="7"/>
      <c r="AER167" s="7"/>
      <c r="AES167" s="7"/>
      <c r="AET167" s="7"/>
      <c r="AEU167" s="7"/>
      <c r="AEV167" s="7"/>
      <c r="AEW167" s="7"/>
      <c r="AEX167" s="7"/>
      <c r="AEY167" s="7"/>
      <c r="AEZ167" s="7"/>
      <c r="AFA167" s="7"/>
      <c r="AFB167" s="7"/>
      <c r="AFC167" s="7"/>
      <c r="AFD167" s="7"/>
      <c r="AFE167" s="7"/>
      <c r="AFF167" s="7"/>
      <c r="AFG167" s="7"/>
      <c r="AFH167" s="7"/>
      <c r="AFI167" s="7"/>
      <c r="AFJ167" s="7"/>
      <c r="AFK167" s="7"/>
      <c r="AFL167" s="7"/>
      <c r="AFM167" s="7"/>
      <c r="AFN167" s="7"/>
      <c r="AFO167" s="7"/>
      <c r="AFP167" s="7"/>
      <c r="AFQ167" s="7"/>
      <c r="AFR167" s="7"/>
      <c r="AFS167" s="7"/>
      <c r="AFT167" s="7"/>
      <c r="AFU167" s="7"/>
      <c r="AFV167" s="7"/>
      <c r="AFW167" s="7"/>
      <c r="AFX167" s="7"/>
      <c r="AFY167" s="7"/>
      <c r="AFZ167" s="7"/>
      <c r="AGA167" s="7"/>
      <c r="AGB167" s="7"/>
      <c r="AGC167" s="7"/>
      <c r="AGD167" s="7"/>
      <c r="AGE167" s="7"/>
      <c r="AGF167" s="7"/>
      <c r="AGG167" s="7"/>
      <c r="AGH167" s="7"/>
      <c r="AGI167" s="7"/>
      <c r="AGJ167" s="7"/>
      <c r="AGK167" s="7"/>
      <c r="AGL167" s="7"/>
      <c r="AGM167" s="7"/>
      <c r="AGN167" s="7"/>
      <c r="AGO167" s="7"/>
      <c r="AGP167" s="7"/>
      <c r="AGQ167" s="7"/>
      <c r="AGR167" s="7"/>
      <c r="AGS167" s="7"/>
      <c r="AGT167" s="7"/>
      <c r="AGU167" s="7"/>
      <c r="AGV167" s="7"/>
      <c r="AGW167" s="7"/>
      <c r="AGX167" s="7"/>
      <c r="AGY167" s="7"/>
      <c r="AGZ167" s="7"/>
      <c r="AHA167" s="7"/>
      <c r="AHB167" s="7"/>
      <c r="AHC167" s="7"/>
      <c r="AHD167" s="7"/>
      <c r="AHE167" s="7"/>
      <c r="AHF167" s="7"/>
      <c r="AHG167" s="7"/>
      <c r="AHH167" s="7"/>
      <c r="AHI167" s="7"/>
      <c r="AHJ167" s="7"/>
      <c r="AHK167" s="7"/>
      <c r="AHL167" s="7"/>
      <c r="AHM167" s="7"/>
      <c r="AHN167" s="7"/>
      <c r="AHO167" s="7"/>
      <c r="AHP167" s="7"/>
      <c r="AHQ167" s="7"/>
      <c r="AHR167" s="7"/>
      <c r="AHS167" s="7"/>
      <c r="AHT167" s="7"/>
      <c r="AHU167" s="7"/>
      <c r="AHV167" s="7"/>
      <c r="AHW167" s="7"/>
      <c r="AHX167" s="7"/>
      <c r="AHY167" s="7"/>
      <c r="AHZ167" s="7"/>
      <c r="AIA167" s="7"/>
      <c r="AIB167" s="7"/>
      <c r="AIC167" s="7"/>
      <c r="AID167" s="7"/>
      <c r="AIE167" s="7"/>
      <c r="AIF167" s="7"/>
      <c r="AIG167" s="7"/>
      <c r="AIH167" s="7"/>
      <c r="AII167" s="7"/>
      <c r="AIJ167" s="7"/>
      <c r="AIK167" s="7"/>
      <c r="AIL167" s="7"/>
      <c r="AIM167" s="7"/>
      <c r="AIN167" s="7"/>
      <c r="AIO167" s="7"/>
      <c r="AIP167" s="7"/>
      <c r="AIQ167" s="7"/>
      <c r="AIR167" s="7"/>
      <c r="AIS167" s="7"/>
      <c r="AIT167" s="7"/>
      <c r="AIU167" s="7"/>
      <c r="AIV167" s="7"/>
      <c r="AIW167" s="7"/>
      <c r="AIX167" s="7"/>
      <c r="AIY167" s="7"/>
      <c r="AIZ167" s="7"/>
      <c r="AJA167" s="7"/>
      <c r="AJB167" s="7"/>
      <c r="AJC167" s="7"/>
      <c r="AJD167" s="7"/>
      <c r="AJE167" s="7"/>
      <c r="AJF167" s="7"/>
      <c r="AJG167" s="7"/>
      <c r="AJH167" s="7"/>
      <c r="AJI167" s="7"/>
      <c r="AJJ167" s="7"/>
      <c r="AJK167" s="7"/>
      <c r="AJL167" s="7"/>
      <c r="AJM167" s="7"/>
      <c r="AJN167" s="7"/>
      <c r="AJO167" s="7"/>
      <c r="AJP167" s="7"/>
      <c r="AJQ167" s="7"/>
      <c r="AJR167" s="7"/>
      <c r="AJS167" s="7"/>
      <c r="AJT167" s="7"/>
      <c r="AJU167" s="7"/>
      <c r="AJV167" s="7"/>
      <c r="AJW167" s="7"/>
      <c r="AJX167" s="7"/>
      <c r="AJY167" s="7"/>
      <c r="AJZ167" s="7"/>
      <c r="AKA167" s="7"/>
      <c r="AKB167" s="7"/>
      <c r="AKC167" s="7"/>
      <c r="AKD167" s="7"/>
      <c r="AKE167" s="7"/>
      <c r="AKF167" s="7"/>
      <c r="AKG167" s="7"/>
      <c r="AKH167" s="7"/>
      <c r="AKI167" s="7"/>
      <c r="AKJ167" s="7"/>
      <c r="AKK167" s="7"/>
      <c r="AKL167" s="7"/>
      <c r="AKM167" s="7"/>
      <c r="AKN167" s="7"/>
      <c r="AKO167" s="7"/>
      <c r="AKP167" s="7"/>
      <c r="AKQ167" s="7"/>
      <c r="AKR167" s="7"/>
      <c r="AKS167" s="7"/>
      <c r="AKT167" s="7"/>
      <c r="AKU167" s="7"/>
      <c r="AKV167" s="7"/>
      <c r="AKW167" s="7"/>
      <c r="AKX167" s="7"/>
      <c r="AKY167" s="7"/>
      <c r="AKZ167" s="7"/>
      <c r="ALA167" s="7"/>
      <c r="ALB167" s="7"/>
      <c r="ALC167" s="7"/>
      <c r="ALD167" s="7"/>
      <c r="ALE167" s="7"/>
      <c r="ALF167" s="7"/>
      <c r="ALG167" s="7"/>
      <c r="ALH167" s="7"/>
      <c r="ALI167" s="7"/>
      <c r="ALJ167" s="7"/>
      <c r="ALK167" s="7"/>
      <c r="ALL167" s="7"/>
      <c r="ALM167" s="7"/>
      <c r="ALN167" s="7"/>
      <c r="ALO167" s="7"/>
      <c r="ALP167" s="7"/>
      <c r="ALQ167" s="7"/>
      <c r="ALR167" s="7"/>
      <c r="ALS167" s="7"/>
      <c r="ALT167" s="7"/>
      <c r="ALU167" s="7"/>
      <c r="ALV167" s="7"/>
      <c r="ALW167" s="7"/>
      <c r="ALX167" s="7"/>
      <c r="ALY167" s="7"/>
      <c r="ALZ167" s="7"/>
      <c r="AMA167" s="7"/>
      <c r="AMB167" s="7"/>
      <c r="AMC167" s="7"/>
      <c r="AMD167" s="7"/>
      <c r="AME167" s="7"/>
      <c r="AMF167" s="7"/>
      <c r="AMG167" s="7"/>
      <c r="AMH167" s="7"/>
      <c r="AMI167" s="7"/>
      <c r="AMJ167" s="7"/>
    </row>
    <row r="168" customFormat="false" ht="15.75" hidden="false" customHeight="true" outlineLevel="0" collapsed="false">
      <c r="A168" s="7"/>
      <c r="B168" s="7"/>
      <c r="C168" s="276" t="s">
        <v>191</v>
      </c>
      <c r="D168" s="277" t="s">
        <v>189</v>
      </c>
      <c r="E168" s="278" t="s">
        <v>4</v>
      </c>
      <c r="F168" s="321"/>
      <c r="G168" s="10"/>
      <c r="H168" s="24"/>
      <c r="I168" s="276" t="s">
        <v>192</v>
      </c>
      <c r="J168" s="277" t="s">
        <v>189</v>
      </c>
      <c r="K168" s="278" t="s">
        <v>4</v>
      </c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  <c r="KS168" s="7"/>
      <c r="KT168" s="7"/>
      <c r="KU168" s="7"/>
      <c r="KV168" s="7"/>
      <c r="KW168" s="7"/>
      <c r="KX168" s="7"/>
      <c r="KY168" s="7"/>
      <c r="KZ168" s="7"/>
      <c r="LA168" s="7"/>
      <c r="LB168" s="7"/>
      <c r="LC168" s="7"/>
      <c r="LD168" s="7"/>
      <c r="LE168" s="7"/>
      <c r="LF168" s="7"/>
      <c r="LG168" s="7"/>
      <c r="LH168" s="7"/>
      <c r="LI168" s="7"/>
      <c r="LJ168" s="7"/>
      <c r="LK168" s="7"/>
      <c r="LL168" s="7"/>
      <c r="LM168" s="7"/>
      <c r="LN168" s="7"/>
      <c r="LO168" s="7"/>
      <c r="LP168" s="7"/>
      <c r="LQ168" s="7"/>
      <c r="LR168" s="7"/>
      <c r="LS168" s="7"/>
      <c r="LT168" s="7"/>
      <c r="LU168" s="7"/>
      <c r="LV168" s="7"/>
      <c r="LW168" s="7"/>
      <c r="LX168" s="7"/>
      <c r="LY168" s="7"/>
      <c r="LZ168" s="7"/>
      <c r="MA168" s="7"/>
      <c r="MB168" s="7"/>
      <c r="MC168" s="7"/>
      <c r="MD168" s="7"/>
      <c r="ME168" s="7"/>
      <c r="MF168" s="7"/>
      <c r="MG168" s="7"/>
      <c r="MH168" s="7"/>
      <c r="MI168" s="7"/>
      <c r="MJ168" s="7"/>
      <c r="MK168" s="7"/>
      <c r="ML168" s="7"/>
      <c r="MM168" s="7"/>
      <c r="MN168" s="7"/>
      <c r="MO168" s="7"/>
      <c r="MP168" s="7"/>
      <c r="MQ168" s="7"/>
      <c r="MR168" s="7"/>
      <c r="MS168" s="7"/>
      <c r="MT168" s="7"/>
      <c r="MU168" s="7"/>
      <c r="MV168" s="7"/>
      <c r="MW168" s="7"/>
      <c r="MX168" s="7"/>
      <c r="MY168" s="7"/>
      <c r="MZ168" s="7"/>
      <c r="NA168" s="7"/>
      <c r="NB168" s="7"/>
      <c r="NC168" s="7"/>
      <c r="ND168" s="7"/>
      <c r="NE168" s="7"/>
      <c r="NF168" s="7"/>
      <c r="NG168" s="7"/>
      <c r="NH168" s="7"/>
      <c r="NI168" s="7"/>
      <c r="NJ168" s="7"/>
      <c r="NK168" s="7"/>
      <c r="NL168" s="7"/>
      <c r="NM168" s="7"/>
      <c r="NN168" s="7"/>
      <c r="NO168" s="7"/>
      <c r="NP168" s="7"/>
      <c r="NQ168" s="7"/>
      <c r="NR168" s="7"/>
      <c r="NS168" s="7"/>
      <c r="NT168" s="7"/>
      <c r="NU168" s="7"/>
      <c r="NV168" s="7"/>
      <c r="NW168" s="7"/>
      <c r="NX168" s="7"/>
      <c r="NY168" s="7"/>
      <c r="NZ168" s="7"/>
      <c r="OA168" s="7"/>
      <c r="OB168" s="7"/>
      <c r="OC168" s="7"/>
      <c r="OD168" s="7"/>
      <c r="OE168" s="7"/>
      <c r="OF168" s="7"/>
      <c r="OG168" s="7"/>
      <c r="OH168" s="7"/>
      <c r="OI168" s="7"/>
      <c r="OJ168" s="7"/>
      <c r="OK168" s="7"/>
      <c r="OL168" s="7"/>
      <c r="OM168" s="7"/>
      <c r="ON168" s="7"/>
      <c r="OO168" s="7"/>
      <c r="OP168" s="7"/>
      <c r="OQ168" s="7"/>
      <c r="OR168" s="7"/>
      <c r="OS168" s="7"/>
      <c r="OT168" s="7"/>
      <c r="OU168" s="7"/>
      <c r="OV168" s="7"/>
      <c r="OW168" s="7"/>
      <c r="OX168" s="7"/>
      <c r="OY168" s="7"/>
      <c r="OZ168" s="7"/>
      <c r="PA168" s="7"/>
      <c r="PB168" s="7"/>
      <c r="PC168" s="7"/>
      <c r="PD168" s="7"/>
      <c r="PE168" s="7"/>
      <c r="PF168" s="7"/>
      <c r="PG168" s="7"/>
      <c r="PH168" s="7"/>
      <c r="PI168" s="7"/>
      <c r="PJ168" s="7"/>
      <c r="PK168" s="7"/>
      <c r="PL168" s="7"/>
      <c r="PM168" s="7"/>
      <c r="PN168" s="7"/>
      <c r="PO168" s="7"/>
      <c r="PP168" s="7"/>
      <c r="PQ168" s="7"/>
      <c r="PR168" s="7"/>
      <c r="PS168" s="7"/>
      <c r="PT168" s="7"/>
      <c r="PU168" s="7"/>
      <c r="PV168" s="7"/>
      <c r="PW168" s="7"/>
      <c r="PX168" s="7"/>
      <c r="PY168" s="7"/>
      <c r="PZ168" s="7"/>
      <c r="QA168" s="7"/>
      <c r="QB168" s="7"/>
      <c r="QC168" s="7"/>
      <c r="QD168" s="7"/>
      <c r="QE168" s="7"/>
      <c r="QF168" s="7"/>
      <c r="QG168" s="7"/>
      <c r="QH168" s="7"/>
      <c r="QI168" s="7"/>
      <c r="QJ168" s="7"/>
      <c r="QK168" s="7"/>
      <c r="QL168" s="7"/>
      <c r="QM168" s="7"/>
      <c r="QN168" s="7"/>
      <c r="QO168" s="7"/>
      <c r="QP168" s="7"/>
      <c r="QQ168" s="7"/>
      <c r="QR168" s="7"/>
      <c r="QS168" s="7"/>
      <c r="QT168" s="7"/>
      <c r="QU168" s="7"/>
      <c r="QV168" s="7"/>
      <c r="QW168" s="7"/>
      <c r="QX168" s="7"/>
      <c r="QY168" s="7"/>
      <c r="QZ168" s="7"/>
      <c r="RA168" s="7"/>
      <c r="RB168" s="7"/>
      <c r="RC168" s="7"/>
      <c r="RD168" s="7"/>
      <c r="RE168" s="7"/>
      <c r="RF168" s="7"/>
      <c r="RG168" s="7"/>
      <c r="RH168" s="7"/>
      <c r="RI168" s="7"/>
      <c r="RJ168" s="7"/>
      <c r="RK168" s="7"/>
      <c r="RL168" s="7"/>
      <c r="RM168" s="7"/>
      <c r="RN168" s="7"/>
      <c r="RO168" s="7"/>
      <c r="RP168" s="7"/>
      <c r="RQ168" s="7"/>
      <c r="RR168" s="7"/>
      <c r="RS168" s="7"/>
      <c r="RT168" s="7"/>
      <c r="RU168" s="7"/>
      <c r="RV168" s="7"/>
      <c r="RW168" s="7"/>
      <c r="RX168" s="7"/>
      <c r="RY168" s="7"/>
      <c r="RZ168" s="7"/>
      <c r="SA168" s="7"/>
      <c r="SB168" s="7"/>
      <c r="SC168" s="7"/>
      <c r="SD168" s="7"/>
      <c r="SE168" s="7"/>
      <c r="SF168" s="7"/>
      <c r="SG168" s="7"/>
      <c r="SH168" s="7"/>
      <c r="SI168" s="7"/>
      <c r="SJ168" s="7"/>
      <c r="SK168" s="7"/>
      <c r="SL168" s="7"/>
      <c r="SM168" s="7"/>
      <c r="SN168" s="7"/>
      <c r="SO168" s="7"/>
      <c r="SP168" s="7"/>
      <c r="SQ168" s="7"/>
      <c r="SR168" s="7"/>
      <c r="SS168" s="7"/>
      <c r="ST168" s="7"/>
      <c r="SU168" s="7"/>
      <c r="SV168" s="7"/>
      <c r="SW168" s="7"/>
      <c r="SX168" s="7"/>
      <c r="SY168" s="7"/>
      <c r="SZ168" s="7"/>
      <c r="TA168" s="7"/>
      <c r="TB168" s="7"/>
      <c r="TC168" s="7"/>
      <c r="TD168" s="7"/>
      <c r="TE168" s="7"/>
      <c r="TF168" s="7"/>
      <c r="TG168" s="7"/>
      <c r="TH168" s="7"/>
      <c r="TI168" s="7"/>
      <c r="TJ168" s="7"/>
      <c r="TK168" s="7"/>
      <c r="TL168" s="7"/>
      <c r="TM168" s="7"/>
      <c r="TN168" s="7"/>
      <c r="TO168" s="7"/>
      <c r="TP168" s="7"/>
      <c r="TQ168" s="7"/>
      <c r="TR168" s="7"/>
      <c r="TS168" s="7"/>
      <c r="TT168" s="7"/>
      <c r="TU168" s="7"/>
      <c r="TV168" s="7"/>
      <c r="TW168" s="7"/>
      <c r="TX168" s="7"/>
      <c r="TY168" s="7"/>
      <c r="TZ168" s="7"/>
      <c r="UA168" s="7"/>
      <c r="UB168" s="7"/>
      <c r="UC168" s="7"/>
      <c r="UD168" s="7"/>
      <c r="UE168" s="7"/>
      <c r="UF168" s="7"/>
      <c r="UG168" s="7"/>
      <c r="UH168" s="7"/>
      <c r="UI168" s="7"/>
      <c r="UJ168" s="7"/>
      <c r="UK168" s="7"/>
      <c r="UL168" s="7"/>
      <c r="UM168" s="7"/>
      <c r="UN168" s="7"/>
      <c r="UO168" s="7"/>
      <c r="UP168" s="7"/>
      <c r="UQ168" s="7"/>
      <c r="UR168" s="7"/>
      <c r="US168" s="7"/>
      <c r="UT168" s="7"/>
      <c r="UU168" s="7"/>
      <c r="UV168" s="7"/>
      <c r="UW168" s="7"/>
      <c r="UX168" s="7"/>
      <c r="UY168" s="7"/>
      <c r="UZ168" s="7"/>
      <c r="VA168" s="7"/>
      <c r="VB168" s="7"/>
      <c r="VC168" s="7"/>
      <c r="VD168" s="7"/>
      <c r="VE168" s="7"/>
      <c r="VF168" s="7"/>
      <c r="VG168" s="7"/>
      <c r="VH168" s="7"/>
      <c r="VI168" s="7"/>
      <c r="VJ168" s="7"/>
      <c r="VK168" s="7"/>
      <c r="VL168" s="7"/>
      <c r="VM168" s="7"/>
      <c r="VN168" s="7"/>
      <c r="VO168" s="7"/>
      <c r="VP168" s="7"/>
      <c r="VQ168" s="7"/>
      <c r="VR168" s="7"/>
      <c r="VS168" s="7"/>
      <c r="VT168" s="7"/>
      <c r="VU168" s="7"/>
      <c r="VV168" s="7"/>
      <c r="VW168" s="7"/>
      <c r="VX168" s="7"/>
      <c r="VY168" s="7"/>
      <c r="VZ168" s="7"/>
      <c r="WA168" s="7"/>
      <c r="WB168" s="7"/>
      <c r="WC168" s="7"/>
      <c r="WD168" s="7"/>
      <c r="WE168" s="7"/>
      <c r="WF168" s="7"/>
      <c r="WG168" s="7"/>
      <c r="WH168" s="7"/>
      <c r="WI168" s="7"/>
      <c r="WJ168" s="7"/>
      <c r="WK168" s="7"/>
      <c r="WL168" s="7"/>
      <c r="WM168" s="7"/>
      <c r="WN168" s="7"/>
      <c r="WO168" s="7"/>
      <c r="WP168" s="7"/>
      <c r="WQ168" s="7"/>
      <c r="WR168" s="7"/>
      <c r="WS168" s="7"/>
      <c r="WT168" s="7"/>
      <c r="WU168" s="7"/>
      <c r="WV168" s="7"/>
      <c r="WW168" s="7"/>
      <c r="WX168" s="7"/>
      <c r="WY168" s="7"/>
      <c r="WZ168" s="7"/>
      <c r="XA168" s="7"/>
      <c r="XB168" s="7"/>
      <c r="XC168" s="7"/>
      <c r="XD168" s="7"/>
      <c r="XE168" s="7"/>
      <c r="XF168" s="7"/>
      <c r="XG168" s="7"/>
      <c r="XH168" s="7"/>
      <c r="XI168" s="7"/>
      <c r="XJ168" s="7"/>
      <c r="XK168" s="7"/>
      <c r="XL168" s="7"/>
      <c r="XM168" s="7"/>
      <c r="XN168" s="7"/>
      <c r="XO168" s="7"/>
      <c r="XP168" s="7"/>
      <c r="XQ168" s="7"/>
      <c r="XR168" s="7"/>
      <c r="XS168" s="7"/>
      <c r="XT168" s="7"/>
      <c r="XU168" s="7"/>
      <c r="XV168" s="7"/>
      <c r="XW168" s="7"/>
      <c r="XX168" s="7"/>
      <c r="XY168" s="7"/>
      <c r="XZ168" s="7"/>
      <c r="YA168" s="7"/>
      <c r="YB168" s="7"/>
      <c r="YC168" s="7"/>
      <c r="YD168" s="7"/>
      <c r="YE168" s="7"/>
      <c r="YF168" s="7"/>
      <c r="YG168" s="7"/>
      <c r="YH168" s="7"/>
      <c r="YI168" s="7"/>
      <c r="YJ168" s="7"/>
      <c r="YK168" s="7"/>
      <c r="YL168" s="7"/>
      <c r="YM168" s="7"/>
      <c r="YN168" s="7"/>
      <c r="YO168" s="7"/>
      <c r="YP168" s="7"/>
      <c r="YQ168" s="7"/>
      <c r="YR168" s="7"/>
      <c r="YS168" s="7"/>
      <c r="YT168" s="7"/>
      <c r="YU168" s="7"/>
      <c r="YV168" s="7"/>
      <c r="YW168" s="7"/>
      <c r="YX168" s="7"/>
      <c r="YY168" s="7"/>
      <c r="YZ168" s="7"/>
      <c r="ZA168" s="7"/>
      <c r="ZB168" s="7"/>
      <c r="ZC168" s="7"/>
      <c r="ZD168" s="7"/>
      <c r="ZE168" s="7"/>
      <c r="ZF168" s="7"/>
      <c r="ZG168" s="7"/>
      <c r="ZH168" s="7"/>
      <c r="ZI168" s="7"/>
      <c r="ZJ168" s="7"/>
      <c r="ZK168" s="7"/>
      <c r="ZL168" s="7"/>
      <c r="ZM168" s="7"/>
      <c r="ZN168" s="7"/>
      <c r="ZO168" s="7"/>
      <c r="ZP168" s="7"/>
      <c r="ZQ168" s="7"/>
      <c r="ZR168" s="7"/>
      <c r="ZS168" s="7"/>
      <c r="ZT168" s="7"/>
      <c r="ZU168" s="7"/>
      <c r="ZV168" s="7"/>
      <c r="ZW168" s="7"/>
      <c r="ZX168" s="7"/>
      <c r="ZY168" s="7"/>
      <c r="ZZ168" s="7"/>
      <c r="AAA168" s="7"/>
      <c r="AAB168" s="7"/>
      <c r="AAC168" s="7"/>
      <c r="AAD168" s="7"/>
      <c r="AAE168" s="7"/>
      <c r="AAF168" s="7"/>
      <c r="AAG168" s="7"/>
      <c r="AAH168" s="7"/>
      <c r="AAI168" s="7"/>
      <c r="AAJ168" s="7"/>
      <c r="AAK168" s="7"/>
      <c r="AAL168" s="7"/>
      <c r="AAM168" s="7"/>
      <c r="AAN168" s="7"/>
      <c r="AAO168" s="7"/>
      <c r="AAP168" s="7"/>
      <c r="AAQ168" s="7"/>
      <c r="AAR168" s="7"/>
      <c r="AAS168" s="7"/>
      <c r="AAT168" s="7"/>
      <c r="AAU168" s="7"/>
      <c r="AAV168" s="7"/>
      <c r="AAW168" s="7"/>
      <c r="AAX168" s="7"/>
      <c r="AAY168" s="7"/>
      <c r="AAZ168" s="7"/>
      <c r="ABA168" s="7"/>
      <c r="ABB168" s="7"/>
      <c r="ABC168" s="7"/>
      <c r="ABD168" s="7"/>
      <c r="ABE168" s="7"/>
      <c r="ABF168" s="7"/>
      <c r="ABG168" s="7"/>
      <c r="ABH168" s="7"/>
      <c r="ABI168" s="7"/>
      <c r="ABJ168" s="7"/>
      <c r="ABK168" s="7"/>
      <c r="ABL168" s="7"/>
      <c r="ABM168" s="7"/>
      <c r="ABN168" s="7"/>
      <c r="ABO168" s="7"/>
      <c r="ABP168" s="7"/>
      <c r="ABQ168" s="7"/>
      <c r="ABR168" s="7"/>
      <c r="ABS168" s="7"/>
      <c r="ABT168" s="7"/>
      <c r="ABU168" s="7"/>
      <c r="ABV168" s="7"/>
      <c r="ABW168" s="7"/>
      <c r="ABX168" s="7"/>
      <c r="ABY168" s="7"/>
      <c r="ABZ168" s="7"/>
      <c r="ACA168" s="7"/>
      <c r="ACB168" s="7"/>
      <c r="ACC168" s="7"/>
      <c r="ACD168" s="7"/>
      <c r="ACE168" s="7"/>
      <c r="ACF168" s="7"/>
      <c r="ACG168" s="7"/>
      <c r="ACH168" s="7"/>
      <c r="ACI168" s="7"/>
      <c r="ACJ168" s="7"/>
      <c r="ACK168" s="7"/>
      <c r="ACL168" s="7"/>
      <c r="ACM168" s="7"/>
      <c r="ACN168" s="7"/>
      <c r="ACO168" s="7"/>
      <c r="ACP168" s="7"/>
      <c r="ACQ168" s="7"/>
      <c r="ACR168" s="7"/>
      <c r="ACS168" s="7"/>
      <c r="ACT168" s="7"/>
      <c r="ACU168" s="7"/>
      <c r="ACV168" s="7"/>
      <c r="ACW168" s="7"/>
      <c r="ACX168" s="7"/>
      <c r="ACY168" s="7"/>
      <c r="ACZ168" s="7"/>
      <c r="ADA168" s="7"/>
      <c r="ADB168" s="7"/>
      <c r="ADC168" s="7"/>
      <c r="ADD168" s="7"/>
      <c r="ADE168" s="7"/>
      <c r="ADF168" s="7"/>
      <c r="ADG168" s="7"/>
      <c r="ADH168" s="7"/>
      <c r="ADI168" s="7"/>
      <c r="ADJ168" s="7"/>
      <c r="ADK168" s="7"/>
      <c r="ADL168" s="7"/>
      <c r="ADM168" s="7"/>
      <c r="ADN168" s="7"/>
      <c r="ADO168" s="7"/>
      <c r="ADP168" s="7"/>
      <c r="ADQ168" s="7"/>
      <c r="ADR168" s="7"/>
      <c r="ADS168" s="7"/>
      <c r="ADT168" s="7"/>
      <c r="ADU168" s="7"/>
      <c r="ADV168" s="7"/>
      <c r="ADW168" s="7"/>
      <c r="ADX168" s="7"/>
      <c r="ADY168" s="7"/>
      <c r="ADZ168" s="7"/>
      <c r="AEA168" s="7"/>
      <c r="AEB168" s="7"/>
      <c r="AEC168" s="7"/>
      <c r="AED168" s="7"/>
      <c r="AEE168" s="7"/>
      <c r="AEF168" s="7"/>
      <c r="AEG168" s="7"/>
      <c r="AEH168" s="7"/>
      <c r="AEI168" s="7"/>
      <c r="AEJ168" s="7"/>
      <c r="AEK168" s="7"/>
      <c r="AEL168" s="7"/>
      <c r="AEM168" s="7"/>
      <c r="AEN168" s="7"/>
      <c r="AEO168" s="7"/>
      <c r="AEP168" s="7"/>
      <c r="AEQ168" s="7"/>
      <c r="AER168" s="7"/>
      <c r="AES168" s="7"/>
      <c r="AET168" s="7"/>
      <c r="AEU168" s="7"/>
      <c r="AEV168" s="7"/>
      <c r="AEW168" s="7"/>
      <c r="AEX168" s="7"/>
      <c r="AEY168" s="7"/>
      <c r="AEZ168" s="7"/>
      <c r="AFA168" s="7"/>
      <c r="AFB168" s="7"/>
      <c r="AFC168" s="7"/>
      <c r="AFD168" s="7"/>
      <c r="AFE168" s="7"/>
      <c r="AFF168" s="7"/>
      <c r="AFG168" s="7"/>
      <c r="AFH168" s="7"/>
      <c r="AFI168" s="7"/>
      <c r="AFJ168" s="7"/>
      <c r="AFK168" s="7"/>
      <c r="AFL168" s="7"/>
      <c r="AFM168" s="7"/>
      <c r="AFN168" s="7"/>
      <c r="AFO168" s="7"/>
      <c r="AFP168" s="7"/>
      <c r="AFQ168" s="7"/>
      <c r="AFR168" s="7"/>
      <c r="AFS168" s="7"/>
      <c r="AFT168" s="7"/>
      <c r="AFU168" s="7"/>
      <c r="AFV168" s="7"/>
      <c r="AFW168" s="7"/>
      <c r="AFX168" s="7"/>
      <c r="AFY168" s="7"/>
      <c r="AFZ168" s="7"/>
      <c r="AGA168" s="7"/>
      <c r="AGB168" s="7"/>
      <c r="AGC168" s="7"/>
      <c r="AGD168" s="7"/>
      <c r="AGE168" s="7"/>
      <c r="AGF168" s="7"/>
      <c r="AGG168" s="7"/>
      <c r="AGH168" s="7"/>
      <c r="AGI168" s="7"/>
      <c r="AGJ168" s="7"/>
      <c r="AGK168" s="7"/>
      <c r="AGL168" s="7"/>
      <c r="AGM168" s="7"/>
      <c r="AGN168" s="7"/>
      <c r="AGO168" s="7"/>
      <c r="AGP168" s="7"/>
      <c r="AGQ168" s="7"/>
      <c r="AGR168" s="7"/>
      <c r="AGS168" s="7"/>
      <c r="AGT168" s="7"/>
      <c r="AGU168" s="7"/>
      <c r="AGV168" s="7"/>
      <c r="AGW168" s="7"/>
      <c r="AGX168" s="7"/>
      <c r="AGY168" s="7"/>
      <c r="AGZ168" s="7"/>
      <c r="AHA168" s="7"/>
      <c r="AHB168" s="7"/>
      <c r="AHC168" s="7"/>
      <c r="AHD168" s="7"/>
      <c r="AHE168" s="7"/>
      <c r="AHF168" s="7"/>
      <c r="AHG168" s="7"/>
      <c r="AHH168" s="7"/>
      <c r="AHI168" s="7"/>
      <c r="AHJ168" s="7"/>
      <c r="AHK168" s="7"/>
      <c r="AHL168" s="7"/>
      <c r="AHM168" s="7"/>
      <c r="AHN168" s="7"/>
      <c r="AHO168" s="7"/>
      <c r="AHP168" s="7"/>
      <c r="AHQ168" s="7"/>
      <c r="AHR168" s="7"/>
      <c r="AHS168" s="7"/>
      <c r="AHT168" s="7"/>
      <c r="AHU168" s="7"/>
      <c r="AHV168" s="7"/>
      <c r="AHW168" s="7"/>
      <c r="AHX168" s="7"/>
      <c r="AHY168" s="7"/>
      <c r="AHZ168" s="7"/>
      <c r="AIA168" s="7"/>
      <c r="AIB168" s="7"/>
      <c r="AIC168" s="7"/>
      <c r="AID168" s="7"/>
      <c r="AIE168" s="7"/>
      <c r="AIF168" s="7"/>
      <c r="AIG168" s="7"/>
      <c r="AIH168" s="7"/>
      <c r="AII168" s="7"/>
      <c r="AIJ168" s="7"/>
      <c r="AIK168" s="7"/>
      <c r="AIL168" s="7"/>
      <c r="AIM168" s="7"/>
      <c r="AIN168" s="7"/>
      <c r="AIO168" s="7"/>
      <c r="AIP168" s="7"/>
      <c r="AIQ168" s="7"/>
      <c r="AIR168" s="7"/>
      <c r="AIS168" s="7"/>
      <c r="AIT168" s="7"/>
      <c r="AIU168" s="7"/>
      <c r="AIV168" s="7"/>
      <c r="AIW168" s="7"/>
      <c r="AIX168" s="7"/>
      <c r="AIY168" s="7"/>
      <c r="AIZ168" s="7"/>
      <c r="AJA168" s="7"/>
      <c r="AJB168" s="7"/>
      <c r="AJC168" s="7"/>
      <c r="AJD168" s="7"/>
      <c r="AJE168" s="7"/>
      <c r="AJF168" s="7"/>
      <c r="AJG168" s="7"/>
      <c r="AJH168" s="7"/>
      <c r="AJI168" s="7"/>
      <c r="AJJ168" s="7"/>
      <c r="AJK168" s="7"/>
      <c r="AJL168" s="7"/>
      <c r="AJM168" s="7"/>
      <c r="AJN168" s="7"/>
      <c r="AJO168" s="7"/>
      <c r="AJP168" s="7"/>
      <c r="AJQ168" s="7"/>
      <c r="AJR168" s="7"/>
      <c r="AJS168" s="7"/>
      <c r="AJT168" s="7"/>
      <c r="AJU168" s="7"/>
      <c r="AJV168" s="7"/>
      <c r="AJW168" s="7"/>
      <c r="AJX168" s="7"/>
      <c r="AJY168" s="7"/>
      <c r="AJZ168" s="7"/>
      <c r="AKA168" s="7"/>
      <c r="AKB168" s="7"/>
      <c r="AKC168" s="7"/>
      <c r="AKD168" s="7"/>
      <c r="AKE168" s="7"/>
      <c r="AKF168" s="7"/>
      <c r="AKG168" s="7"/>
      <c r="AKH168" s="7"/>
      <c r="AKI168" s="7"/>
      <c r="AKJ168" s="7"/>
      <c r="AKK168" s="7"/>
      <c r="AKL168" s="7"/>
      <c r="AKM168" s="7"/>
      <c r="AKN168" s="7"/>
      <c r="AKO168" s="7"/>
      <c r="AKP168" s="7"/>
      <c r="AKQ168" s="7"/>
      <c r="AKR168" s="7"/>
      <c r="AKS168" s="7"/>
      <c r="AKT168" s="7"/>
      <c r="AKU168" s="7"/>
      <c r="AKV168" s="7"/>
      <c r="AKW168" s="7"/>
      <c r="AKX168" s="7"/>
      <c r="AKY168" s="7"/>
      <c r="AKZ168" s="7"/>
      <c r="ALA168" s="7"/>
      <c r="ALB168" s="7"/>
      <c r="ALC168" s="7"/>
      <c r="ALD168" s="7"/>
      <c r="ALE168" s="7"/>
      <c r="ALF168" s="7"/>
      <c r="ALG168" s="7"/>
      <c r="ALH168" s="7"/>
      <c r="ALI168" s="7"/>
      <c r="ALJ168" s="7"/>
      <c r="ALK168" s="7"/>
      <c r="ALL168" s="7"/>
      <c r="ALM168" s="7"/>
      <c r="ALN168" s="7"/>
      <c r="ALO168" s="7"/>
      <c r="ALP168" s="7"/>
      <c r="ALQ168" s="7"/>
      <c r="ALR168" s="7"/>
      <c r="ALS168" s="7"/>
      <c r="ALT168" s="7"/>
      <c r="ALU168" s="7"/>
      <c r="ALV168" s="7"/>
      <c r="ALW168" s="7"/>
      <c r="ALX168" s="7"/>
      <c r="ALY168" s="7"/>
      <c r="ALZ168" s="7"/>
      <c r="AMA168" s="7"/>
      <c r="AMB168" s="7"/>
      <c r="AMC168" s="7"/>
      <c r="AMD168" s="7"/>
      <c r="AME168" s="7"/>
      <c r="AMF168" s="7"/>
      <c r="AMG168" s="7"/>
      <c r="AMH168" s="7"/>
      <c r="AMI168" s="7"/>
      <c r="AMJ168" s="7"/>
    </row>
    <row r="169" customFormat="false" ht="15.75" hidden="false" customHeight="true" outlineLevel="0" collapsed="false">
      <c r="A169" s="7"/>
      <c r="B169" s="7"/>
      <c r="C169" s="279" t="s">
        <v>25</v>
      </c>
      <c r="D169" s="280" t="n">
        <f aca="false">D141+D140+D52+D51+D26+D25+D49+D48+D74+D75+D76</f>
        <v>252</v>
      </c>
      <c r="E169" s="281" t="n">
        <f aca="false">F139+F73+F50+F47+F24</f>
        <v>14</v>
      </c>
      <c r="F169" s="320"/>
      <c r="G169" s="272"/>
      <c r="H169" s="24"/>
      <c r="I169" s="279" t="s">
        <v>25</v>
      </c>
      <c r="J169" s="280" t="n">
        <f aca="false">J141+J140+J76+J75+J74+D52+D51+D49+D48+D26+D25+J139</f>
        <v>290</v>
      </c>
      <c r="K169" s="281" t="n">
        <f aca="false">L138+L73+F50+F47+F24</f>
        <v>16</v>
      </c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  <c r="KS169" s="7"/>
      <c r="KT169" s="7"/>
      <c r="KU169" s="7"/>
      <c r="KV169" s="7"/>
      <c r="KW169" s="7"/>
      <c r="KX169" s="7"/>
      <c r="KY169" s="7"/>
      <c r="KZ169" s="7"/>
      <c r="LA169" s="7"/>
      <c r="LB169" s="7"/>
      <c r="LC169" s="7"/>
      <c r="LD169" s="7"/>
      <c r="LE169" s="7"/>
      <c r="LF169" s="7"/>
      <c r="LG169" s="7"/>
      <c r="LH169" s="7"/>
      <c r="LI169" s="7"/>
      <c r="LJ169" s="7"/>
      <c r="LK169" s="7"/>
      <c r="LL169" s="7"/>
      <c r="LM169" s="7"/>
      <c r="LN169" s="7"/>
      <c r="LO169" s="7"/>
      <c r="LP169" s="7"/>
      <c r="LQ169" s="7"/>
      <c r="LR169" s="7"/>
      <c r="LS169" s="7"/>
      <c r="LT169" s="7"/>
      <c r="LU169" s="7"/>
      <c r="LV169" s="7"/>
      <c r="LW169" s="7"/>
      <c r="LX169" s="7"/>
      <c r="LY169" s="7"/>
      <c r="LZ169" s="7"/>
      <c r="MA169" s="7"/>
      <c r="MB169" s="7"/>
      <c r="MC169" s="7"/>
      <c r="MD169" s="7"/>
      <c r="ME169" s="7"/>
      <c r="MF169" s="7"/>
      <c r="MG169" s="7"/>
      <c r="MH169" s="7"/>
      <c r="MI169" s="7"/>
      <c r="MJ169" s="7"/>
      <c r="MK169" s="7"/>
      <c r="ML169" s="7"/>
      <c r="MM169" s="7"/>
      <c r="MN169" s="7"/>
      <c r="MO169" s="7"/>
      <c r="MP169" s="7"/>
      <c r="MQ169" s="7"/>
      <c r="MR169" s="7"/>
      <c r="MS169" s="7"/>
      <c r="MT169" s="7"/>
      <c r="MU169" s="7"/>
      <c r="MV169" s="7"/>
      <c r="MW169" s="7"/>
      <c r="MX169" s="7"/>
      <c r="MY169" s="7"/>
      <c r="MZ169" s="7"/>
      <c r="NA169" s="7"/>
      <c r="NB169" s="7"/>
      <c r="NC169" s="7"/>
      <c r="ND169" s="7"/>
      <c r="NE169" s="7"/>
      <c r="NF169" s="7"/>
      <c r="NG169" s="7"/>
      <c r="NH169" s="7"/>
      <c r="NI169" s="7"/>
      <c r="NJ169" s="7"/>
      <c r="NK169" s="7"/>
      <c r="NL169" s="7"/>
      <c r="NM169" s="7"/>
      <c r="NN169" s="7"/>
      <c r="NO169" s="7"/>
      <c r="NP169" s="7"/>
      <c r="NQ169" s="7"/>
      <c r="NR169" s="7"/>
      <c r="NS169" s="7"/>
      <c r="NT169" s="7"/>
      <c r="NU169" s="7"/>
      <c r="NV169" s="7"/>
      <c r="NW169" s="7"/>
      <c r="NX169" s="7"/>
      <c r="NY169" s="7"/>
      <c r="NZ169" s="7"/>
      <c r="OA169" s="7"/>
      <c r="OB169" s="7"/>
      <c r="OC169" s="7"/>
      <c r="OD169" s="7"/>
      <c r="OE169" s="7"/>
      <c r="OF169" s="7"/>
      <c r="OG169" s="7"/>
      <c r="OH169" s="7"/>
      <c r="OI169" s="7"/>
      <c r="OJ169" s="7"/>
      <c r="OK169" s="7"/>
      <c r="OL169" s="7"/>
      <c r="OM169" s="7"/>
      <c r="ON169" s="7"/>
      <c r="OO169" s="7"/>
      <c r="OP169" s="7"/>
      <c r="OQ169" s="7"/>
      <c r="OR169" s="7"/>
      <c r="OS169" s="7"/>
      <c r="OT169" s="7"/>
      <c r="OU169" s="7"/>
      <c r="OV169" s="7"/>
      <c r="OW169" s="7"/>
      <c r="OX169" s="7"/>
      <c r="OY169" s="7"/>
      <c r="OZ169" s="7"/>
      <c r="PA169" s="7"/>
      <c r="PB169" s="7"/>
      <c r="PC169" s="7"/>
      <c r="PD169" s="7"/>
      <c r="PE169" s="7"/>
      <c r="PF169" s="7"/>
      <c r="PG169" s="7"/>
      <c r="PH169" s="7"/>
      <c r="PI169" s="7"/>
      <c r="PJ169" s="7"/>
      <c r="PK169" s="7"/>
      <c r="PL169" s="7"/>
      <c r="PM169" s="7"/>
      <c r="PN169" s="7"/>
      <c r="PO169" s="7"/>
      <c r="PP169" s="7"/>
      <c r="PQ169" s="7"/>
      <c r="PR169" s="7"/>
      <c r="PS169" s="7"/>
      <c r="PT169" s="7"/>
      <c r="PU169" s="7"/>
      <c r="PV169" s="7"/>
      <c r="PW169" s="7"/>
      <c r="PX169" s="7"/>
      <c r="PY169" s="7"/>
      <c r="PZ169" s="7"/>
      <c r="QA169" s="7"/>
      <c r="QB169" s="7"/>
      <c r="QC169" s="7"/>
      <c r="QD169" s="7"/>
      <c r="QE169" s="7"/>
      <c r="QF169" s="7"/>
      <c r="QG169" s="7"/>
      <c r="QH169" s="7"/>
      <c r="QI169" s="7"/>
      <c r="QJ169" s="7"/>
      <c r="QK169" s="7"/>
      <c r="QL169" s="7"/>
      <c r="QM169" s="7"/>
      <c r="QN169" s="7"/>
      <c r="QO169" s="7"/>
      <c r="QP169" s="7"/>
      <c r="QQ169" s="7"/>
      <c r="QR169" s="7"/>
      <c r="QS169" s="7"/>
      <c r="QT169" s="7"/>
      <c r="QU169" s="7"/>
      <c r="QV169" s="7"/>
      <c r="QW169" s="7"/>
      <c r="QX169" s="7"/>
      <c r="QY169" s="7"/>
      <c r="QZ169" s="7"/>
      <c r="RA169" s="7"/>
      <c r="RB169" s="7"/>
      <c r="RC169" s="7"/>
      <c r="RD169" s="7"/>
      <c r="RE169" s="7"/>
      <c r="RF169" s="7"/>
      <c r="RG169" s="7"/>
      <c r="RH169" s="7"/>
      <c r="RI169" s="7"/>
      <c r="RJ169" s="7"/>
      <c r="RK169" s="7"/>
      <c r="RL169" s="7"/>
      <c r="RM169" s="7"/>
      <c r="RN169" s="7"/>
      <c r="RO169" s="7"/>
      <c r="RP169" s="7"/>
      <c r="RQ169" s="7"/>
      <c r="RR169" s="7"/>
      <c r="RS169" s="7"/>
      <c r="RT169" s="7"/>
      <c r="RU169" s="7"/>
      <c r="RV169" s="7"/>
      <c r="RW169" s="7"/>
      <c r="RX169" s="7"/>
      <c r="RY169" s="7"/>
      <c r="RZ169" s="7"/>
      <c r="SA169" s="7"/>
      <c r="SB169" s="7"/>
      <c r="SC169" s="7"/>
      <c r="SD169" s="7"/>
      <c r="SE169" s="7"/>
      <c r="SF169" s="7"/>
      <c r="SG169" s="7"/>
      <c r="SH169" s="7"/>
      <c r="SI169" s="7"/>
      <c r="SJ169" s="7"/>
      <c r="SK169" s="7"/>
      <c r="SL169" s="7"/>
      <c r="SM169" s="7"/>
      <c r="SN169" s="7"/>
      <c r="SO169" s="7"/>
      <c r="SP169" s="7"/>
      <c r="SQ169" s="7"/>
      <c r="SR169" s="7"/>
      <c r="SS169" s="7"/>
      <c r="ST169" s="7"/>
      <c r="SU169" s="7"/>
      <c r="SV169" s="7"/>
      <c r="SW169" s="7"/>
      <c r="SX169" s="7"/>
      <c r="SY169" s="7"/>
      <c r="SZ169" s="7"/>
      <c r="TA169" s="7"/>
      <c r="TB169" s="7"/>
      <c r="TC169" s="7"/>
      <c r="TD169" s="7"/>
      <c r="TE169" s="7"/>
      <c r="TF169" s="7"/>
      <c r="TG169" s="7"/>
      <c r="TH169" s="7"/>
      <c r="TI169" s="7"/>
      <c r="TJ169" s="7"/>
      <c r="TK169" s="7"/>
      <c r="TL169" s="7"/>
      <c r="TM169" s="7"/>
      <c r="TN169" s="7"/>
      <c r="TO169" s="7"/>
      <c r="TP169" s="7"/>
      <c r="TQ169" s="7"/>
      <c r="TR169" s="7"/>
      <c r="TS169" s="7"/>
      <c r="TT169" s="7"/>
      <c r="TU169" s="7"/>
      <c r="TV169" s="7"/>
      <c r="TW169" s="7"/>
      <c r="TX169" s="7"/>
      <c r="TY169" s="7"/>
      <c r="TZ169" s="7"/>
      <c r="UA169" s="7"/>
      <c r="UB169" s="7"/>
      <c r="UC169" s="7"/>
      <c r="UD169" s="7"/>
      <c r="UE169" s="7"/>
      <c r="UF169" s="7"/>
      <c r="UG169" s="7"/>
      <c r="UH169" s="7"/>
      <c r="UI169" s="7"/>
      <c r="UJ169" s="7"/>
      <c r="UK169" s="7"/>
      <c r="UL169" s="7"/>
      <c r="UM169" s="7"/>
      <c r="UN169" s="7"/>
      <c r="UO169" s="7"/>
      <c r="UP169" s="7"/>
      <c r="UQ169" s="7"/>
      <c r="UR169" s="7"/>
      <c r="US169" s="7"/>
      <c r="UT169" s="7"/>
      <c r="UU169" s="7"/>
      <c r="UV169" s="7"/>
      <c r="UW169" s="7"/>
      <c r="UX169" s="7"/>
      <c r="UY169" s="7"/>
      <c r="UZ169" s="7"/>
      <c r="VA169" s="7"/>
      <c r="VB169" s="7"/>
      <c r="VC169" s="7"/>
      <c r="VD169" s="7"/>
      <c r="VE169" s="7"/>
      <c r="VF169" s="7"/>
      <c r="VG169" s="7"/>
      <c r="VH169" s="7"/>
      <c r="VI169" s="7"/>
      <c r="VJ169" s="7"/>
      <c r="VK169" s="7"/>
      <c r="VL169" s="7"/>
      <c r="VM169" s="7"/>
      <c r="VN169" s="7"/>
      <c r="VO169" s="7"/>
      <c r="VP169" s="7"/>
      <c r="VQ169" s="7"/>
      <c r="VR169" s="7"/>
      <c r="VS169" s="7"/>
      <c r="VT169" s="7"/>
      <c r="VU169" s="7"/>
      <c r="VV169" s="7"/>
      <c r="VW169" s="7"/>
      <c r="VX169" s="7"/>
      <c r="VY169" s="7"/>
      <c r="VZ169" s="7"/>
      <c r="WA169" s="7"/>
      <c r="WB169" s="7"/>
      <c r="WC169" s="7"/>
      <c r="WD169" s="7"/>
      <c r="WE169" s="7"/>
      <c r="WF169" s="7"/>
      <c r="WG169" s="7"/>
      <c r="WH169" s="7"/>
      <c r="WI169" s="7"/>
      <c r="WJ169" s="7"/>
      <c r="WK169" s="7"/>
      <c r="WL169" s="7"/>
      <c r="WM169" s="7"/>
      <c r="WN169" s="7"/>
      <c r="WO169" s="7"/>
      <c r="WP169" s="7"/>
      <c r="WQ169" s="7"/>
      <c r="WR169" s="7"/>
      <c r="WS169" s="7"/>
      <c r="WT169" s="7"/>
      <c r="WU169" s="7"/>
      <c r="WV169" s="7"/>
      <c r="WW169" s="7"/>
      <c r="WX169" s="7"/>
      <c r="WY169" s="7"/>
      <c r="WZ169" s="7"/>
      <c r="XA169" s="7"/>
      <c r="XB169" s="7"/>
      <c r="XC169" s="7"/>
      <c r="XD169" s="7"/>
      <c r="XE169" s="7"/>
      <c r="XF169" s="7"/>
      <c r="XG169" s="7"/>
      <c r="XH169" s="7"/>
      <c r="XI169" s="7"/>
      <c r="XJ169" s="7"/>
      <c r="XK169" s="7"/>
      <c r="XL169" s="7"/>
      <c r="XM169" s="7"/>
      <c r="XN169" s="7"/>
      <c r="XO169" s="7"/>
      <c r="XP169" s="7"/>
      <c r="XQ169" s="7"/>
      <c r="XR169" s="7"/>
      <c r="XS169" s="7"/>
      <c r="XT169" s="7"/>
      <c r="XU169" s="7"/>
      <c r="XV169" s="7"/>
      <c r="XW169" s="7"/>
      <c r="XX169" s="7"/>
      <c r="XY169" s="7"/>
      <c r="XZ169" s="7"/>
      <c r="YA169" s="7"/>
      <c r="YB169" s="7"/>
      <c r="YC169" s="7"/>
      <c r="YD169" s="7"/>
      <c r="YE169" s="7"/>
      <c r="YF169" s="7"/>
      <c r="YG169" s="7"/>
      <c r="YH169" s="7"/>
      <c r="YI169" s="7"/>
      <c r="YJ169" s="7"/>
      <c r="YK169" s="7"/>
      <c r="YL169" s="7"/>
      <c r="YM169" s="7"/>
      <c r="YN169" s="7"/>
      <c r="YO169" s="7"/>
      <c r="YP169" s="7"/>
      <c r="YQ169" s="7"/>
      <c r="YR169" s="7"/>
      <c r="YS169" s="7"/>
      <c r="YT169" s="7"/>
      <c r="YU169" s="7"/>
      <c r="YV169" s="7"/>
      <c r="YW169" s="7"/>
      <c r="YX169" s="7"/>
      <c r="YY169" s="7"/>
      <c r="YZ169" s="7"/>
      <c r="ZA169" s="7"/>
      <c r="ZB169" s="7"/>
      <c r="ZC169" s="7"/>
      <c r="ZD169" s="7"/>
      <c r="ZE169" s="7"/>
      <c r="ZF169" s="7"/>
      <c r="ZG169" s="7"/>
      <c r="ZH169" s="7"/>
      <c r="ZI169" s="7"/>
      <c r="ZJ169" s="7"/>
      <c r="ZK169" s="7"/>
      <c r="ZL169" s="7"/>
      <c r="ZM169" s="7"/>
      <c r="ZN169" s="7"/>
      <c r="ZO169" s="7"/>
      <c r="ZP169" s="7"/>
      <c r="ZQ169" s="7"/>
      <c r="ZR169" s="7"/>
      <c r="ZS169" s="7"/>
      <c r="ZT169" s="7"/>
      <c r="ZU169" s="7"/>
      <c r="ZV169" s="7"/>
      <c r="ZW169" s="7"/>
      <c r="ZX169" s="7"/>
      <c r="ZY169" s="7"/>
      <c r="ZZ169" s="7"/>
      <c r="AAA169" s="7"/>
      <c r="AAB169" s="7"/>
      <c r="AAC169" s="7"/>
      <c r="AAD169" s="7"/>
      <c r="AAE169" s="7"/>
      <c r="AAF169" s="7"/>
      <c r="AAG169" s="7"/>
      <c r="AAH169" s="7"/>
      <c r="AAI169" s="7"/>
      <c r="AAJ169" s="7"/>
      <c r="AAK169" s="7"/>
      <c r="AAL169" s="7"/>
      <c r="AAM169" s="7"/>
      <c r="AAN169" s="7"/>
      <c r="AAO169" s="7"/>
      <c r="AAP169" s="7"/>
      <c r="AAQ169" s="7"/>
      <c r="AAR169" s="7"/>
      <c r="AAS169" s="7"/>
      <c r="AAT169" s="7"/>
      <c r="AAU169" s="7"/>
      <c r="AAV169" s="7"/>
      <c r="AAW169" s="7"/>
      <c r="AAX169" s="7"/>
      <c r="AAY169" s="7"/>
      <c r="AAZ169" s="7"/>
      <c r="ABA169" s="7"/>
      <c r="ABB169" s="7"/>
      <c r="ABC169" s="7"/>
      <c r="ABD169" s="7"/>
      <c r="ABE169" s="7"/>
      <c r="ABF169" s="7"/>
      <c r="ABG169" s="7"/>
      <c r="ABH169" s="7"/>
      <c r="ABI169" s="7"/>
      <c r="ABJ169" s="7"/>
      <c r="ABK169" s="7"/>
      <c r="ABL169" s="7"/>
      <c r="ABM169" s="7"/>
      <c r="ABN169" s="7"/>
      <c r="ABO169" s="7"/>
      <c r="ABP169" s="7"/>
      <c r="ABQ169" s="7"/>
      <c r="ABR169" s="7"/>
      <c r="ABS169" s="7"/>
      <c r="ABT169" s="7"/>
      <c r="ABU169" s="7"/>
      <c r="ABV169" s="7"/>
      <c r="ABW169" s="7"/>
      <c r="ABX169" s="7"/>
      <c r="ABY169" s="7"/>
      <c r="ABZ169" s="7"/>
      <c r="ACA169" s="7"/>
      <c r="ACB169" s="7"/>
      <c r="ACC169" s="7"/>
      <c r="ACD169" s="7"/>
      <c r="ACE169" s="7"/>
      <c r="ACF169" s="7"/>
      <c r="ACG169" s="7"/>
      <c r="ACH169" s="7"/>
      <c r="ACI169" s="7"/>
      <c r="ACJ169" s="7"/>
      <c r="ACK169" s="7"/>
      <c r="ACL169" s="7"/>
      <c r="ACM169" s="7"/>
      <c r="ACN169" s="7"/>
      <c r="ACO169" s="7"/>
      <c r="ACP169" s="7"/>
      <c r="ACQ169" s="7"/>
      <c r="ACR169" s="7"/>
      <c r="ACS169" s="7"/>
      <c r="ACT169" s="7"/>
      <c r="ACU169" s="7"/>
      <c r="ACV169" s="7"/>
      <c r="ACW169" s="7"/>
      <c r="ACX169" s="7"/>
      <c r="ACY169" s="7"/>
      <c r="ACZ169" s="7"/>
      <c r="ADA169" s="7"/>
      <c r="ADB169" s="7"/>
      <c r="ADC169" s="7"/>
      <c r="ADD169" s="7"/>
      <c r="ADE169" s="7"/>
      <c r="ADF169" s="7"/>
      <c r="ADG169" s="7"/>
      <c r="ADH169" s="7"/>
      <c r="ADI169" s="7"/>
      <c r="ADJ169" s="7"/>
      <c r="ADK169" s="7"/>
      <c r="ADL169" s="7"/>
      <c r="ADM169" s="7"/>
      <c r="ADN169" s="7"/>
      <c r="ADO169" s="7"/>
      <c r="ADP169" s="7"/>
      <c r="ADQ169" s="7"/>
      <c r="ADR169" s="7"/>
      <c r="ADS169" s="7"/>
      <c r="ADT169" s="7"/>
      <c r="ADU169" s="7"/>
      <c r="ADV169" s="7"/>
      <c r="ADW169" s="7"/>
      <c r="ADX169" s="7"/>
      <c r="ADY169" s="7"/>
      <c r="ADZ169" s="7"/>
      <c r="AEA169" s="7"/>
      <c r="AEB169" s="7"/>
      <c r="AEC169" s="7"/>
      <c r="AED169" s="7"/>
      <c r="AEE169" s="7"/>
      <c r="AEF169" s="7"/>
      <c r="AEG169" s="7"/>
      <c r="AEH169" s="7"/>
      <c r="AEI169" s="7"/>
      <c r="AEJ169" s="7"/>
      <c r="AEK169" s="7"/>
      <c r="AEL169" s="7"/>
      <c r="AEM169" s="7"/>
      <c r="AEN169" s="7"/>
      <c r="AEO169" s="7"/>
      <c r="AEP169" s="7"/>
      <c r="AEQ169" s="7"/>
      <c r="AER169" s="7"/>
      <c r="AES169" s="7"/>
      <c r="AET169" s="7"/>
      <c r="AEU169" s="7"/>
      <c r="AEV169" s="7"/>
      <c r="AEW169" s="7"/>
      <c r="AEX169" s="7"/>
      <c r="AEY169" s="7"/>
      <c r="AEZ169" s="7"/>
      <c r="AFA169" s="7"/>
      <c r="AFB169" s="7"/>
      <c r="AFC169" s="7"/>
      <c r="AFD169" s="7"/>
      <c r="AFE169" s="7"/>
      <c r="AFF169" s="7"/>
      <c r="AFG169" s="7"/>
      <c r="AFH169" s="7"/>
      <c r="AFI169" s="7"/>
      <c r="AFJ169" s="7"/>
      <c r="AFK169" s="7"/>
      <c r="AFL169" s="7"/>
      <c r="AFM169" s="7"/>
      <c r="AFN169" s="7"/>
      <c r="AFO169" s="7"/>
      <c r="AFP169" s="7"/>
      <c r="AFQ169" s="7"/>
      <c r="AFR169" s="7"/>
      <c r="AFS169" s="7"/>
      <c r="AFT169" s="7"/>
      <c r="AFU169" s="7"/>
      <c r="AFV169" s="7"/>
      <c r="AFW169" s="7"/>
      <c r="AFX169" s="7"/>
      <c r="AFY169" s="7"/>
      <c r="AFZ169" s="7"/>
      <c r="AGA169" s="7"/>
      <c r="AGB169" s="7"/>
      <c r="AGC169" s="7"/>
      <c r="AGD169" s="7"/>
      <c r="AGE169" s="7"/>
      <c r="AGF169" s="7"/>
      <c r="AGG169" s="7"/>
      <c r="AGH169" s="7"/>
      <c r="AGI169" s="7"/>
      <c r="AGJ169" s="7"/>
      <c r="AGK169" s="7"/>
      <c r="AGL169" s="7"/>
      <c r="AGM169" s="7"/>
      <c r="AGN169" s="7"/>
      <c r="AGO169" s="7"/>
      <c r="AGP169" s="7"/>
      <c r="AGQ169" s="7"/>
      <c r="AGR169" s="7"/>
      <c r="AGS169" s="7"/>
      <c r="AGT169" s="7"/>
      <c r="AGU169" s="7"/>
      <c r="AGV169" s="7"/>
      <c r="AGW169" s="7"/>
      <c r="AGX169" s="7"/>
      <c r="AGY169" s="7"/>
      <c r="AGZ169" s="7"/>
      <c r="AHA169" s="7"/>
      <c r="AHB169" s="7"/>
      <c r="AHC169" s="7"/>
      <c r="AHD169" s="7"/>
      <c r="AHE169" s="7"/>
      <c r="AHF169" s="7"/>
      <c r="AHG169" s="7"/>
      <c r="AHH169" s="7"/>
      <c r="AHI169" s="7"/>
      <c r="AHJ169" s="7"/>
      <c r="AHK169" s="7"/>
      <c r="AHL169" s="7"/>
      <c r="AHM169" s="7"/>
      <c r="AHN169" s="7"/>
      <c r="AHO169" s="7"/>
      <c r="AHP169" s="7"/>
      <c r="AHQ169" s="7"/>
      <c r="AHR169" s="7"/>
      <c r="AHS169" s="7"/>
      <c r="AHT169" s="7"/>
      <c r="AHU169" s="7"/>
      <c r="AHV169" s="7"/>
      <c r="AHW169" s="7"/>
      <c r="AHX169" s="7"/>
      <c r="AHY169" s="7"/>
      <c r="AHZ169" s="7"/>
      <c r="AIA169" s="7"/>
      <c r="AIB169" s="7"/>
      <c r="AIC169" s="7"/>
      <c r="AID169" s="7"/>
      <c r="AIE169" s="7"/>
      <c r="AIF169" s="7"/>
      <c r="AIG169" s="7"/>
      <c r="AIH169" s="7"/>
      <c r="AII169" s="7"/>
      <c r="AIJ169" s="7"/>
      <c r="AIK169" s="7"/>
      <c r="AIL169" s="7"/>
      <c r="AIM169" s="7"/>
      <c r="AIN169" s="7"/>
      <c r="AIO169" s="7"/>
      <c r="AIP169" s="7"/>
      <c r="AIQ169" s="7"/>
      <c r="AIR169" s="7"/>
      <c r="AIS169" s="7"/>
      <c r="AIT169" s="7"/>
      <c r="AIU169" s="7"/>
      <c r="AIV169" s="7"/>
      <c r="AIW169" s="7"/>
      <c r="AIX169" s="7"/>
      <c r="AIY169" s="7"/>
      <c r="AIZ169" s="7"/>
      <c r="AJA169" s="7"/>
      <c r="AJB169" s="7"/>
      <c r="AJC169" s="7"/>
      <c r="AJD169" s="7"/>
      <c r="AJE169" s="7"/>
      <c r="AJF169" s="7"/>
      <c r="AJG169" s="7"/>
      <c r="AJH169" s="7"/>
      <c r="AJI169" s="7"/>
      <c r="AJJ169" s="7"/>
      <c r="AJK169" s="7"/>
      <c r="AJL169" s="7"/>
      <c r="AJM169" s="7"/>
      <c r="AJN169" s="7"/>
      <c r="AJO169" s="7"/>
      <c r="AJP169" s="7"/>
      <c r="AJQ169" s="7"/>
      <c r="AJR169" s="7"/>
      <c r="AJS169" s="7"/>
      <c r="AJT169" s="7"/>
      <c r="AJU169" s="7"/>
      <c r="AJV169" s="7"/>
      <c r="AJW169" s="7"/>
      <c r="AJX169" s="7"/>
      <c r="AJY169" s="7"/>
      <c r="AJZ169" s="7"/>
      <c r="AKA169" s="7"/>
      <c r="AKB169" s="7"/>
      <c r="AKC169" s="7"/>
      <c r="AKD169" s="7"/>
      <c r="AKE169" s="7"/>
      <c r="AKF169" s="7"/>
      <c r="AKG169" s="7"/>
      <c r="AKH169" s="7"/>
      <c r="AKI169" s="7"/>
      <c r="AKJ169" s="7"/>
      <c r="AKK169" s="7"/>
      <c r="AKL169" s="7"/>
      <c r="AKM169" s="7"/>
      <c r="AKN169" s="7"/>
      <c r="AKO169" s="7"/>
      <c r="AKP169" s="7"/>
      <c r="AKQ169" s="7"/>
      <c r="AKR169" s="7"/>
      <c r="AKS169" s="7"/>
      <c r="AKT169" s="7"/>
      <c r="AKU169" s="7"/>
      <c r="AKV169" s="7"/>
      <c r="AKW169" s="7"/>
      <c r="AKX169" s="7"/>
      <c r="AKY169" s="7"/>
      <c r="AKZ169" s="7"/>
      <c r="ALA169" s="7"/>
      <c r="ALB169" s="7"/>
      <c r="ALC169" s="7"/>
      <c r="ALD169" s="7"/>
      <c r="ALE169" s="7"/>
      <c r="ALF169" s="7"/>
      <c r="ALG169" s="7"/>
      <c r="ALH169" s="7"/>
      <c r="ALI169" s="7"/>
      <c r="ALJ169" s="7"/>
      <c r="ALK169" s="7"/>
      <c r="ALL169" s="7"/>
      <c r="ALM169" s="7"/>
      <c r="ALN169" s="7"/>
      <c r="ALO169" s="7"/>
      <c r="ALP169" s="7"/>
      <c r="ALQ169" s="7"/>
      <c r="ALR169" s="7"/>
      <c r="ALS169" s="7"/>
      <c r="ALT169" s="7"/>
      <c r="ALU169" s="7"/>
      <c r="ALV169" s="7"/>
      <c r="ALW169" s="7"/>
      <c r="ALX169" s="7"/>
      <c r="ALY169" s="7"/>
      <c r="ALZ169" s="7"/>
      <c r="AMA169" s="7"/>
      <c r="AMB169" s="7"/>
      <c r="AMC169" s="7"/>
      <c r="AMD169" s="7"/>
      <c r="AME169" s="7"/>
      <c r="AMF169" s="7"/>
      <c r="AMG169" s="7"/>
      <c r="AMH169" s="7"/>
      <c r="AMI169" s="7"/>
      <c r="AMJ169" s="7"/>
    </row>
    <row r="170" customFormat="false" ht="15.75" hidden="false" customHeight="true" outlineLevel="0" collapsed="false">
      <c r="A170" s="7"/>
      <c r="B170" s="7"/>
      <c r="C170" s="279" t="s">
        <v>74</v>
      </c>
      <c r="D170" s="280" t="n">
        <f aca="false">D135+D134+D82+D81+D79+D78+D137+D138+D104+D105</f>
        <v>232</v>
      </c>
      <c r="E170" s="281" t="n">
        <f aca="false">F133+F136+F80+F77+F103</f>
        <v>12</v>
      </c>
      <c r="F170" s="320"/>
      <c r="G170" s="272"/>
      <c r="H170" s="24"/>
      <c r="I170" s="279" t="s">
        <v>174</v>
      </c>
      <c r="J170" s="280" t="n">
        <f aca="false">J133+J134+J130+J101+J100+J99+J79+J78+J131</f>
        <v>204</v>
      </c>
      <c r="K170" s="281" t="n">
        <f aca="false">L132+L129+L98+L77</f>
        <v>10</v>
      </c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  <c r="KS170" s="7"/>
      <c r="KT170" s="7"/>
      <c r="KU170" s="7"/>
      <c r="KV170" s="7"/>
      <c r="KW170" s="7"/>
      <c r="KX170" s="7"/>
      <c r="KY170" s="7"/>
      <c r="KZ170" s="7"/>
      <c r="LA170" s="7"/>
      <c r="LB170" s="7"/>
      <c r="LC170" s="7"/>
      <c r="LD170" s="7"/>
      <c r="LE170" s="7"/>
      <c r="LF170" s="7"/>
      <c r="LG170" s="7"/>
      <c r="LH170" s="7"/>
      <c r="LI170" s="7"/>
      <c r="LJ170" s="7"/>
      <c r="LK170" s="7"/>
      <c r="LL170" s="7"/>
      <c r="LM170" s="7"/>
      <c r="LN170" s="7"/>
      <c r="LO170" s="7"/>
      <c r="LP170" s="7"/>
      <c r="LQ170" s="7"/>
      <c r="LR170" s="7"/>
      <c r="LS170" s="7"/>
      <c r="LT170" s="7"/>
      <c r="LU170" s="7"/>
      <c r="LV170" s="7"/>
      <c r="LW170" s="7"/>
      <c r="LX170" s="7"/>
      <c r="LY170" s="7"/>
      <c r="LZ170" s="7"/>
      <c r="MA170" s="7"/>
      <c r="MB170" s="7"/>
      <c r="MC170" s="7"/>
      <c r="MD170" s="7"/>
      <c r="ME170" s="7"/>
      <c r="MF170" s="7"/>
      <c r="MG170" s="7"/>
      <c r="MH170" s="7"/>
      <c r="MI170" s="7"/>
      <c r="MJ170" s="7"/>
      <c r="MK170" s="7"/>
      <c r="ML170" s="7"/>
      <c r="MM170" s="7"/>
      <c r="MN170" s="7"/>
      <c r="MO170" s="7"/>
      <c r="MP170" s="7"/>
      <c r="MQ170" s="7"/>
      <c r="MR170" s="7"/>
      <c r="MS170" s="7"/>
      <c r="MT170" s="7"/>
      <c r="MU170" s="7"/>
      <c r="MV170" s="7"/>
      <c r="MW170" s="7"/>
      <c r="MX170" s="7"/>
      <c r="MY170" s="7"/>
      <c r="MZ170" s="7"/>
      <c r="NA170" s="7"/>
      <c r="NB170" s="7"/>
      <c r="NC170" s="7"/>
      <c r="ND170" s="7"/>
      <c r="NE170" s="7"/>
      <c r="NF170" s="7"/>
      <c r="NG170" s="7"/>
      <c r="NH170" s="7"/>
      <c r="NI170" s="7"/>
      <c r="NJ170" s="7"/>
      <c r="NK170" s="7"/>
      <c r="NL170" s="7"/>
      <c r="NM170" s="7"/>
      <c r="NN170" s="7"/>
      <c r="NO170" s="7"/>
      <c r="NP170" s="7"/>
      <c r="NQ170" s="7"/>
      <c r="NR170" s="7"/>
      <c r="NS170" s="7"/>
      <c r="NT170" s="7"/>
      <c r="NU170" s="7"/>
      <c r="NV170" s="7"/>
      <c r="NW170" s="7"/>
      <c r="NX170" s="7"/>
      <c r="NY170" s="7"/>
      <c r="NZ170" s="7"/>
      <c r="OA170" s="7"/>
      <c r="OB170" s="7"/>
      <c r="OC170" s="7"/>
      <c r="OD170" s="7"/>
      <c r="OE170" s="7"/>
      <c r="OF170" s="7"/>
      <c r="OG170" s="7"/>
      <c r="OH170" s="7"/>
      <c r="OI170" s="7"/>
      <c r="OJ170" s="7"/>
      <c r="OK170" s="7"/>
      <c r="OL170" s="7"/>
      <c r="OM170" s="7"/>
      <c r="ON170" s="7"/>
      <c r="OO170" s="7"/>
      <c r="OP170" s="7"/>
      <c r="OQ170" s="7"/>
      <c r="OR170" s="7"/>
      <c r="OS170" s="7"/>
      <c r="OT170" s="7"/>
      <c r="OU170" s="7"/>
      <c r="OV170" s="7"/>
      <c r="OW170" s="7"/>
      <c r="OX170" s="7"/>
      <c r="OY170" s="7"/>
      <c r="OZ170" s="7"/>
      <c r="PA170" s="7"/>
      <c r="PB170" s="7"/>
      <c r="PC170" s="7"/>
      <c r="PD170" s="7"/>
      <c r="PE170" s="7"/>
      <c r="PF170" s="7"/>
      <c r="PG170" s="7"/>
      <c r="PH170" s="7"/>
      <c r="PI170" s="7"/>
      <c r="PJ170" s="7"/>
      <c r="PK170" s="7"/>
      <c r="PL170" s="7"/>
      <c r="PM170" s="7"/>
      <c r="PN170" s="7"/>
      <c r="PO170" s="7"/>
      <c r="PP170" s="7"/>
      <c r="PQ170" s="7"/>
      <c r="PR170" s="7"/>
      <c r="PS170" s="7"/>
      <c r="PT170" s="7"/>
      <c r="PU170" s="7"/>
      <c r="PV170" s="7"/>
      <c r="PW170" s="7"/>
      <c r="PX170" s="7"/>
      <c r="PY170" s="7"/>
      <c r="PZ170" s="7"/>
      <c r="QA170" s="7"/>
      <c r="QB170" s="7"/>
      <c r="QC170" s="7"/>
      <c r="QD170" s="7"/>
      <c r="QE170" s="7"/>
      <c r="QF170" s="7"/>
      <c r="QG170" s="7"/>
      <c r="QH170" s="7"/>
      <c r="QI170" s="7"/>
      <c r="QJ170" s="7"/>
      <c r="QK170" s="7"/>
      <c r="QL170" s="7"/>
      <c r="QM170" s="7"/>
      <c r="QN170" s="7"/>
      <c r="QO170" s="7"/>
      <c r="QP170" s="7"/>
      <c r="QQ170" s="7"/>
      <c r="QR170" s="7"/>
      <c r="QS170" s="7"/>
      <c r="QT170" s="7"/>
      <c r="QU170" s="7"/>
      <c r="QV170" s="7"/>
      <c r="QW170" s="7"/>
      <c r="QX170" s="7"/>
      <c r="QY170" s="7"/>
      <c r="QZ170" s="7"/>
      <c r="RA170" s="7"/>
      <c r="RB170" s="7"/>
      <c r="RC170" s="7"/>
      <c r="RD170" s="7"/>
      <c r="RE170" s="7"/>
      <c r="RF170" s="7"/>
      <c r="RG170" s="7"/>
      <c r="RH170" s="7"/>
      <c r="RI170" s="7"/>
      <c r="RJ170" s="7"/>
      <c r="RK170" s="7"/>
      <c r="RL170" s="7"/>
      <c r="RM170" s="7"/>
      <c r="RN170" s="7"/>
      <c r="RO170" s="7"/>
      <c r="RP170" s="7"/>
      <c r="RQ170" s="7"/>
      <c r="RR170" s="7"/>
      <c r="RS170" s="7"/>
      <c r="RT170" s="7"/>
      <c r="RU170" s="7"/>
      <c r="RV170" s="7"/>
      <c r="RW170" s="7"/>
      <c r="RX170" s="7"/>
      <c r="RY170" s="7"/>
      <c r="RZ170" s="7"/>
      <c r="SA170" s="7"/>
      <c r="SB170" s="7"/>
      <c r="SC170" s="7"/>
      <c r="SD170" s="7"/>
      <c r="SE170" s="7"/>
      <c r="SF170" s="7"/>
      <c r="SG170" s="7"/>
      <c r="SH170" s="7"/>
      <c r="SI170" s="7"/>
      <c r="SJ170" s="7"/>
      <c r="SK170" s="7"/>
      <c r="SL170" s="7"/>
      <c r="SM170" s="7"/>
      <c r="SN170" s="7"/>
      <c r="SO170" s="7"/>
      <c r="SP170" s="7"/>
      <c r="SQ170" s="7"/>
      <c r="SR170" s="7"/>
      <c r="SS170" s="7"/>
      <c r="ST170" s="7"/>
      <c r="SU170" s="7"/>
      <c r="SV170" s="7"/>
      <c r="SW170" s="7"/>
      <c r="SX170" s="7"/>
      <c r="SY170" s="7"/>
      <c r="SZ170" s="7"/>
      <c r="TA170" s="7"/>
      <c r="TB170" s="7"/>
      <c r="TC170" s="7"/>
      <c r="TD170" s="7"/>
      <c r="TE170" s="7"/>
      <c r="TF170" s="7"/>
      <c r="TG170" s="7"/>
      <c r="TH170" s="7"/>
      <c r="TI170" s="7"/>
      <c r="TJ170" s="7"/>
      <c r="TK170" s="7"/>
      <c r="TL170" s="7"/>
      <c r="TM170" s="7"/>
      <c r="TN170" s="7"/>
      <c r="TO170" s="7"/>
      <c r="TP170" s="7"/>
      <c r="TQ170" s="7"/>
      <c r="TR170" s="7"/>
      <c r="TS170" s="7"/>
      <c r="TT170" s="7"/>
      <c r="TU170" s="7"/>
      <c r="TV170" s="7"/>
      <c r="TW170" s="7"/>
      <c r="TX170" s="7"/>
      <c r="TY170" s="7"/>
      <c r="TZ170" s="7"/>
      <c r="UA170" s="7"/>
      <c r="UB170" s="7"/>
      <c r="UC170" s="7"/>
      <c r="UD170" s="7"/>
      <c r="UE170" s="7"/>
      <c r="UF170" s="7"/>
      <c r="UG170" s="7"/>
      <c r="UH170" s="7"/>
      <c r="UI170" s="7"/>
      <c r="UJ170" s="7"/>
      <c r="UK170" s="7"/>
      <c r="UL170" s="7"/>
      <c r="UM170" s="7"/>
      <c r="UN170" s="7"/>
      <c r="UO170" s="7"/>
      <c r="UP170" s="7"/>
      <c r="UQ170" s="7"/>
      <c r="UR170" s="7"/>
      <c r="US170" s="7"/>
      <c r="UT170" s="7"/>
      <c r="UU170" s="7"/>
      <c r="UV170" s="7"/>
      <c r="UW170" s="7"/>
      <c r="UX170" s="7"/>
      <c r="UY170" s="7"/>
      <c r="UZ170" s="7"/>
      <c r="VA170" s="7"/>
      <c r="VB170" s="7"/>
      <c r="VC170" s="7"/>
      <c r="VD170" s="7"/>
      <c r="VE170" s="7"/>
      <c r="VF170" s="7"/>
      <c r="VG170" s="7"/>
      <c r="VH170" s="7"/>
      <c r="VI170" s="7"/>
      <c r="VJ170" s="7"/>
      <c r="VK170" s="7"/>
      <c r="VL170" s="7"/>
      <c r="VM170" s="7"/>
      <c r="VN170" s="7"/>
      <c r="VO170" s="7"/>
      <c r="VP170" s="7"/>
      <c r="VQ170" s="7"/>
      <c r="VR170" s="7"/>
      <c r="VS170" s="7"/>
      <c r="VT170" s="7"/>
      <c r="VU170" s="7"/>
      <c r="VV170" s="7"/>
      <c r="VW170" s="7"/>
      <c r="VX170" s="7"/>
      <c r="VY170" s="7"/>
      <c r="VZ170" s="7"/>
      <c r="WA170" s="7"/>
      <c r="WB170" s="7"/>
      <c r="WC170" s="7"/>
      <c r="WD170" s="7"/>
      <c r="WE170" s="7"/>
      <c r="WF170" s="7"/>
      <c r="WG170" s="7"/>
      <c r="WH170" s="7"/>
      <c r="WI170" s="7"/>
      <c r="WJ170" s="7"/>
      <c r="WK170" s="7"/>
      <c r="WL170" s="7"/>
      <c r="WM170" s="7"/>
      <c r="WN170" s="7"/>
      <c r="WO170" s="7"/>
      <c r="WP170" s="7"/>
      <c r="WQ170" s="7"/>
      <c r="WR170" s="7"/>
      <c r="WS170" s="7"/>
      <c r="WT170" s="7"/>
      <c r="WU170" s="7"/>
      <c r="WV170" s="7"/>
      <c r="WW170" s="7"/>
      <c r="WX170" s="7"/>
      <c r="WY170" s="7"/>
      <c r="WZ170" s="7"/>
      <c r="XA170" s="7"/>
      <c r="XB170" s="7"/>
      <c r="XC170" s="7"/>
      <c r="XD170" s="7"/>
      <c r="XE170" s="7"/>
      <c r="XF170" s="7"/>
      <c r="XG170" s="7"/>
      <c r="XH170" s="7"/>
      <c r="XI170" s="7"/>
      <c r="XJ170" s="7"/>
      <c r="XK170" s="7"/>
      <c r="XL170" s="7"/>
      <c r="XM170" s="7"/>
      <c r="XN170" s="7"/>
      <c r="XO170" s="7"/>
      <c r="XP170" s="7"/>
      <c r="XQ170" s="7"/>
      <c r="XR170" s="7"/>
      <c r="XS170" s="7"/>
      <c r="XT170" s="7"/>
      <c r="XU170" s="7"/>
      <c r="XV170" s="7"/>
      <c r="XW170" s="7"/>
      <c r="XX170" s="7"/>
      <c r="XY170" s="7"/>
      <c r="XZ170" s="7"/>
      <c r="YA170" s="7"/>
      <c r="YB170" s="7"/>
      <c r="YC170" s="7"/>
      <c r="YD170" s="7"/>
      <c r="YE170" s="7"/>
      <c r="YF170" s="7"/>
      <c r="YG170" s="7"/>
      <c r="YH170" s="7"/>
      <c r="YI170" s="7"/>
      <c r="YJ170" s="7"/>
      <c r="YK170" s="7"/>
      <c r="YL170" s="7"/>
      <c r="YM170" s="7"/>
      <c r="YN170" s="7"/>
      <c r="YO170" s="7"/>
      <c r="YP170" s="7"/>
      <c r="YQ170" s="7"/>
      <c r="YR170" s="7"/>
      <c r="YS170" s="7"/>
      <c r="YT170" s="7"/>
      <c r="YU170" s="7"/>
      <c r="YV170" s="7"/>
      <c r="YW170" s="7"/>
      <c r="YX170" s="7"/>
      <c r="YY170" s="7"/>
      <c r="YZ170" s="7"/>
      <c r="ZA170" s="7"/>
      <c r="ZB170" s="7"/>
      <c r="ZC170" s="7"/>
      <c r="ZD170" s="7"/>
      <c r="ZE170" s="7"/>
      <c r="ZF170" s="7"/>
      <c r="ZG170" s="7"/>
      <c r="ZH170" s="7"/>
      <c r="ZI170" s="7"/>
      <c r="ZJ170" s="7"/>
      <c r="ZK170" s="7"/>
      <c r="ZL170" s="7"/>
      <c r="ZM170" s="7"/>
      <c r="ZN170" s="7"/>
      <c r="ZO170" s="7"/>
      <c r="ZP170" s="7"/>
      <c r="ZQ170" s="7"/>
      <c r="ZR170" s="7"/>
      <c r="ZS170" s="7"/>
      <c r="ZT170" s="7"/>
      <c r="ZU170" s="7"/>
      <c r="ZV170" s="7"/>
      <c r="ZW170" s="7"/>
      <c r="ZX170" s="7"/>
      <c r="ZY170" s="7"/>
      <c r="ZZ170" s="7"/>
      <c r="AAA170" s="7"/>
      <c r="AAB170" s="7"/>
      <c r="AAC170" s="7"/>
      <c r="AAD170" s="7"/>
      <c r="AAE170" s="7"/>
      <c r="AAF170" s="7"/>
      <c r="AAG170" s="7"/>
      <c r="AAH170" s="7"/>
      <c r="AAI170" s="7"/>
      <c r="AAJ170" s="7"/>
      <c r="AAK170" s="7"/>
      <c r="AAL170" s="7"/>
      <c r="AAM170" s="7"/>
      <c r="AAN170" s="7"/>
      <c r="AAO170" s="7"/>
      <c r="AAP170" s="7"/>
      <c r="AAQ170" s="7"/>
      <c r="AAR170" s="7"/>
      <c r="AAS170" s="7"/>
      <c r="AAT170" s="7"/>
      <c r="AAU170" s="7"/>
      <c r="AAV170" s="7"/>
      <c r="AAW170" s="7"/>
      <c r="AAX170" s="7"/>
      <c r="AAY170" s="7"/>
      <c r="AAZ170" s="7"/>
      <c r="ABA170" s="7"/>
      <c r="ABB170" s="7"/>
      <c r="ABC170" s="7"/>
      <c r="ABD170" s="7"/>
      <c r="ABE170" s="7"/>
      <c r="ABF170" s="7"/>
      <c r="ABG170" s="7"/>
      <c r="ABH170" s="7"/>
      <c r="ABI170" s="7"/>
      <c r="ABJ170" s="7"/>
      <c r="ABK170" s="7"/>
      <c r="ABL170" s="7"/>
      <c r="ABM170" s="7"/>
      <c r="ABN170" s="7"/>
      <c r="ABO170" s="7"/>
      <c r="ABP170" s="7"/>
      <c r="ABQ170" s="7"/>
      <c r="ABR170" s="7"/>
      <c r="ABS170" s="7"/>
      <c r="ABT170" s="7"/>
      <c r="ABU170" s="7"/>
      <c r="ABV170" s="7"/>
      <c r="ABW170" s="7"/>
      <c r="ABX170" s="7"/>
      <c r="ABY170" s="7"/>
      <c r="ABZ170" s="7"/>
      <c r="ACA170" s="7"/>
      <c r="ACB170" s="7"/>
      <c r="ACC170" s="7"/>
      <c r="ACD170" s="7"/>
      <c r="ACE170" s="7"/>
      <c r="ACF170" s="7"/>
      <c r="ACG170" s="7"/>
      <c r="ACH170" s="7"/>
      <c r="ACI170" s="7"/>
      <c r="ACJ170" s="7"/>
      <c r="ACK170" s="7"/>
      <c r="ACL170" s="7"/>
      <c r="ACM170" s="7"/>
      <c r="ACN170" s="7"/>
      <c r="ACO170" s="7"/>
      <c r="ACP170" s="7"/>
      <c r="ACQ170" s="7"/>
      <c r="ACR170" s="7"/>
      <c r="ACS170" s="7"/>
      <c r="ACT170" s="7"/>
      <c r="ACU170" s="7"/>
      <c r="ACV170" s="7"/>
      <c r="ACW170" s="7"/>
      <c r="ACX170" s="7"/>
      <c r="ACY170" s="7"/>
      <c r="ACZ170" s="7"/>
      <c r="ADA170" s="7"/>
      <c r="ADB170" s="7"/>
      <c r="ADC170" s="7"/>
      <c r="ADD170" s="7"/>
      <c r="ADE170" s="7"/>
      <c r="ADF170" s="7"/>
      <c r="ADG170" s="7"/>
      <c r="ADH170" s="7"/>
      <c r="ADI170" s="7"/>
      <c r="ADJ170" s="7"/>
      <c r="ADK170" s="7"/>
      <c r="ADL170" s="7"/>
      <c r="ADM170" s="7"/>
      <c r="ADN170" s="7"/>
      <c r="ADO170" s="7"/>
      <c r="ADP170" s="7"/>
      <c r="ADQ170" s="7"/>
      <c r="ADR170" s="7"/>
      <c r="ADS170" s="7"/>
      <c r="ADT170" s="7"/>
      <c r="ADU170" s="7"/>
      <c r="ADV170" s="7"/>
      <c r="ADW170" s="7"/>
      <c r="ADX170" s="7"/>
      <c r="ADY170" s="7"/>
      <c r="ADZ170" s="7"/>
      <c r="AEA170" s="7"/>
      <c r="AEB170" s="7"/>
      <c r="AEC170" s="7"/>
      <c r="AED170" s="7"/>
      <c r="AEE170" s="7"/>
      <c r="AEF170" s="7"/>
      <c r="AEG170" s="7"/>
      <c r="AEH170" s="7"/>
      <c r="AEI170" s="7"/>
      <c r="AEJ170" s="7"/>
      <c r="AEK170" s="7"/>
      <c r="AEL170" s="7"/>
      <c r="AEM170" s="7"/>
      <c r="AEN170" s="7"/>
      <c r="AEO170" s="7"/>
      <c r="AEP170" s="7"/>
      <c r="AEQ170" s="7"/>
      <c r="AER170" s="7"/>
      <c r="AES170" s="7"/>
      <c r="AET170" s="7"/>
      <c r="AEU170" s="7"/>
      <c r="AEV170" s="7"/>
      <c r="AEW170" s="7"/>
      <c r="AEX170" s="7"/>
      <c r="AEY170" s="7"/>
      <c r="AEZ170" s="7"/>
      <c r="AFA170" s="7"/>
      <c r="AFB170" s="7"/>
      <c r="AFC170" s="7"/>
      <c r="AFD170" s="7"/>
      <c r="AFE170" s="7"/>
      <c r="AFF170" s="7"/>
      <c r="AFG170" s="7"/>
      <c r="AFH170" s="7"/>
      <c r="AFI170" s="7"/>
      <c r="AFJ170" s="7"/>
      <c r="AFK170" s="7"/>
      <c r="AFL170" s="7"/>
      <c r="AFM170" s="7"/>
      <c r="AFN170" s="7"/>
      <c r="AFO170" s="7"/>
      <c r="AFP170" s="7"/>
      <c r="AFQ170" s="7"/>
      <c r="AFR170" s="7"/>
      <c r="AFS170" s="7"/>
      <c r="AFT170" s="7"/>
      <c r="AFU170" s="7"/>
      <c r="AFV170" s="7"/>
      <c r="AFW170" s="7"/>
      <c r="AFX170" s="7"/>
      <c r="AFY170" s="7"/>
      <c r="AFZ170" s="7"/>
      <c r="AGA170" s="7"/>
      <c r="AGB170" s="7"/>
      <c r="AGC170" s="7"/>
      <c r="AGD170" s="7"/>
      <c r="AGE170" s="7"/>
      <c r="AGF170" s="7"/>
      <c r="AGG170" s="7"/>
      <c r="AGH170" s="7"/>
      <c r="AGI170" s="7"/>
      <c r="AGJ170" s="7"/>
      <c r="AGK170" s="7"/>
      <c r="AGL170" s="7"/>
      <c r="AGM170" s="7"/>
      <c r="AGN170" s="7"/>
      <c r="AGO170" s="7"/>
      <c r="AGP170" s="7"/>
      <c r="AGQ170" s="7"/>
      <c r="AGR170" s="7"/>
      <c r="AGS170" s="7"/>
      <c r="AGT170" s="7"/>
      <c r="AGU170" s="7"/>
      <c r="AGV170" s="7"/>
      <c r="AGW170" s="7"/>
      <c r="AGX170" s="7"/>
      <c r="AGY170" s="7"/>
      <c r="AGZ170" s="7"/>
      <c r="AHA170" s="7"/>
      <c r="AHB170" s="7"/>
      <c r="AHC170" s="7"/>
      <c r="AHD170" s="7"/>
      <c r="AHE170" s="7"/>
      <c r="AHF170" s="7"/>
      <c r="AHG170" s="7"/>
      <c r="AHH170" s="7"/>
      <c r="AHI170" s="7"/>
      <c r="AHJ170" s="7"/>
      <c r="AHK170" s="7"/>
      <c r="AHL170" s="7"/>
      <c r="AHM170" s="7"/>
      <c r="AHN170" s="7"/>
      <c r="AHO170" s="7"/>
      <c r="AHP170" s="7"/>
      <c r="AHQ170" s="7"/>
      <c r="AHR170" s="7"/>
      <c r="AHS170" s="7"/>
      <c r="AHT170" s="7"/>
      <c r="AHU170" s="7"/>
      <c r="AHV170" s="7"/>
      <c r="AHW170" s="7"/>
      <c r="AHX170" s="7"/>
      <c r="AHY170" s="7"/>
      <c r="AHZ170" s="7"/>
      <c r="AIA170" s="7"/>
      <c r="AIB170" s="7"/>
      <c r="AIC170" s="7"/>
      <c r="AID170" s="7"/>
      <c r="AIE170" s="7"/>
      <c r="AIF170" s="7"/>
      <c r="AIG170" s="7"/>
      <c r="AIH170" s="7"/>
      <c r="AII170" s="7"/>
      <c r="AIJ170" s="7"/>
      <c r="AIK170" s="7"/>
      <c r="AIL170" s="7"/>
      <c r="AIM170" s="7"/>
      <c r="AIN170" s="7"/>
      <c r="AIO170" s="7"/>
      <c r="AIP170" s="7"/>
      <c r="AIQ170" s="7"/>
      <c r="AIR170" s="7"/>
      <c r="AIS170" s="7"/>
      <c r="AIT170" s="7"/>
      <c r="AIU170" s="7"/>
      <c r="AIV170" s="7"/>
      <c r="AIW170" s="7"/>
      <c r="AIX170" s="7"/>
      <c r="AIY170" s="7"/>
      <c r="AIZ170" s="7"/>
      <c r="AJA170" s="7"/>
      <c r="AJB170" s="7"/>
      <c r="AJC170" s="7"/>
      <c r="AJD170" s="7"/>
      <c r="AJE170" s="7"/>
      <c r="AJF170" s="7"/>
      <c r="AJG170" s="7"/>
      <c r="AJH170" s="7"/>
      <c r="AJI170" s="7"/>
      <c r="AJJ170" s="7"/>
      <c r="AJK170" s="7"/>
      <c r="AJL170" s="7"/>
      <c r="AJM170" s="7"/>
      <c r="AJN170" s="7"/>
      <c r="AJO170" s="7"/>
      <c r="AJP170" s="7"/>
      <c r="AJQ170" s="7"/>
      <c r="AJR170" s="7"/>
      <c r="AJS170" s="7"/>
      <c r="AJT170" s="7"/>
      <c r="AJU170" s="7"/>
      <c r="AJV170" s="7"/>
      <c r="AJW170" s="7"/>
      <c r="AJX170" s="7"/>
      <c r="AJY170" s="7"/>
      <c r="AJZ170" s="7"/>
      <c r="AKA170" s="7"/>
      <c r="AKB170" s="7"/>
      <c r="AKC170" s="7"/>
      <c r="AKD170" s="7"/>
      <c r="AKE170" s="7"/>
      <c r="AKF170" s="7"/>
      <c r="AKG170" s="7"/>
      <c r="AKH170" s="7"/>
      <c r="AKI170" s="7"/>
      <c r="AKJ170" s="7"/>
      <c r="AKK170" s="7"/>
      <c r="AKL170" s="7"/>
      <c r="AKM170" s="7"/>
      <c r="AKN170" s="7"/>
      <c r="AKO170" s="7"/>
      <c r="AKP170" s="7"/>
      <c r="AKQ170" s="7"/>
      <c r="AKR170" s="7"/>
      <c r="AKS170" s="7"/>
      <c r="AKT170" s="7"/>
      <c r="AKU170" s="7"/>
      <c r="AKV170" s="7"/>
      <c r="AKW170" s="7"/>
      <c r="AKX170" s="7"/>
      <c r="AKY170" s="7"/>
      <c r="AKZ170" s="7"/>
      <c r="ALA170" s="7"/>
      <c r="ALB170" s="7"/>
      <c r="ALC170" s="7"/>
      <c r="ALD170" s="7"/>
      <c r="ALE170" s="7"/>
      <c r="ALF170" s="7"/>
      <c r="ALG170" s="7"/>
      <c r="ALH170" s="7"/>
      <c r="ALI170" s="7"/>
      <c r="ALJ170" s="7"/>
      <c r="ALK170" s="7"/>
      <c r="ALL170" s="7"/>
      <c r="ALM170" s="7"/>
      <c r="ALN170" s="7"/>
      <c r="ALO170" s="7"/>
      <c r="ALP170" s="7"/>
      <c r="ALQ170" s="7"/>
      <c r="ALR170" s="7"/>
      <c r="ALS170" s="7"/>
      <c r="ALT170" s="7"/>
      <c r="ALU170" s="7"/>
      <c r="ALV170" s="7"/>
      <c r="ALW170" s="7"/>
      <c r="ALX170" s="7"/>
      <c r="ALY170" s="7"/>
      <c r="ALZ170" s="7"/>
      <c r="AMA170" s="7"/>
      <c r="AMB170" s="7"/>
      <c r="AMC170" s="7"/>
      <c r="AMD170" s="7"/>
      <c r="AME170" s="7"/>
      <c r="AMF170" s="7"/>
      <c r="AMG170" s="7"/>
      <c r="AMH170" s="7"/>
      <c r="AMI170" s="7"/>
      <c r="AMJ170" s="7"/>
    </row>
    <row r="171" customFormat="false" ht="15.75" hidden="false" customHeight="true" outlineLevel="0" collapsed="false">
      <c r="A171" s="7"/>
      <c r="B171" s="7"/>
      <c r="C171" s="279" t="s">
        <v>91</v>
      </c>
      <c r="D171" s="280" t="n">
        <f aca="false">D132+D131+D98+D101+D102+D130+D99</f>
        <v>220</v>
      </c>
      <c r="E171" s="281" t="n">
        <f aca="false">F129+F100+F97</f>
        <v>11</v>
      </c>
      <c r="F171" s="320"/>
      <c r="G171" s="272"/>
      <c r="H171" s="24"/>
      <c r="I171" s="279" t="s">
        <v>193</v>
      </c>
      <c r="J171" s="280" t="n">
        <f aca="false">J136+J104+J103+J82+J81+J137+J105</f>
        <v>210</v>
      </c>
      <c r="K171" s="281" t="n">
        <f aca="false">L80+L102+L135</f>
        <v>11</v>
      </c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  <c r="KS171" s="7"/>
      <c r="KT171" s="7"/>
      <c r="KU171" s="7"/>
      <c r="KV171" s="7"/>
      <c r="KW171" s="7"/>
      <c r="KX171" s="7"/>
      <c r="KY171" s="7"/>
      <c r="KZ171" s="7"/>
      <c r="LA171" s="7"/>
      <c r="LB171" s="7"/>
      <c r="LC171" s="7"/>
      <c r="LD171" s="7"/>
      <c r="LE171" s="7"/>
      <c r="LF171" s="7"/>
      <c r="LG171" s="7"/>
      <c r="LH171" s="7"/>
      <c r="LI171" s="7"/>
      <c r="LJ171" s="7"/>
      <c r="LK171" s="7"/>
      <c r="LL171" s="7"/>
      <c r="LM171" s="7"/>
      <c r="LN171" s="7"/>
      <c r="LO171" s="7"/>
      <c r="LP171" s="7"/>
      <c r="LQ171" s="7"/>
      <c r="LR171" s="7"/>
      <c r="LS171" s="7"/>
      <c r="LT171" s="7"/>
      <c r="LU171" s="7"/>
      <c r="LV171" s="7"/>
      <c r="LW171" s="7"/>
      <c r="LX171" s="7"/>
      <c r="LY171" s="7"/>
      <c r="LZ171" s="7"/>
      <c r="MA171" s="7"/>
      <c r="MB171" s="7"/>
      <c r="MC171" s="7"/>
      <c r="MD171" s="7"/>
      <c r="ME171" s="7"/>
      <c r="MF171" s="7"/>
      <c r="MG171" s="7"/>
      <c r="MH171" s="7"/>
      <c r="MI171" s="7"/>
      <c r="MJ171" s="7"/>
      <c r="MK171" s="7"/>
      <c r="ML171" s="7"/>
      <c r="MM171" s="7"/>
      <c r="MN171" s="7"/>
      <c r="MO171" s="7"/>
      <c r="MP171" s="7"/>
      <c r="MQ171" s="7"/>
      <c r="MR171" s="7"/>
      <c r="MS171" s="7"/>
      <c r="MT171" s="7"/>
      <c r="MU171" s="7"/>
      <c r="MV171" s="7"/>
      <c r="MW171" s="7"/>
      <c r="MX171" s="7"/>
      <c r="MY171" s="7"/>
      <c r="MZ171" s="7"/>
      <c r="NA171" s="7"/>
      <c r="NB171" s="7"/>
      <c r="NC171" s="7"/>
      <c r="ND171" s="7"/>
      <c r="NE171" s="7"/>
      <c r="NF171" s="7"/>
      <c r="NG171" s="7"/>
      <c r="NH171" s="7"/>
      <c r="NI171" s="7"/>
      <c r="NJ171" s="7"/>
      <c r="NK171" s="7"/>
      <c r="NL171" s="7"/>
      <c r="NM171" s="7"/>
      <c r="NN171" s="7"/>
      <c r="NO171" s="7"/>
      <c r="NP171" s="7"/>
      <c r="NQ171" s="7"/>
      <c r="NR171" s="7"/>
      <c r="NS171" s="7"/>
      <c r="NT171" s="7"/>
      <c r="NU171" s="7"/>
      <c r="NV171" s="7"/>
      <c r="NW171" s="7"/>
      <c r="NX171" s="7"/>
      <c r="NY171" s="7"/>
      <c r="NZ171" s="7"/>
      <c r="OA171" s="7"/>
      <c r="OB171" s="7"/>
      <c r="OC171" s="7"/>
      <c r="OD171" s="7"/>
      <c r="OE171" s="7"/>
      <c r="OF171" s="7"/>
      <c r="OG171" s="7"/>
      <c r="OH171" s="7"/>
      <c r="OI171" s="7"/>
      <c r="OJ171" s="7"/>
      <c r="OK171" s="7"/>
      <c r="OL171" s="7"/>
      <c r="OM171" s="7"/>
      <c r="ON171" s="7"/>
      <c r="OO171" s="7"/>
      <c r="OP171" s="7"/>
      <c r="OQ171" s="7"/>
      <c r="OR171" s="7"/>
      <c r="OS171" s="7"/>
      <c r="OT171" s="7"/>
      <c r="OU171" s="7"/>
      <c r="OV171" s="7"/>
      <c r="OW171" s="7"/>
      <c r="OX171" s="7"/>
      <c r="OY171" s="7"/>
      <c r="OZ171" s="7"/>
      <c r="PA171" s="7"/>
      <c r="PB171" s="7"/>
      <c r="PC171" s="7"/>
      <c r="PD171" s="7"/>
      <c r="PE171" s="7"/>
      <c r="PF171" s="7"/>
      <c r="PG171" s="7"/>
      <c r="PH171" s="7"/>
      <c r="PI171" s="7"/>
      <c r="PJ171" s="7"/>
      <c r="PK171" s="7"/>
      <c r="PL171" s="7"/>
      <c r="PM171" s="7"/>
      <c r="PN171" s="7"/>
      <c r="PO171" s="7"/>
      <c r="PP171" s="7"/>
      <c r="PQ171" s="7"/>
      <c r="PR171" s="7"/>
      <c r="PS171" s="7"/>
      <c r="PT171" s="7"/>
      <c r="PU171" s="7"/>
      <c r="PV171" s="7"/>
      <c r="PW171" s="7"/>
      <c r="PX171" s="7"/>
      <c r="PY171" s="7"/>
      <c r="PZ171" s="7"/>
      <c r="QA171" s="7"/>
      <c r="QB171" s="7"/>
      <c r="QC171" s="7"/>
      <c r="QD171" s="7"/>
      <c r="QE171" s="7"/>
      <c r="QF171" s="7"/>
      <c r="QG171" s="7"/>
      <c r="QH171" s="7"/>
      <c r="QI171" s="7"/>
      <c r="QJ171" s="7"/>
      <c r="QK171" s="7"/>
      <c r="QL171" s="7"/>
      <c r="QM171" s="7"/>
      <c r="QN171" s="7"/>
      <c r="QO171" s="7"/>
      <c r="QP171" s="7"/>
      <c r="QQ171" s="7"/>
      <c r="QR171" s="7"/>
      <c r="QS171" s="7"/>
      <c r="QT171" s="7"/>
      <c r="QU171" s="7"/>
      <c r="QV171" s="7"/>
      <c r="QW171" s="7"/>
      <c r="QX171" s="7"/>
      <c r="QY171" s="7"/>
      <c r="QZ171" s="7"/>
      <c r="RA171" s="7"/>
      <c r="RB171" s="7"/>
      <c r="RC171" s="7"/>
      <c r="RD171" s="7"/>
      <c r="RE171" s="7"/>
      <c r="RF171" s="7"/>
      <c r="RG171" s="7"/>
      <c r="RH171" s="7"/>
      <c r="RI171" s="7"/>
      <c r="RJ171" s="7"/>
      <c r="RK171" s="7"/>
      <c r="RL171" s="7"/>
      <c r="RM171" s="7"/>
      <c r="RN171" s="7"/>
      <c r="RO171" s="7"/>
      <c r="RP171" s="7"/>
      <c r="RQ171" s="7"/>
      <c r="RR171" s="7"/>
      <c r="RS171" s="7"/>
      <c r="RT171" s="7"/>
      <c r="RU171" s="7"/>
      <c r="RV171" s="7"/>
      <c r="RW171" s="7"/>
      <c r="RX171" s="7"/>
      <c r="RY171" s="7"/>
      <c r="RZ171" s="7"/>
      <c r="SA171" s="7"/>
      <c r="SB171" s="7"/>
      <c r="SC171" s="7"/>
      <c r="SD171" s="7"/>
      <c r="SE171" s="7"/>
      <c r="SF171" s="7"/>
      <c r="SG171" s="7"/>
      <c r="SH171" s="7"/>
      <c r="SI171" s="7"/>
      <c r="SJ171" s="7"/>
      <c r="SK171" s="7"/>
      <c r="SL171" s="7"/>
      <c r="SM171" s="7"/>
      <c r="SN171" s="7"/>
      <c r="SO171" s="7"/>
      <c r="SP171" s="7"/>
      <c r="SQ171" s="7"/>
      <c r="SR171" s="7"/>
      <c r="SS171" s="7"/>
      <c r="ST171" s="7"/>
      <c r="SU171" s="7"/>
      <c r="SV171" s="7"/>
      <c r="SW171" s="7"/>
      <c r="SX171" s="7"/>
      <c r="SY171" s="7"/>
      <c r="SZ171" s="7"/>
      <c r="TA171" s="7"/>
      <c r="TB171" s="7"/>
      <c r="TC171" s="7"/>
      <c r="TD171" s="7"/>
      <c r="TE171" s="7"/>
      <c r="TF171" s="7"/>
      <c r="TG171" s="7"/>
      <c r="TH171" s="7"/>
      <c r="TI171" s="7"/>
      <c r="TJ171" s="7"/>
      <c r="TK171" s="7"/>
      <c r="TL171" s="7"/>
      <c r="TM171" s="7"/>
      <c r="TN171" s="7"/>
      <c r="TO171" s="7"/>
      <c r="TP171" s="7"/>
      <c r="TQ171" s="7"/>
      <c r="TR171" s="7"/>
      <c r="TS171" s="7"/>
      <c r="TT171" s="7"/>
      <c r="TU171" s="7"/>
      <c r="TV171" s="7"/>
      <c r="TW171" s="7"/>
      <c r="TX171" s="7"/>
      <c r="TY171" s="7"/>
      <c r="TZ171" s="7"/>
      <c r="UA171" s="7"/>
      <c r="UB171" s="7"/>
      <c r="UC171" s="7"/>
      <c r="UD171" s="7"/>
      <c r="UE171" s="7"/>
      <c r="UF171" s="7"/>
      <c r="UG171" s="7"/>
      <c r="UH171" s="7"/>
      <c r="UI171" s="7"/>
      <c r="UJ171" s="7"/>
      <c r="UK171" s="7"/>
      <c r="UL171" s="7"/>
      <c r="UM171" s="7"/>
      <c r="UN171" s="7"/>
      <c r="UO171" s="7"/>
      <c r="UP171" s="7"/>
      <c r="UQ171" s="7"/>
      <c r="UR171" s="7"/>
      <c r="US171" s="7"/>
      <c r="UT171" s="7"/>
      <c r="UU171" s="7"/>
      <c r="UV171" s="7"/>
      <c r="UW171" s="7"/>
      <c r="UX171" s="7"/>
      <c r="UY171" s="7"/>
      <c r="UZ171" s="7"/>
      <c r="VA171" s="7"/>
      <c r="VB171" s="7"/>
      <c r="VC171" s="7"/>
      <c r="VD171" s="7"/>
      <c r="VE171" s="7"/>
      <c r="VF171" s="7"/>
      <c r="VG171" s="7"/>
      <c r="VH171" s="7"/>
      <c r="VI171" s="7"/>
      <c r="VJ171" s="7"/>
      <c r="VK171" s="7"/>
      <c r="VL171" s="7"/>
      <c r="VM171" s="7"/>
      <c r="VN171" s="7"/>
      <c r="VO171" s="7"/>
      <c r="VP171" s="7"/>
      <c r="VQ171" s="7"/>
      <c r="VR171" s="7"/>
      <c r="VS171" s="7"/>
      <c r="VT171" s="7"/>
      <c r="VU171" s="7"/>
      <c r="VV171" s="7"/>
      <c r="VW171" s="7"/>
      <c r="VX171" s="7"/>
      <c r="VY171" s="7"/>
      <c r="VZ171" s="7"/>
      <c r="WA171" s="7"/>
      <c r="WB171" s="7"/>
      <c r="WC171" s="7"/>
      <c r="WD171" s="7"/>
      <c r="WE171" s="7"/>
      <c r="WF171" s="7"/>
      <c r="WG171" s="7"/>
      <c r="WH171" s="7"/>
      <c r="WI171" s="7"/>
      <c r="WJ171" s="7"/>
      <c r="WK171" s="7"/>
      <c r="WL171" s="7"/>
      <c r="WM171" s="7"/>
      <c r="WN171" s="7"/>
      <c r="WO171" s="7"/>
      <c r="WP171" s="7"/>
      <c r="WQ171" s="7"/>
      <c r="WR171" s="7"/>
      <c r="WS171" s="7"/>
      <c r="WT171" s="7"/>
      <c r="WU171" s="7"/>
      <c r="WV171" s="7"/>
      <c r="WW171" s="7"/>
      <c r="WX171" s="7"/>
      <c r="WY171" s="7"/>
      <c r="WZ171" s="7"/>
      <c r="XA171" s="7"/>
      <c r="XB171" s="7"/>
      <c r="XC171" s="7"/>
      <c r="XD171" s="7"/>
      <c r="XE171" s="7"/>
      <c r="XF171" s="7"/>
      <c r="XG171" s="7"/>
      <c r="XH171" s="7"/>
      <c r="XI171" s="7"/>
      <c r="XJ171" s="7"/>
      <c r="XK171" s="7"/>
      <c r="XL171" s="7"/>
      <c r="XM171" s="7"/>
      <c r="XN171" s="7"/>
      <c r="XO171" s="7"/>
      <c r="XP171" s="7"/>
      <c r="XQ171" s="7"/>
      <c r="XR171" s="7"/>
      <c r="XS171" s="7"/>
      <c r="XT171" s="7"/>
      <c r="XU171" s="7"/>
      <c r="XV171" s="7"/>
      <c r="XW171" s="7"/>
      <c r="XX171" s="7"/>
      <c r="XY171" s="7"/>
      <c r="XZ171" s="7"/>
      <c r="YA171" s="7"/>
      <c r="YB171" s="7"/>
      <c r="YC171" s="7"/>
      <c r="YD171" s="7"/>
      <c r="YE171" s="7"/>
      <c r="YF171" s="7"/>
      <c r="YG171" s="7"/>
      <c r="YH171" s="7"/>
      <c r="YI171" s="7"/>
      <c r="YJ171" s="7"/>
      <c r="YK171" s="7"/>
      <c r="YL171" s="7"/>
      <c r="YM171" s="7"/>
      <c r="YN171" s="7"/>
      <c r="YO171" s="7"/>
      <c r="YP171" s="7"/>
      <c r="YQ171" s="7"/>
      <c r="YR171" s="7"/>
      <c r="YS171" s="7"/>
      <c r="YT171" s="7"/>
      <c r="YU171" s="7"/>
      <c r="YV171" s="7"/>
      <c r="YW171" s="7"/>
      <c r="YX171" s="7"/>
      <c r="YY171" s="7"/>
      <c r="YZ171" s="7"/>
      <c r="ZA171" s="7"/>
      <c r="ZB171" s="7"/>
      <c r="ZC171" s="7"/>
      <c r="ZD171" s="7"/>
      <c r="ZE171" s="7"/>
      <c r="ZF171" s="7"/>
      <c r="ZG171" s="7"/>
      <c r="ZH171" s="7"/>
      <c r="ZI171" s="7"/>
      <c r="ZJ171" s="7"/>
      <c r="ZK171" s="7"/>
      <c r="ZL171" s="7"/>
      <c r="ZM171" s="7"/>
      <c r="ZN171" s="7"/>
      <c r="ZO171" s="7"/>
      <c r="ZP171" s="7"/>
      <c r="ZQ171" s="7"/>
      <c r="ZR171" s="7"/>
      <c r="ZS171" s="7"/>
      <c r="ZT171" s="7"/>
      <c r="ZU171" s="7"/>
      <c r="ZV171" s="7"/>
      <c r="ZW171" s="7"/>
      <c r="ZX171" s="7"/>
      <c r="ZY171" s="7"/>
      <c r="ZZ171" s="7"/>
      <c r="AAA171" s="7"/>
      <c r="AAB171" s="7"/>
      <c r="AAC171" s="7"/>
      <c r="AAD171" s="7"/>
      <c r="AAE171" s="7"/>
      <c r="AAF171" s="7"/>
      <c r="AAG171" s="7"/>
      <c r="AAH171" s="7"/>
      <c r="AAI171" s="7"/>
      <c r="AAJ171" s="7"/>
      <c r="AAK171" s="7"/>
      <c r="AAL171" s="7"/>
      <c r="AAM171" s="7"/>
      <c r="AAN171" s="7"/>
      <c r="AAO171" s="7"/>
      <c r="AAP171" s="7"/>
      <c r="AAQ171" s="7"/>
      <c r="AAR171" s="7"/>
      <c r="AAS171" s="7"/>
      <c r="AAT171" s="7"/>
      <c r="AAU171" s="7"/>
      <c r="AAV171" s="7"/>
      <c r="AAW171" s="7"/>
      <c r="AAX171" s="7"/>
      <c r="AAY171" s="7"/>
      <c r="AAZ171" s="7"/>
      <c r="ABA171" s="7"/>
      <c r="ABB171" s="7"/>
      <c r="ABC171" s="7"/>
      <c r="ABD171" s="7"/>
      <c r="ABE171" s="7"/>
      <c r="ABF171" s="7"/>
      <c r="ABG171" s="7"/>
      <c r="ABH171" s="7"/>
      <c r="ABI171" s="7"/>
      <c r="ABJ171" s="7"/>
      <c r="ABK171" s="7"/>
      <c r="ABL171" s="7"/>
      <c r="ABM171" s="7"/>
      <c r="ABN171" s="7"/>
      <c r="ABO171" s="7"/>
      <c r="ABP171" s="7"/>
      <c r="ABQ171" s="7"/>
      <c r="ABR171" s="7"/>
      <c r="ABS171" s="7"/>
      <c r="ABT171" s="7"/>
      <c r="ABU171" s="7"/>
      <c r="ABV171" s="7"/>
      <c r="ABW171" s="7"/>
      <c r="ABX171" s="7"/>
      <c r="ABY171" s="7"/>
      <c r="ABZ171" s="7"/>
      <c r="ACA171" s="7"/>
      <c r="ACB171" s="7"/>
      <c r="ACC171" s="7"/>
      <c r="ACD171" s="7"/>
      <c r="ACE171" s="7"/>
      <c r="ACF171" s="7"/>
      <c r="ACG171" s="7"/>
      <c r="ACH171" s="7"/>
      <c r="ACI171" s="7"/>
      <c r="ACJ171" s="7"/>
      <c r="ACK171" s="7"/>
      <c r="ACL171" s="7"/>
      <c r="ACM171" s="7"/>
      <c r="ACN171" s="7"/>
      <c r="ACO171" s="7"/>
      <c r="ACP171" s="7"/>
      <c r="ACQ171" s="7"/>
      <c r="ACR171" s="7"/>
      <c r="ACS171" s="7"/>
      <c r="ACT171" s="7"/>
      <c r="ACU171" s="7"/>
      <c r="ACV171" s="7"/>
      <c r="ACW171" s="7"/>
      <c r="ACX171" s="7"/>
      <c r="ACY171" s="7"/>
      <c r="ACZ171" s="7"/>
      <c r="ADA171" s="7"/>
      <c r="ADB171" s="7"/>
      <c r="ADC171" s="7"/>
      <c r="ADD171" s="7"/>
      <c r="ADE171" s="7"/>
      <c r="ADF171" s="7"/>
      <c r="ADG171" s="7"/>
      <c r="ADH171" s="7"/>
      <c r="ADI171" s="7"/>
      <c r="ADJ171" s="7"/>
      <c r="ADK171" s="7"/>
      <c r="ADL171" s="7"/>
      <c r="ADM171" s="7"/>
      <c r="ADN171" s="7"/>
      <c r="ADO171" s="7"/>
      <c r="ADP171" s="7"/>
      <c r="ADQ171" s="7"/>
      <c r="ADR171" s="7"/>
      <c r="ADS171" s="7"/>
      <c r="ADT171" s="7"/>
      <c r="ADU171" s="7"/>
      <c r="ADV171" s="7"/>
      <c r="ADW171" s="7"/>
      <c r="ADX171" s="7"/>
      <c r="ADY171" s="7"/>
      <c r="ADZ171" s="7"/>
      <c r="AEA171" s="7"/>
      <c r="AEB171" s="7"/>
      <c r="AEC171" s="7"/>
      <c r="AED171" s="7"/>
      <c r="AEE171" s="7"/>
      <c r="AEF171" s="7"/>
      <c r="AEG171" s="7"/>
      <c r="AEH171" s="7"/>
      <c r="AEI171" s="7"/>
      <c r="AEJ171" s="7"/>
      <c r="AEK171" s="7"/>
      <c r="AEL171" s="7"/>
      <c r="AEM171" s="7"/>
      <c r="AEN171" s="7"/>
      <c r="AEO171" s="7"/>
      <c r="AEP171" s="7"/>
      <c r="AEQ171" s="7"/>
      <c r="AER171" s="7"/>
      <c r="AES171" s="7"/>
      <c r="AET171" s="7"/>
      <c r="AEU171" s="7"/>
      <c r="AEV171" s="7"/>
      <c r="AEW171" s="7"/>
      <c r="AEX171" s="7"/>
      <c r="AEY171" s="7"/>
      <c r="AEZ171" s="7"/>
      <c r="AFA171" s="7"/>
      <c r="AFB171" s="7"/>
      <c r="AFC171" s="7"/>
      <c r="AFD171" s="7"/>
      <c r="AFE171" s="7"/>
      <c r="AFF171" s="7"/>
      <c r="AFG171" s="7"/>
      <c r="AFH171" s="7"/>
      <c r="AFI171" s="7"/>
      <c r="AFJ171" s="7"/>
      <c r="AFK171" s="7"/>
      <c r="AFL171" s="7"/>
      <c r="AFM171" s="7"/>
      <c r="AFN171" s="7"/>
      <c r="AFO171" s="7"/>
      <c r="AFP171" s="7"/>
      <c r="AFQ171" s="7"/>
      <c r="AFR171" s="7"/>
      <c r="AFS171" s="7"/>
      <c r="AFT171" s="7"/>
      <c r="AFU171" s="7"/>
      <c r="AFV171" s="7"/>
      <c r="AFW171" s="7"/>
      <c r="AFX171" s="7"/>
      <c r="AFY171" s="7"/>
      <c r="AFZ171" s="7"/>
      <c r="AGA171" s="7"/>
      <c r="AGB171" s="7"/>
      <c r="AGC171" s="7"/>
      <c r="AGD171" s="7"/>
      <c r="AGE171" s="7"/>
      <c r="AGF171" s="7"/>
      <c r="AGG171" s="7"/>
      <c r="AGH171" s="7"/>
      <c r="AGI171" s="7"/>
      <c r="AGJ171" s="7"/>
      <c r="AGK171" s="7"/>
      <c r="AGL171" s="7"/>
      <c r="AGM171" s="7"/>
      <c r="AGN171" s="7"/>
      <c r="AGO171" s="7"/>
      <c r="AGP171" s="7"/>
      <c r="AGQ171" s="7"/>
      <c r="AGR171" s="7"/>
      <c r="AGS171" s="7"/>
      <c r="AGT171" s="7"/>
      <c r="AGU171" s="7"/>
      <c r="AGV171" s="7"/>
      <c r="AGW171" s="7"/>
      <c r="AGX171" s="7"/>
      <c r="AGY171" s="7"/>
      <c r="AGZ171" s="7"/>
      <c r="AHA171" s="7"/>
      <c r="AHB171" s="7"/>
      <c r="AHC171" s="7"/>
      <c r="AHD171" s="7"/>
      <c r="AHE171" s="7"/>
      <c r="AHF171" s="7"/>
      <c r="AHG171" s="7"/>
      <c r="AHH171" s="7"/>
      <c r="AHI171" s="7"/>
      <c r="AHJ171" s="7"/>
      <c r="AHK171" s="7"/>
      <c r="AHL171" s="7"/>
      <c r="AHM171" s="7"/>
      <c r="AHN171" s="7"/>
      <c r="AHO171" s="7"/>
      <c r="AHP171" s="7"/>
      <c r="AHQ171" s="7"/>
      <c r="AHR171" s="7"/>
      <c r="AHS171" s="7"/>
      <c r="AHT171" s="7"/>
      <c r="AHU171" s="7"/>
      <c r="AHV171" s="7"/>
      <c r="AHW171" s="7"/>
      <c r="AHX171" s="7"/>
      <c r="AHY171" s="7"/>
      <c r="AHZ171" s="7"/>
      <c r="AIA171" s="7"/>
      <c r="AIB171" s="7"/>
      <c r="AIC171" s="7"/>
      <c r="AID171" s="7"/>
      <c r="AIE171" s="7"/>
      <c r="AIF171" s="7"/>
      <c r="AIG171" s="7"/>
      <c r="AIH171" s="7"/>
      <c r="AII171" s="7"/>
      <c r="AIJ171" s="7"/>
      <c r="AIK171" s="7"/>
      <c r="AIL171" s="7"/>
      <c r="AIM171" s="7"/>
      <c r="AIN171" s="7"/>
      <c r="AIO171" s="7"/>
      <c r="AIP171" s="7"/>
      <c r="AIQ171" s="7"/>
      <c r="AIR171" s="7"/>
      <c r="AIS171" s="7"/>
      <c r="AIT171" s="7"/>
      <c r="AIU171" s="7"/>
      <c r="AIV171" s="7"/>
      <c r="AIW171" s="7"/>
      <c r="AIX171" s="7"/>
      <c r="AIY171" s="7"/>
      <c r="AIZ171" s="7"/>
      <c r="AJA171" s="7"/>
      <c r="AJB171" s="7"/>
      <c r="AJC171" s="7"/>
      <c r="AJD171" s="7"/>
      <c r="AJE171" s="7"/>
      <c r="AJF171" s="7"/>
      <c r="AJG171" s="7"/>
      <c r="AJH171" s="7"/>
      <c r="AJI171" s="7"/>
      <c r="AJJ171" s="7"/>
      <c r="AJK171" s="7"/>
      <c r="AJL171" s="7"/>
      <c r="AJM171" s="7"/>
      <c r="AJN171" s="7"/>
      <c r="AJO171" s="7"/>
      <c r="AJP171" s="7"/>
      <c r="AJQ171" s="7"/>
      <c r="AJR171" s="7"/>
      <c r="AJS171" s="7"/>
      <c r="AJT171" s="7"/>
      <c r="AJU171" s="7"/>
      <c r="AJV171" s="7"/>
      <c r="AJW171" s="7"/>
      <c r="AJX171" s="7"/>
      <c r="AJY171" s="7"/>
      <c r="AJZ171" s="7"/>
      <c r="AKA171" s="7"/>
      <c r="AKB171" s="7"/>
      <c r="AKC171" s="7"/>
      <c r="AKD171" s="7"/>
      <c r="AKE171" s="7"/>
      <c r="AKF171" s="7"/>
      <c r="AKG171" s="7"/>
      <c r="AKH171" s="7"/>
      <c r="AKI171" s="7"/>
      <c r="AKJ171" s="7"/>
      <c r="AKK171" s="7"/>
      <c r="AKL171" s="7"/>
      <c r="AKM171" s="7"/>
      <c r="AKN171" s="7"/>
      <c r="AKO171" s="7"/>
      <c r="AKP171" s="7"/>
      <c r="AKQ171" s="7"/>
      <c r="AKR171" s="7"/>
      <c r="AKS171" s="7"/>
      <c r="AKT171" s="7"/>
      <c r="AKU171" s="7"/>
      <c r="AKV171" s="7"/>
      <c r="AKW171" s="7"/>
      <c r="AKX171" s="7"/>
      <c r="AKY171" s="7"/>
      <c r="AKZ171" s="7"/>
      <c r="ALA171" s="7"/>
      <c r="ALB171" s="7"/>
      <c r="ALC171" s="7"/>
      <c r="ALD171" s="7"/>
      <c r="ALE171" s="7"/>
      <c r="ALF171" s="7"/>
      <c r="ALG171" s="7"/>
      <c r="ALH171" s="7"/>
      <c r="ALI171" s="7"/>
      <c r="ALJ171" s="7"/>
      <c r="ALK171" s="7"/>
      <c r="ALL171" s="7"/>
      <c r="ALM171" s="7"/>
      <c r="ALN171" s="7"/>
      <c r="ALO171" s="7"/>
      <c r="ALP171" s="7"/>
      <c r="ALQ171" s="7"/>
      <c r="ALR171" s="7"/>
      <c r="ALS171" s="7"/>
      <c r="ALT171" s="7"/>
      <c r="ALU171" s="7"/>
      <c r="ALV171" s="7"/>
      <c r="ALW171" s="7"/>
      <c r="ALX171" s="7"/>
      <c r="ALY171" s="7"/>
      <c r="ALZ171" s="7"/>
      <c r="AMA171" s="7"/>
      <c r="AMB171" s="7"/>
      <c r="AMC171" s="7"/>
      <c r="AMD171" s="7"/>
      <c r="AME171" s="7"/>
      <c r="AMF171" s="7"/>
      <c r="AMG171" s="7"/>
      <c r="AMH171" s="7"/>
      <c r="AMI171" s="7"/>
      <c r="AMJ171" s="7"/>
    </row>
    <row r="172" customFormat="false" ht="15.75" hidden="false" customHeight="true" outlineLevel="0" collapsed="false">
      <c r="A172" s="7"/>
      <c r="B172" s="7"/>
      <c r="C172" s="279" t="s">
        <v>57</v>
      </c>
      <c r="D172" s="280" t="n">
        <f aca="false">D145+D144+D143+D109+D108+D107+D54</f>
        <v>308</v>
      </c>
      <c r="E172" s="281" t="n">
        <f aca="false">F142+F106+F53</f>
        <v>15</v>
      </c>
      <c r="F172" s="320"/>
      <c r="G172" s="272"/>
      <c r="H172" s="24"/>
      <c r="I172" s="279" t="s">
        <v>57</v>
      </c>
      <c r="J172" s="280" t="n">
        <f aca="false">J145+J144+J143+J109+J108+J107+D54</f>
        <v>308</v>
      </c>
      <c r="K172" s="281" t="n">
        <f aca="false">F53+L106+L142</f>
        <v>15</v>
      </c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  <c r="KS172" s="7"/>
      <c r="KT172" s="7"/>
      <c r="KU172" s="7"/>
      <c r="KV172" s="7"/>
      <c r="KW172" s="7"/>
      <c r="KX172" s="7"/>
      <c r="KY172" s="7"/>
      <c r="KZ172" s="7"/>
      <c r="LA172" s="7"/>
      <c r="LB172" s="7"/>
      <c r="LC172" s="7"/>
      <c r="LD172" s="7"/>
      <c r="LE172" s="7"/>
      <c r="LF172" s="7"/>
      <c r="LG172" s="7"/>
      <c r="LH172" s="7"/>
      <c r="LI172" s="7"/>
      <c r="LJ172" s="7"/>
      <c r="LK172" s="7"/>
      <c r="LL172" s="7"/>
      <c r="LM172" s="7"/>
      <c r="LN172" s="7"/>
      <c r="LO172" s="7"/>
      <c r="LP172" s="7"/>
      <c r="LQ172" s="7"/>
      <c r="LR172" s="7"/>
      <c r="LS172" s="7"/>
      <c r="LT172" s="7"/>
      <c r="LU172" s="7"/>
      <c r="LV172" s="7"/>
      <c r="LW172" s="7"/>
      <c r="LX172" s="7"/>
      <c r="LY172" s="7"/>
      <c r="LZ172" s="7"/>
      <c r="MA172" s="7"/>
      <c r="MB172" s="7"/>
      <c r="MC172" s="7"/>
      <c r="MD172" s="7"/>
      <c r="ME172" s="7"/>
      <c r="MF172" s="7"/>
      <c r="MG172" s="7"/>
      <c r="MH172" s="7"/>
      <c r="MI172" s="7"/>
      <c r="MJ172" s="7"/>
      <c r="MK172" s="7"/>
      <c r="ML172" s="7"/>
      <c r="MM172" s="7"/>
      <c r="MN172" s="7"/>
      <c r="MO172" s="7"/>
      <c r="MP172" s="7"/>
      <c r="MQ172" s="7"/>
      <c r="MR172" s="7"/>
      <c r="MS172" s="7"/>
      <c r="MT172" s="7"/>
      <c r="MU172" s="7"/>
      <c r="MV172" s="7"/>
      <c r="MW172" s="7"/>
      <c r="MX172" s="7"/>
      <c r="MY172" s="7"/>
      <c r="MZ172" s="7"/>
      <c r="NA172" s="7"/>
      <c r="NB172" s="7"/>
      <c r="NC172" s="7"/>
      <c r="ND172" s="7"/>
      <c r="NE172" s="7"/>
      <c r="NF172" s="7"/>
      <c r="NG172" s="7"/>
      <c r="NH172" s="7"/>
      <c r="NI172" s="7"/>
      <c r="NJ172" s="7"/>
      <c r="NK172" s="7"/>
      <c r="NL172" s="7"/>
      <c r="NM172" s="7"/>
      <c r="NN172" s="7"/>
      <c r="NO172" s="7"/>
      <c r="NP172" s="7"/>
      <c r="NQ172" s="7"/>
      <c r="NR172" s="7"/>
      <c r="NS172" s="7"/>
      <c r="NT172" s="7"/>
      <c r="NU172" s="7"/>
      <c r="NV172" s="7"/>
      <c r="NW172" s="7"/>
      <c r="NX172" s="7"/>
      <c r="NY172" s="7"/>
      <c r="NZ172" s="7"/>
      <c r="OA172" s="7"/>
      <c r="OB172" s="7"/>
      <c r="OC172" s="7"/>
      <c r="OD172" s="7"/>
      <c r="OE172" s="7"/>
      <c r="OF172" s="7"/>
      <c r="OG172" s="7"/>
      <c r="OH172" s="7"/>
      <c r="OI172" s="7"/>
      <c r="OJ172" s="7"/>
      <c r="OK172" s="7"/>
      <c r="OL172" s="7"/>
      <c r="OM172" s="7"/>
      <c r="ON172" s="7"/>
      <c r="OO172" s="7"/>
      <c r="OP172" s="7"/>
      <c r="OQ172" s="7"/>
      <c r="OR172" s="7"/>
      <c r="OS172" s="7"/>
      <c r="OT172" s="7"/>
      <c r="OU172" s="7"/>
      <c r="OV172" s="7"/>
      <c r="OW172" s="7"/>
      <c r="OX172" s="7"/>
      <c r="OY172" s="7"/>
      <c r="OZ172" s="7"/>
      <c r="PA172" s="7"/>
      <c r="PB172" s="7"/>
      <c r="PC172" s="7"/>
      <c r="PD172" s="7"/>
      <c r="PE172" s="7"/>
      <c r="PF172" s="7"/>
      <c r="PG172" s="7"/>
      <c r="PH172" s="7"/>
      <c r="PI172" s="7"/>
      <c r="PJ172" s="7"/>
      <c r="PK172" s="7"/>
      <c r="PL172" s="7"/>
      <c r="PM172" s="7"/>
      <c r="PN172" s="7"/>
      <c r="PO172" s="7"/>
      <c r="PP172" s="7"/>
      <c r="PQ172" s="7"/>
      <c r="PR172" s="7"/>
      <c r="PS172" s="7"/>
      <c r="PT172" s="7"/>
      <c r="PU172" s="7"/>
      <c r="PV172" s="7"/>
      <c r="PW172" s="7"/>
      <c r="PX172" s="7"/>
      <c r="PY172" s="7"/>
      <c r="PZ172" s="7"/>
      <c r="QA172" s="7"/>
      <c r="QB172" s="7"/>
      <c r="QC172" s="7"/>
      <c r="QD172" s="7"/>
      <c r="QE172" s="7"/>
      <c r="QF172" s="7"/>
      <c r="QG172" s="7"/>
      <c r="QH172" s="7"/>
      <c r="QI172" s="7"/>
      <c r="QJ172" s="7"/>
      <c r="QK172" s="7"/>
      <c r="QL172" s="7"/>
      <c r="QM172" s="7"/>
      <c r="QN172" s="7"/>
      <c r="QO172" s="7"/>
      <c r="QP172" s="7"/>
      <c r="QQ172" s="7"/>
      <c r="QR172" s="7"/>
      <c r="QS172" s="7"/>
      <c r="QT172" s="7"/>
      <c r="QU172" s="7"/>
      <c r="QV172" s="7"/>
      <c r="QW172" s="7"/>
      <c r="QX172" s="7"/>
      <c r="QY172" s="7"/>
      <c r="QZ172" s="7"/>
      <c r="RA172" s="7"/>
      <c r="RB172" s="7"/>
      <c r="RC172" s="7"/>
      <c r="RD172" s="7"/>
      <c r="RE172" s="7"/>
      <c r="RF172" s="7"/>
      <c r="RG172" s="7"/>
      <c r="RH172" s="7"/>
      <c r="RI172" s="7"/>
      <c r="RJ172" s="7"/>
      <c r="RK172" s="7"/>
      <c r="RL172" s="7"/>
      <c r="RM172" s="7"/>
      <c r="RN172" s="7"/>
      <c r="RO172" s="7"/>
      <c r="RP172" s="7"/>
      <c r="RQ172" s="7"/>
      <c r="RR172" s="7"/>
      <c r="RS172" s="7"/>
      <c r="RT172" s="7"/>
      <c r="RU172" s="7"/>
      <c r="RV172" s="7"/>
      <c r="RW172" s="7"/>
      <c r="RX172" s="7"/>
      <c r="RY172" s="7"/>
      <c r="RZ172" s="7"/>
      <c r="SA172" s="7"/>
      <c r="SB172" s="7"/>
      <c r="SC172" s="7"/>
      <c r="SD172" s="7"/>
      <c r="SE172" s="7"/>
      <c r="SF172" s="7"/>
      <c r="SG172" s="7"/>
      <c r="SH172" s="7"/>
      <c r="SI172" s="7"/>
      <c r="SJ172" s="7"/>
      <c r="SK172" s="7"/>
      <c r="SL172" s="7"/>
      <c r="SM172" s="7"/>
      <c r="SN172" s="7"/>
      <c r="SO172" s="7"/>
      <c r="SP172" s="7"/>
      <c r="SQ172" s="7"/>
      <c r="SR172" s="7"/>
      <c r="SS172" s="7"/>
      <c r="ST172" s="7"/>
      <c r="SU172" s="7"/>
      <c r="SV172" s="7"/>
      <c r="SW172" s="7"/>
      <c r="SX172" s="7"/>
      <c r="SY172" s="7"/>
      <c r="SZ172" s="7"/>
      <c r="TA172" s="7"/>
      <c r="TB172" s="7"/>
      <c r="TC172" s="7"/>
      <c r="TD172" s="7"/>
      <c r="TE172" s="7"/>
      <c r="TF172" s="7"/>
      <c r="TG172" s="7"/>
      <c r="TH172" s="7"/>
      <c r="TI172" s="7"/>
      <c r="TJ172" s="7"/>
      <c r="TK172" s="7"/>
      <c r="TL172" s="7"/>
      <c r="TM172" s="7"/>
      <c r="TN172" s="7"/>
      <c r="TO172" s="7"/>
      <c r="TP172" s="7"/>
      <c r="TQ172" s="7"/>
      <c r="TR172" s="7"/>
      <c r="TS172" s="7"/>
      <c r="TT172" s="7"/>
      <c r="TU172" s="7"/>
      <c r="TV172" s="7"/>
      <c r="TW172" s="7"/>
      <c r="TX172" s="7"/>
      <c r="TY172" s="7"/>
      <c r="TZ172" s="7"/>
      <c r="UA172" s="7"/>
      <c r="UB172" s="7"/>
      <c r="UC172" s="7"/>
      <c r="UD172" s="7"/>
      <c r="UE172" s="7"/>
      <c r="UF172" s="7"/>
      <c r="UG172" s="7"/>
      <c r="UH172" s="7"/>
      <c r="UI172" s="7"/>
      <c r="UJ172" s="7"/>
      <c r="UK172" s="7"/>
      <c r="UL172" s="7"/>
      <c r="UM172" s="7"/>
      <c r="UN172" s="7"/>
      <c r="UO172" s="7"/>
      <c r="UP172" s="7"/>
      <c r="UQ172" s="7"/>
      <c r="UR172" s="7"/>
      <c r="US172" s="7"/>
      <c r="UT172" s="7"/>
      <c r="UU172" s="7"/>
      <c r="UV172" s="7"/>
      <c r="UW172" s="7"/>
      <c r="UX172" s="7"/>
      <c r="UY172" s="7"/>
      <c r="UZ172" s="7"/>
      <c r="VA172" s="7"/>
      <c r="VB172" s="7"/>
      <c r="VC172" s="7"/>
      <c r="VD172" s="7"/>
      <c r="VE172" s="7"/>
      <c r="VF172" s="7"/>
      <c r="VG172" s="7"/>
      <c r="VH172" s="7"/>
      <c r="VI172" s="7"/>
      <c r="VJ172" s="7"/>
      <c r="VK172" s="7"/>
      <c r="VL172" s="7"/>
      <c r="VM172" s="7"/>
      <c r="VN172" s="7"/>
      <c r="VO172" s="7"/>
      <c r="VP172" s="7"/>
      <c r="VQ172" s="7"/>
      <c r="VR172" s="7"/>
      <c r="VS172" s="7"/>
      <c r="VT172" s="7"/>
      <c r="VU172" s="7"/>
      <c r="VV172" s="7"/>
      <c r="VW172" s="7"/>
      <c r="VX172" s="7"/>
      <c r="VY172" s="7"/>
      <c r="VZ172" s="7"/>
      <c r="WA172" s="7"/>
      <c r="WB172" s="7"/>
      <c r="WC172" s="7"/>
      <c r="WD172" s="7"/>
      <c r="WE172" s="7"/>
      <c r="WF172" s="7"/>
      <c r="WG172" s="7"/>
      <c r="WH172" s="7"/>
      <c r="WI172" s="7"/>
      <c r="WJ172" s="7"/>
      <c r="WK172" s="7"/>
      <c r="WL172" s="7"/>
      <c r="WM172" s="7"/>
      <c r="WN172" s="7"/>
      <c r="WO172" s="7"/>
      <c r="WP172" s="7"/>
      <c r="WQ172" s="7"/>
      <c r="WR172" s="7"/>
      <c r="WS172" s="7"/>
      <c r="WT172" s="7"/>
      <c r="WU172" s="7"/>
      <c r="WV172" s="7"/>
      <c r="WW172" s="7"/>
      <c r="WX172" s="7"/>
      <c r="WY172" s="7"/>
      <c r="WZ172" s="7"/>
      <c r="XA172" s="7"/>
      <c r="XB172" s="7"/>
      <c r="XC172" s="7"/>
      <c r="XD172" s="7"/>
      <c r="XE172" s="7"/>
      <c r="XF172" s="7"/>
      <c r="XG172" s="7"/>
      <c r="XH172" s="7"/>
      <c r="XI172" s="7"/>
      <c r="XJ172" s="7"/>
      <c r="XK172" s="7"/>
      <c r="XL172" s="7"/>
      <c r="XM172" s="7"/>
      <c r="XN172" s="7"/>
      <c r="XO172" s="7"/>
      <c r="XP172" s="7"/>
      <c r="XQ172" s="7"/>
      <c r="XR172" s="7"/>
      <c r="XS172" s="7"/>
      <c r="XT172" s="7"/>
      <c r="XU172" s="7"/>
      <c r="XV172" s="7"/>
      <c r="XW172" s="7"/>
      <c r="XX172" s="7"/>
      <c r="XY172" s="7"/>
      <c r="XZ172" s="7"/>
      <c r="YA172" s="7"/>
      <c r="YB172" s="7"/>
      <c r="YC172" s="7"/>
      <c r="YD172" s="7"/>
      <c r="YE172" s="7"/>
      <c r="YF172" s="7"/>
      <c r="YG172" s="7"/>
      <c r="YH172" s="7"/>
      <c r="YI172" s="7"/>
      <c r="YJ172" s="7"/>
      <c r="YK172" s="7"/>
      <c r="YL172" s="7"/>
      <c r="YM172" s="7"/>
      <c r="YN172" s="7"/>
      <c r="YO172" s="7"/>
      <c r="YP172" s="7"/>
      <c r="YQ172" s="7"/>
      <c r="YR172" s="7"/>
      <c r="YS172" s="7"/>
      <c r="YT172" s="7"/>
      <c r="YU172" s="7"/>
      <c r="YV172" s="7"/>
      <c r="YW172" s="7"/>
      <c r="YX172" s="7"/>
      <c r="YY172" s="7"/>
      <c r="YZ172" s="7"/>
      <c r="ZA172" s="7"/>
      <c r="ZB172" s="7"/>
      <c r="ZC172" s="7"/>
      <c r="ZD172" s="7"/>
      <c r="ZE172" s="7"/>
      <c r="ZF172" s="7"/>
      <c r="ZG172" s="7"/>
      <c r="ZH172" s="7"/>
      <c r="ZI172" s="7"/>
      <c r="ZJ172" s="7"/>
      <c r="ZK172" s="7"/>
      <c r="ZL172" s="7"/>
      <c r="ZM172" s="7"/>
      <c r="ZN172" s="7"/>
      <c r="ZO172" s="7"/>
      <c r="ZP172" s="7"/>
      <c r="ZQ172" s="7"/>
      <c r="ZR172" s="7"/>
      <c r="ZS172" s="7"/>
      <c r="ZT172" s="7"/>
      <c r="ZU172" s="7"/>
      <c r="ZV172" s="7"/>
      <c r="ZW172" s="7"/>
      <c r="ZX172" s="7"/>
      <c r="ZY172" s="7"/>
      <c r="ZZ172" s="7"/>
      <c r="AAA172" s="7"/>
      <c r="AAB172" s="7"/>
      <c r="AAC172" s="7"/>
      <c r="AAD172" s="7"/>
      <c r="AAE172" s="7"/>
      <c r="AAF172" s="7"/>
      <c r="AAG172" s="7"/>
      <c r="AAH172" s="7"/>
      <c r="AAI172" s="7"/>
      <c r="AAJ172" s="7"/>
      <c r="AAK172" s="7"/>
      <c r="AAL172" s="7"/>
      <c r="AAM172" s="7"/>
      <c r="AAN172" s="7"/>
      <c r="AAO172" s="7"/>
      <c r="AAP172" s="7"/>
      <c r="AAQ172" s="7"/>
      <c r="AAR172" s="7"/>
      <c r="AAS172" s="7"/>
      <c r="AAT172" s="7"/>
      <c r="AAU172" s="7"/>
      <c r="AAV172" s="7"/>
      <c r="AAW172" s="7"/>
      <c r="AAX172" s="7"/>
      <c r="AAY172" s="7"/>
      <c r="AAZ172" s="7"/>
      <c r="ABA172" s="7"/>
      <c r="ABB172" s="7"/>
      <c r="ABC172" s="7"/>
      <c r="ABD172" s="7"/>
      <c r="ABE172" s="7"/>
      <c r="ABF172" s="7"/>
      <c r="ABG172" s="7"/>
      <c r="ABH172" s="7"/>
      <c r="ABI172" s="7"/>
      <c r="ABJ172" s="7"/>
      <c r="ABK172" s="7"/>
      <c r="ABL172" s="7"/>
      <c r="ABM172" s="7"/>
      <c r="ABN172" s="7"/>
      <c r="ABO172" s="7"/>
      <c r="ABP172" s="7"/>
      <c r="ABQ172" s="7"/>
      <c r="ABR172" s="7"/>
      <c r="ABS172" s="7"/>
      <c r="ABT172" s="7"/>
      <c r="ABU172" s="7"/>
      <c r="ABV172" s="7"/>
      <c r="ABW172" s="7"/>
      <c r="ABX172" s="7"/>
      <c r="ABY172" s="7"/>
      <c r="ABZ172" s="7"/>
      <c r="ACA172" s="7"/>
      <c r="ACB172" s="7"/>
      <c r="ACC172" s="7"/>
      <c r="ACD172" s="7"/>
      <c r="ACE172" s="7"/>
      <c r="ACF172" s="7"/>
      <c r="ACG172" s="7"/>
      <c r="ACH172" s="7"/>
      <c r="ACI172" s="7"/>
      <c r="ACJ172" s="7"/>
      <c r="ACK172" s="7"/>
      <c r="ACL172" s="7"/>
      <c r="ACM172" s="7"/>
      <c r="ACN172" s="7"/>
      <c r="ACO172" s="7"/>
      <c r="ACP172" s="7"/>
      <c r="ACQ172" s="7"/>
      <c r="ACR172" s="7"/>
      <c r="ACS172" s="7"/>
      <c r="ACT172" s="7"/>
      <c r="ACU172" s="7"/>
      <c r="ACV172" s="7"/>
      <c r="ACW172" s="7"/>
      <c r="ACX172" s="7"/>
      <c r="ACY172" s="7"/>
      <c r="ACZ172" s="7"/>
      <c r="ADA172" s="7"/>
      <c r="ADB172" s="7"/>
      <c r="ADC172" s="7"/>
      <c r="ADD172" s="7"/>
      <c r="ADE172" s="7"/>
      <c r="ADF172" s="7"/>
      <c r="ADG172" s="7"/>
      <c r="ADH172" s="7"/>
      <c r="ADI172" s="7"/>
      <c r="ADJ172" s="7"/>
      <c r="ADK172" s="7"/>
      <c r="ADL172" s="7"/>
      <c r="ADM172" s="7"/>
      <c r="ADN172" s="7"/>
      <c r="ADO172" s="7"/>
      <c r="ADP172" s="7"/>
      <c r="ADQ172" s="7"/>
      <c r="ADR172" s="7"/>
      <c r="ADS172" s="7"/>
      <c r="ADT172" s="7"/>
      <c r="ADU172" s="7"/>
      <c r="ADV172" s="7"/>
      <c r="ADW172" s="7"/>
      <c r="ADX172" s="7"/>
      <c r="ADY172" s="7"/>
      <c r="ADZ172" s="7"/>
      <c r="AEA172" s="7"/>
      <c r="AEB172" s="7"/>
      <c r="AEC172" s="7"/>
      <c r="AED172" s="7"/>
      <c r="AEE172" s="7"/>
      <c r="AEF172" s="7"/>
      <c r="AEG172" s="7"/>
      <c r="AEH172" s="7"/>
      <c r="AEI172" s="7"/>
      <c r="AEJ172" s="7"/>
      <c r="AEK172" s="7"/>
      <c r="AEL172" s="7"/>
      <c r="AEM172" s="7"/>
      <c r="AEN172" s="7"/>
      <c r="AEO172" s="7"/>
      <c r="AEP172" s="7"/>
      <c r="AEQ172" s="7"/>
      <c r="AER172" s="7"/>
      <c r="AES172" s="7"/>
      <c r="AET172" s="7"/>
      <c r="AEU172" s="7"/>
      <c r="AEV172" s="7"/>
      <c r="AEW172" s="7"/>
      <c r="AEX172" s="7"/>
      <c r="AEY172" s="7"/>
      <c r="AEZ172" s="7"/>
      <c r="AFA172" s="7"/>
      <c r="AFB172" s="7"/>
      <c r="AFC172" s="7"/>
      <c r="AFD172" s="7"/>
      <c r="AFE172" s="7"/>
      <c r="AFF172" s="7"/>
      <c r="AFG172" s="7"/>
      <c r="AFH172" s="7"/>
      <c r="AFI172" s="7"/>
      <c r="AFJ172" s="7"/>
      <c r="AFK172" s="7"/>
      <c r="AFL172" s="7"/>
      <c r="AFM172" s="7"/>
      <c r="AFN172" s="7"/>
      <c r="AFO172" s="7"/>
      <c r="AFP172" s="7"/>
      <c r="AFQ172" s="7"/>
      <c r="AFR172" s="7"/>
      <c r="AFS172" s="7"/>
      <c r="AFT172" s="7"/>
      <c r="AFU172" s="7"/>
      <c r="AFV172" s="7"/>
      <c r="AFW172" s="7"/>
      <c r="AFX172" s="7"/>
      <c r="AFY172" s="7"/>
      <c r="AFZ172" s="7"/>
      <c r="AGA172" s="7"/>
      <c r="AGB172" s="7"/>
      <c r="AGC172" s="7"/>
      <c r="AGD172" s="7"/>
      <c r="AGE172" s="7"/>
      <c r="AGF172" s="7"/>
      <c r="AGG172" s="7"/>
      <c r="AGH172" s="7"/>
      <c r="AGI172" s="7"/>
      <c r="AGJ172" s="7"/>
      <c r="AGK172" s="7"/>
      <c r="AGL172" s="7"/>
      <c r="AGM172" s="7"/>
      <c r="AGN172" s="7"/>
      <c r="AGO172" s="7"/>
      <c r="AGP172" s="7"/>
      <c r="AGQ172" s="7"/>
      <c r="AGR172" s="7"/>
      <c r="AGS172" s="7"/>
      <c r="AGT172" s="7"/>
      <c r="AGU172" s="7"/>
      <c r="AGV172" s="7"/>
      <c r="AGW172" s="7"/>
      <c r="AGX172" s="7"/>
      <c r="AGY172" s="7"/>
      <c r="AGZ172" s="7"/>
      <c r="AHA172" s="7"/>
      <c r="AHB172" s="7"/>
      <c r="AHC172" s="7"/>
      <c r="AHD172" s="7"/>
      <c r="AHE172" s="7"/>
      <c r="AHF172" s="7"/>
      <c r="AHG172" s="7"/>
      <c r="AHH172" s="7"/>
      <c r="AHI172" s="7"/>
      <c r="AHJ172" s="7"/>
      <c r="AHK172" s="7"/>
      <c r="AHL172" s="7"/>
      <c r="AHM172" s="7"/>
      <c r="AHN172" s="7"/>
      <c r="AHO172" s="7"/>
      <c r="AHP172" s="7"/>
      <c r="AHQ172" s="7"/>
      <c r="AHR172" s="7"/>
      <c r="AHS172" s="7"/>
      <c r="AHT172" s="7"/>
      <c r="AHU172" s="7"/>
      <c r="AHV172" s="7"/>
      <c r="AHW172" s="7"/>
      <c r="AHX172" s="7"/>
      <c r="AHY172" s="7"/>
      <c r="AHZ172" s="7"/>
      <c r="AIA172" s="7"/>
      <c r="AIB172" s="7"/>
      <c r="AIC172" s="7"/>
      <c r="AID172" s="7"/>
      <c r="AIE172" s="7"/>
      <c r="AIF172" s="7"/>
      <c r="AIG172" s="7"/>
      <c r="AIH172" s="7"/>
      <c r="AII172" s="7"/>
      <c r="AIJ172" s="7"/>
      <c r="AIK172" s="7"/>
      <c r="AIL172" s="7"/>
      <c r="AIM172" s="7"/>
      <c r="AIN172" s="7"/>
      <c r="AIO172" s="7"/>
      <c r="AIP172" s="7"/>
      <c r="AIQ172" s="7"/>
      <c r="AIR172" s="7"/>
      <c r="AIS172" s="7"/>
      <c r="AIT172" s="7"/>
      <c r="AIU172" s="7"/>
      <c r="AIV172" s="7"/>
      <c r="AIW172" s="7"/>
      <c r="AIX172" s="7"/>
      <c r="AIY172" s="7"/>
      <c r="AIZ172" s="7"/>
      <c r="AJA172" s="7"/>
      <c r="AJB172" s="7"/>
      <c r="AJC172" s="7"/>
      <c r="AJD172" s="7"/>
      <c r="AJE172" s="7"/>
      <c r="AJF172" s="7"/>
      <c r="AJG172" s="7"/>
      <c r="AJH172" s="7"/>
      <c r="AJI172" s="7"/>
      <c r="AJJ172" s="7"/>
      <c r="AJK172" s="7"/>
      <c r="AJL172" s="7"/>
      <c r="AJM172" s="7"/>
      <c r="AJN172" s="7"/>
      <c r="AJO172" s="7"/>
      <c r="AJP172" s="7"/>
      <c r="AJQ172" s="7"/>
      <c r="AJR172" s="7"/>
      <c r="AJS172" s="7"/>
      <c r="AJT172" s="7"/>
      <c r="AJU172" s="7"/>
      <c r="AJV172" s="7"/>
      <c r="AJW172" s="7"/>
      <c r="AJX172" s="7"/>
      <c r="AJY172" s="7"/>
      <c r="AJZ172" s="7"/>
      <c r="AKA172" s="7"/>
      <c r="AKB172" s="7"/>
      <c r="AKC172" s="7"/>
      <c r="AKD172" s="7"/>
      <c r="AKE172" s="7"/>
      <c r="AKF172" s="7"/>
      <c r="AKG172" s="7"/>
      <c r="AKH172" s="7"/>
      <c r="AKI172" s="7"/>
      <c r="AKJ172" s="7"/>
      <c r="AKK172" s="7"/>
      <c r="AKL172" s="7"/>
      <c r="AKM172" s="7"/>
      <c r="AKN172" s="7"/>
      <c r="AKO172" s="7"/>
      <c r="AKP172" s="7"/>
      <c r="AKQ172" s="7"/>
      <c r="AKR172" s="7"/>
      <c r="AKS172" s="7"/>
      <c r="AKT172" s="7"/>
      <c r="AKU172" s="7"/>
      <c r="AKV172" s="7"/>
      <c r="AKW172" s="7"/>
      <c r="AKX172" s="7"/>
      <c r="AKY172" s="7"/>
      <c r="AKZ172" s="7"/>
      <c r="ALA172" s="7"/>
      <c r="ALB172" s="7"/>
      <c r="ALC172" s="7"/>
      <c r="ALD172" s="7"/>
      <c r="ALE172" s="7"/>
      <c r="ALF172" s="7"/>
      <c r="ALG172" s="7"/>
      <c r="ALH172" s="7"/>
      <c r="ALI172" s="7"/>
      <c r="ALJ172" s="7"/>
      <c r="ALK172" s="7"/>
      <c r="ALL172" s="7"/>
      <c r="ALM172" s="7"/>
      <c r="ALN172" s="7"/>
      <c r="ALO172" s="7"/>
      <c r="ALP172" s="7"/>
      <c r="ALQ172" s="7"/>
      <c r="ALR172" s="7"/>
      <c r="ALS172" s="7"/>
      <c r="ALT172" s="7"/>
      <c r="ALU172" s="7"/>
      <c r="ALV172" s="7"/>
      <c r="ALW172" s="7"/>
      <c r="ALX172" s="7"/>
      <c r="ALY172" s="7"/>
      <c r="ALZ172" s="7"/>
      <c r="AMA172" s="7"/>
      <c r="AMB172" s="7"/>
      <c r="AMC172" s="7"/>
      <c r="AMD172" s="7"/>
      <c r="AME172" s="7"/>
      <c r="AMF172" s="7"/>
      <c r="AMG172" s="7"/>
      <c r="AMH172" s="7"/>
      <c r="AMI172" s="7"/>
      <c r="AMJ172" s="7"/>
    </row>
    <row r="173" customFormat="false" ht="15.75" hidden="false" customHeight="true" outlineLevel="0" collapsed="false">
      <c r="A173" s="7"/>
      <c r="B173" s="7"/>
      <c r="C173" s="282" t="s">
        <v>190</v>
      </c>
      <c r="D173" s="283" t="n">
        <f aca="false">SUM(D169:D172)</f>
        <v>1012</v>
      </c>
      <c r="E173" s="283" t="n">
        <f aca="false">SUM(E169:E172)</f>
        <v>52</v>
      </c>
      <c r="F173" s="320"/>
      <c r="G173" s="272"/>
      <c r="H173" s="24"/>
      <c r="I173" s="282" t="s">
        <v>190</v>
      </c>
      <c r="J173" s="284" t="n">
        <f aca="false">J169+J170+J171+J172</f>
        <v>1012</v>
      </c>
      <c r="K173" s="285" t="n">
        <f aca="false">K169+K170+K171+K172</f>
        <v>52</v>
      </c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  <c r="KS173" s="7"/>
      <c r="KT173" s="7"/>
      <c r="KU173" s="7"/>
      <c r="KV173" s="7"/>
      <c r="KW173" s="7"/>
      <c r="KX173" s="7"/>
      <c r="KY173" s="7"/>
      <c r="KZ173" s="7"/>
      <c r="LA173" s="7"/>
      <c r="LB173" s="7"/>
      <c r="LC173" s="7"/>
      <c r="LD173" s="7"/>
      <c r="LE173" s="7"/>
      <c r="LF173" s="7"/>
      <c r="LG173" s="7"/>
      <c r="LH173" s="7"/>
      <c r="LI173" s="7"/>
      <c r="LJ173" s="7"/>
      <c r="LK173" s="7"/>
      <c r="LL173" s="7"/>
      <c r="LM173" s="7"/>
      <c r="LN173" s="7"/>
      <c r="LO173" s="7"/>
      <c r="LP173" s="7"/>
      <c r="LQ173" s="7"/>
      <c r="LR173" s="7"/>
      <c r="LS173" s="7"/>
      <c r="LT173" s="7"/>
      <c r="LU173" s="7"/>
      <c r="LV173" s="7"/>
      <c r="LW173" s="7"/>
      <c r="LX173" s="7"/>
      <c r="LY173" s="7"/>
      <c r="LZ173" s="7"/>
      <c r="MA173" s="7"/>
      <c r="MB173" s="7"/>
      <c r="MC173" s="7"/>
      <c r="MD173" s="7"/>
      <c r="ME173" s="7"/>
      <c r="MF173" s="7"/>
      <c r="MG173" s="7"/>
      <c r="MH173" s="7"/>
      <c r="MI173" s="7"/>
      <c r="MJ173" s="7"/>
      <c r="MK173" s="7"/>
      <c r="ML173" s="7"/>
      <c r="MM173" s="7"/>
      <c r="MN173" s="7"/>
      <c r="MO173" s="7"/>
      <c r="MP173" s="7"/>
      <c r="MQ173" s="7"/>
      <c r="MR173" s="7"/>
      <c r="MS173" s="7"/>
      <c r="MT173" s="7"/>
      <c r="MU173" s="7"/>
      <c r="MV173" s="7"/>
      <c r="MW173" s="7"/>
      <c r="MX173" s="7"/>
      <c r="MY173" s="7"/>
      <c r="MZ173" s="7"/>
      <c r="NA173" s="7"/>
      <c r="NB173" s="7"/>
      <c r="NC173" s="7"/>
      <c r="ND173" s="7"/>
      <c r="NE173" s="7"/>
      <c r="NF173" s="7"/>
      <c r="NG173" s="7"/>
      <c r="NH173" s="7"/>
      <c r="NI173" s="7"/>
      <c r="NJ173" s="7"/>
      <c r="NK173" s="7"/>
      <c r="NL173" s="7"/>
      <c r="NM173" s="7"/>
      <c r="NN173" s="7"/>
      <c r="NO173" s="7"/>
      <c r="NP173" s="7"/>
      <c r="NQ173" s="7"/>
      <c r="NR173" s="7"/>
      <c r="NS173" s="7"/>
      <c r="NT173" s="7"/>
      <c r="NU173" s="7"/>
      <c r="NV173" s="7"/>
      <c r="NW173" s="7"/>
      <c r="NX173" s="7"/>
      <c r="NY173" s="7"/>
      <c r="NZ173" s="7"/>
      <c r="OA173" s="7"/>
      <c r="OB173" s="7"/>
      <c r="OC173" s="7"/>
      <c r="OD173" s="7"/>
      <c r="OE173" s="7"/>
      <c r="OF173" s="7"/>
      <c r="OG173" s="7"/>
      <c r="OH173" s="7"/>
      <c r="OI173" s="7"/>
      <c r="OJ173" s="7"/>
      <c r="OK173" s="7"/>
      <c r="OL173" s="7"/>
      <c r="OM173" s="7"/>
      <c r="ON173" s="7"/>
      <c r="OO173" s="7"/>
      <c r="OP173" s="7"/>
      <c r="OQ173" s="7"/>
      <c r="OR173" s="7"/>
      <c r="OS173" s="7"/>
      <c r="OT173" s="7"/>
      <c r="OU173" s="7"/>
      <c r="OV173" s="7"/>
      <c r="OW173" s="7"/>
      <c r="OX173" s="7"/>
      <c r="OY173" s="7"/>
      <c r="OZ173" s="7"/>
      <c r="PA173" s="7"/>
      <c r="PB173" s="7"/>
      <c r="PC173" s="7"/>
      <c r="PD173" s="7"/>
      <c r="PE173" s="7"/>
      <c r="PF173" s="7"/>
      <c r="PG173" s="7"/>
      <c r="PH173" s="7"/>
      <c r="PI173" s="7"/>
      <c r="PJ173" s="7"/>
      <c r="PK173" s="7"/>
      <c r="PL173" s="7"/>
      <c r="PM173" s="7"/>
      <c r="PN173" s="7"/>
      <c r="PO173" s="7"/>
      <c r="PP173" s="7"/>
      <c r="PQ173" s="7"/>
      <c r="PR173" s="7"/>
      <c r="PS173" s="7"/>
      <c r="PT173" s="7"/>
      <c r="PU173" s="7"/>
      <c r="PV173" s="7"/>
      <c r="PW173" s="7"/>
      <c r="PX173" s="7"/>
      <c r="PY173" s="7"/>
      <c r="PZ173" s="7"/>
      <c r="QA173" s="7"/>
      <c r="QB173" s="7"/>
      <c r="QC173" s="7"/>
      <c r="QD173" s="7"/>
      <c r="QE173" s="7"/>
      <c r="QF173" s="7"/>
      <c r="QG173" s="7"/>
      <c r="QH173" s="7"/>
      <c r="QI173" s="7"/>
      <c r="QJ173" s="7"/>
      <c r="QK173" s="7"/>
      <c r="QL173" s="7"/>
      <c r="QM173" s="7"/>
      <c r="QN173" s="7"/>
      <c r="QO173" s="7"/>
      <c r="QP173" s="7"/>
      <c r="QQ173" s="7"/>
      <c r="QR173" s="7"/>
      <c r="QS173" s="7"/>
      <c r="QT173" s="7"/>
      <c r="QU173" s="7"/>
      <c r="QV173" s="7"/>
      <c r="QW173" s="7"/>
      <c r="QX173" s="7"/>
      <c r="QY173" s="7"/>
      <c r="QZ173" s="7"/>
      <c r="RA173" s="7"/>
      <c r="RB173" s="7"/>
      <c r="RC173" s="7"/>
      <c r="RD173" s="7"/>
      <c r="RE173" s="7"/>
      <c r="RF173" s="7"/>
      <c r="RG173" s="7"/>
      <c r="RH173" s="7"/>
      <c r="RI173" s="7"/>
      <c r="RJ173" s="7"/>
      <c r="RK173" s="7"/>
      <c r="RL173" s="7"/>
      <c r="RM173" s="7"/>
      <c r="RN173" s="7"/>
      <c r="RO173" s="7"/>
      <c r="RP173" s="7"/>
      <c r="RQ173" s="7"/>
      <c r="RR173" s="7"/>
      <c r="RS173" s="7"/>
      <c r="RT173" s="7"/>
      <c r="RU173" s="7"/>
      <c r="RV173" s="7"/>
      <c r="RW173" s="7"/>
      <c r="RX173" s="7"/>
      <c r="RY173" s="7"/>
      <c r="RZ173" s="7"/>
      <c r="SA173" s="7"/>
      <c r="SB173" s="7"/>
      <c r="SC173" s="7"/>
      <c r="SD173" s="7"/>
      <c r="SE173" s="7"/>
      <c r="SF173" s="7"/>
      <c r="SG173" s="7"/>
      <c r="SH173" s="7"/>
      <c r="SI173" s="7"/>
      <c r="SJ173" s="7"/>
      <c r="SK173" s="7"/>
      <c r="SL173" s="7"/>
      <c r="SM173" s="7"/>
      <c r="SN173" s="7"/>
      <c r="SO173" s="7"/>
      <c r="SP173" s="7"/>
      <c r="SQ173" s="7"/>
      <c r="SR173" s="7"/>
      <c r="SS173" s="7"/>
      <c r="ST173" s="7"/>
      <c r="SU173" s="7"/>
      <c r="SV173" s="7"/>
      <c r="SW173" s="7"/>
      <c r="SX173" s="7"/>
      <c r="SY173" s="7"/>
      <c r="SZ173" s="7"/>
      <c r="TA173" s="7"/>
      <c r="TB173" s="7"/>
      <c r="TC173" s="7"/>
      <c r="TD173" s="7"/>
      <c r="TE173" s="7"/>
      <c r="TF173" s="7"/>
      <c r="TG173" s="7"/>
      <c r="TH173" s="7"/>
      <c r="TI173" s="7"/>
      <c r="TJ173" s="7"/>
      <c r="TK173" s="7"/>
      <c r="TL173" s="7"/>
      <c r="TM173" s="7"/>
      <c r="TN173" s="7"/>
      <c r="TO173" s="7"/>
      <c r="TP173" s="7"/>
      <c r="TQ173" s="7"/>
      <c r="TR173" s="7"/>
      <c r="TS173" s="7"/>
      <c r="TT173" s="7"/>
      <c r="TU173" s="7"/>
      <c r="TV173" s="7"/>
      <c r="TW173" s="7"/>
      <c r="TX173" s="7"/>
      <c r="TY173" s="7"/>
      <c r="TZ173" s="7"/>
      <c r="UA173" s="7"/>
      <c r="UB173" s="7"/>
      <c r="UC173" s="7"/>
      <c r="UD173" s="7"/>
      <c r="UE173" s="7"/>
      <c r="UF173" s="7"/>
      <c r="UG173" s="7"/>
      <c r="UH173" s="7"/>
      <c r="UI173" s="7"/>
      <c r="UJ173" s="7"/>
      <c r="UK173" s="7"/>
      <c r="UL173" s="7"/>
      <c r="UM173" s="7"/>
      <c r="UN173" s="7"/>
      <c r="UO173" s="7"/>
      <c r="UP173" s="7"/>
      <c r="UQ173" s="7"/>
      <c r="UR173" s="7"/>
      <c r="US173" s="7"/>
      <c r="UT173" s="7"/>
      <c r="UU173" s="7"/>
      <c r="UV173" s="7"/>
      <c r="UW173" s="7"/>
      <c r="UX173" s="7"/>
      <c r="UY173" s="7"/>
      <c r="UZ173" s="7"/>
      <c r="VA173" s="7"/>
      <c r="VB173" s="7"/>
      <c r="VC173" s="7"/>
      <c r="VD173" s="7"/>
      <c r="VE173" s="7"/>
      <c r="VF173" s="7"/>
      <c r="VG173" s="7"/>
      <c r="VH173" s="7"/>
      <c r="VI173" s="7"/>
      <c r="VJ173" s="7"/>
      <c r="VK173" s="7"/>
      <c r="VL173" s="7"/>
      <c r="VM173" s="7"/>
      <c r="VN173" s="7"/>
      <c r="VO173" s="7"/>
      <c r="VP173" s="7"/>
      <c r="VQ173" s="7"/>
      <c r="VR173" s="7"/>
      <c r="VS173" s="7"/>
      <c r="VT173" s="7"/>
      <c r="VU173" s="7"/>
      <c r="VV173" s="7"/>
      <c r="VW173" s="7"/>
      <c r="VX173" s="7"/>
      <c r="VY173" s="7"/>
      <c r="VZ173" s="7"/>
      <c r="WA173" s="7"/>
      <c r="WB173" s="7"/>
      <c r="WC173" s="7"/>
      <c r="WD173" s="7"/>
      <c r="WE173" s="7"/>
      <c r="WF173" s="7"/>
      <c r="WG173" s="7"/>
      <c r="WH173" s="7"/>
      <c r="WI173" s="7"/>
      <c r="WJ173" s="7"/>
      <c r="WK173" s="7"/>
      <c r="WL173" s="7"/>
      <c r="WM173" s="7"/>
      <c r="WN173" s="7"/>
      <c r="WO173" s="7"/>
      <c r="WP173" s="7"/>
      <c r="WQ173" s="7"/>
      <c r="WR173" s="7"/>
      <c r="WS173" s="7"/>
      <c r="WT173" s="7"/>
      <c r="WU173" s="7"/>
      <c r="WV173" s="7"/>
      <c r="WW173" s="7"/>
      <c r="WX173" s="7"/>
      <c r="WY173" s="7"/>
      <c r="WZ173" s="7"/>
      <c r="XA173" s="7"/>
      <c r="XB173" s="7"/>
      <c r="XC173" s="7"/>
      <c r="XD173" s="7"/>
      <c r="XE173" s="7"/>
      <c r="XF173" s="7"/>
      <c r="XG173" s="7"/>
      <c r="XH173" s="7"/>
      <c r="XI173" s="7"/>
      <c r="XJ173" s="7"/>
      <c r="XK173" s="7"/>
      <c r="XL173" s="7"/>
      <c r="XM173" s="7"/>
      <c r="XN173" s="7"/>
      <c r="XO173" s="7"/>
      <c r="XP173" s="7"/>
      <c r="XQ173" s="7"/>
      <c r="XR173" s="7"/>
      <c r="XS173" s="7"/>
      <c r="XT173" s="7"/>
      <c r="XU173" s="7"/>
      <c r="XV173" s="7"/>
      <c r="XW173" s="7"/>
      <c r="XX173" s="7"/>
      <c r="XY173" s="7"/>
      <c r="XZ173" s="7"/>
      <c r="YA173" s="7"/>
      <c r="YB173" s="7"/>
      <c r="YC173" s="7"/>
      <c r="YD173" s="7"/>
      <c r="YE173" s="7"/>
      <c r="YF173" s="7"/>
      <c r="YG173" s="7"/>
      <c r="YH173" s="7"/>
      <c r="YI173" s="7"/>
      <c r="YJ173" s="7"/>
      <c r="YK173" s="7"/>
      <c r="YL173" s="7"/>
      <c r="YM173" s="7"/>
      <c r="YN173" s="7"/>
      <c r="YO173" s="7"/>
      <c r="YP173" s="7"/>
      <c r="YQ173" s="7"/>
      <c r="YR173" s="7"/>
      <c r="YS173" s="7"/>
      <c r="YT173" s="7"/>
      <c r="YU173" s="7"/>
      <c r="YV173" s="7"/>
      <c r="YW173" s="7"/>
      <c r="YX173" s="7"/>
      <c r="YY173" s="7"/>
      <c r="YZ173" s="7"/>
      <c r="ZA173" s="7"/>
      <c r="ZB173" s="7"/>
      <c r="ZC173" s="7"/>
      <c r="ZD173" s="7"/>
      <c r="ZE173" s="7"/>
      <c r="ZF173" s="7"/>
      <c r="ZG173" s="7"/>
      <c r="ZH173" s="7"/>
      <c r="ZI173" s="7"/>
      <c r="ZJ173" s="7"/>
      <c r="ZK173" s="7"/>
      <c r="ZL173" s="7"/>
      <c r="ZM173" s="7"/>
      <c r="ZN173" s="7"/>
      <c r="ZO173" s="7"/>
      <c r="ZP173" s="7"/>
      <c r="ZQ173" s="7"/>
      <c r="ZR173" s="7"/>
      <c r="ZS173" s="7"/>
      <c r="ZT173" s="7"/>
      <c r="ZU173" s="7"/>
      <c r="ZV173" s="7"/>
      <c r="ZW173" s="7"/>
      <c r="ZX173" s="7"/>
      <c r="ZY173" s="7"/>
      <c r="ZZ173" s="7"/>
      <c r="AAA173" s="7"/>
      <c r="AAB173" s="7"/>
      <c r="AAC173" s="7"/>
      <c r="AAD173" s="7"/>
      <c r="AAE173" s="7"/>
      <c r="AAF173" s="7"/>
      <c r="AAG173" s="7"/>
      <c r="AAH173" s="7"/>
      <c r="AAI173" s="7"/>
      <c r="AAJ173" s="7"/>
      <c r="AAK173" s="7"/>
      <c r="AAL173" s="7"/>
      <c r="AAM173" s="7"/>
      <c r="AAN173" s="7"/>
      <c r="AAO173" s="7"/>
      <c r="AAP173" s="7"/>
      <c r="AAQ173" s="7"/>
      <c r="AAR173" s="7"/>
      <c r="AAS173" s="7"/>
      <c r="AAT173" s="7"/>
      <c r="AAU173" s="7"/>
      <c r="AAV173" s="7"/>
      <c r="AAW173" s="7"/>
      <c r="AAX173" s="7"/>
      <c r="AAY173" s="7"/>
      <c r="AAZ173" s="7"/>
      <c r="ABA173" s="7"/>
      <c r="ABB173" s="7"/>
      <c r="ABC173" s="7"/>
      <c r="ABD173" s="7"/>
      <c r="ABE173" s="7"/>
      <c r="ABF173" s="7"/>
      <c r="ABG173" s="7"/>
      <c r="ABH173" s="7"/>
      <c r="ABI173" s="7"/>
      <c r="ABJ173" s="7"/>
      <c r="ABK173" s="7"/>
      <c r="ABL173" s="7"/>
      <c r="ABM173" s="7"/>
      <c r="ABN173" s="7"/>
      <c r="ABO173" s="7"/>
      <c r="ABP173" s="7"/>
      <c r="ABQ173" s="7"/>
      <c r="ABR173" s="7"/>
      <c r="ABS173" s="7"/>
      <c r="ABT173" s="7"/>
      <c r="ABU173" s="7"/>
      <c r="ABV173" s="7"/>
      <c r="ABW173" s="7"/>
      <c r="ABX173" s="7"/>
      <c r="ABY173" s="7"/>
      <c r="ABZ173" s="7"/>
      <c r="ACA173" s="7"/>
      <c r="ACB173" s="7"/>
      <c r="ACC173" s="7"/>
      <c r="ACD173" s="7"/>
      <c r="ACE173" s="7"/>
      <c r="ACF173" s="7"/>
      <c r="ACG173" s="7"/>
      <c r="ACH173" s="7"/>
      <c r="ACI173" s="7"/>
      <c r="ACJ173" s="7"/>
      <c r="ACK173" s="7"/>
      <c r="ACL173" s="7"/>
      <c r="ACM173" s="7"/>
      <c r="ACN173" s="7"/>
      <c r="ACO173" s="7"/>
      <c r="ACP173" s="7"/>
      <c r="ACQ173" s="7"/>
      <c r="ACR173" s="7"/>
      <c r="ACS173" s="7"/>
      <c r="ACT173" s="7"/>
      <c r="ACU173" s="7"/>
      <c r="ACV173" s="7"/>
      <c r="ACW173" s="7"/>
      <c r="ACX173" s="7"/>
      <c r="ACY173" s="7"/>
      <c r="ACZ173" s="7"/>
      <c r="ADA173" s="7"/>
      <c r="ADB173" s="7"/>
      <c r="ADC173" s="7"/>
      <c r="ADD173" s="7"/>
      <c r="ADE173" s="7"/>
      <c r="ADF173" s="7"/>
      <c r="ADG173" s="7"/>
      <c r="ADH173" s="7"/>
      <c r="ADI173" s="7"/>
      <c r="ADJ173" s="7"/>
      <c r="ADK173" s="7"/>
      <c r="ADL173" s="7"/>
      <c r="ADM173" s="7"/>
      <c r="ADN173" s="7"/>
      <c r="ADO173" s="7"/>
      <c r="ADP173" s="7"/>
      <c r="ADQ173" s="7"/>
      <c r="ADR173" s="7"/>
      <c r="ADS173" s="7"/>
      <c r="ADT173" s="7"/>
      <c r="ADU173" s="7"/>
      <c r="ADV173" s="7"/>
      <c r="ADW173" s="7"/>
      <c r="ADX173" s="7"/>
      <c r="ADY173" s="7"/>
      <c r="ADZ173" s="7"/>
      <c r="AEA173" s="7"/>
      <c r="AEB173" s="7"/>
      <c r="AEC173" s="7"/>
      <c r="AED173" s="7"/>
      <c r="AEE173" s="7"/>
      <c r="AEF173" s="7"/>
      <c r="AEG173" s="7"/>
      <c r="AEH173" s="7"/>
      <c r="AEI173" s="7"/>
      <c r="AEJ173" s="7"/>
      <c r="AEK173" s="7"/>
      <c r="AEL173" s="7"/>
      <c r="AEM173" s="7"/>
      <c r="AEN173" s="7"/>
      <c r="AEO173" s="7"/>
      <c r="AEP173" s="7"/>
      <c r="AEQ173" s="7"/>
      <c r="AER173" s="7"/>
      <c r="AES173" s="7"/>
      <c r="AET173" s="7"/>
      <c r="AEU173" s="7"/>
      <c r="AEV173" s="7"/>
      <c r="AEW173" s="7"/>
      <c r="AEX173" s="7"/>
      <c r="AEY173" s="7"/>
      <c r="AEZ173" s="7"/>
      <c r="AFA173" s="7"/>
      <c r="AFB173" s="7"/>
      <c r="AFC173" s="7"/>
      <c r="AFD173" s="7"/>
      <c r="AFE173" s="7"/>
      <c r="AFF173" s="7"/>
      <c r="AFG173" s="7"/>
      <c r="AFH173" s="7"/>
      <c r="AFI173" s="7"/>
      <c r="AFJ173" s="7"/>
      <c r="AFK173" s="7"/>
      <c r="AFL173" s="7"/>
      <c r="AFM173" s="7"/>
      <c r="AFN173" s="7"/>
      <c r="AFO173" s="7"/>
      <c r="AFP173" s="7"/>
      <c r="AFQ173" s="7"/>
      <c r="AFR173" s="7"/>
      <c r="AFS173" s="7"/>
      <c r="AFT173" s="7"/>
      <c r="AFU173" s="7"/>
      <c r="AFV173" s="7"/>
      <c r="AFW173" s="7"/>
      <c r="AFX173" s="7"/>
      <c r="AFY173" s="7"/>
      <c r="AFZ173" s="7"/>
      <c r="AGA173" s="7"/>
      <c r="AGB173" s="7"/>
      <c r="AGC173" s="7"/>
      <c r="AGD173" s="7"/>
      <c r="AGE173" s="7"/>
      <c r="AGF173" s="7"/>
      <c r="AGG173" s="7"/>
      <c r="AGH173" s="7"/>
      <c r="AGI173" s="7"/>
      <c r="AGJ173" s="7"/>
      <c r="AGK173" s="7"/>
      <c r="AGL173" s="7"/>
      <c r="AGM173" s="7"/>
      <c r="AGN173" s="7"/>
      <c r="AGO173" s="7"/>
      <c r="AGP173" s="7"/>
      <c r="AGQ173" s="7"/>
      <c r="AGR173" s="7"/>
      <c r="AGS173" s="7"/>
      <c r="AGT173" s="7"/>
      <c r="AGU173" s="7"/>
      <c r="AGV173" s="7"/>
      <c r="AGW173" s="7"/>
      <c r="AGX173" s="7"/>
      <c r="AGY173" s="7"/>
      <c r="AGZ173" s="7"/>
      <c r="AHA173" s="7"/>
      <c r="AHB173" s="7"/>
      <c r="AHC173" s="7"/>
      <c r="AHD173" s="7"/>
      <c r="AHE173" s="7"/>
      <c r="AHF173" s="7"/>
      <c r="AHG173" s="7"/>
      <c r="AHH173" s="7"/>
      <c r="AHI173" s="7"/>
      <c r="AHJ173" s="7"/>
      <c r="AHK173" s="7"/>
      <c r="AHL173" s="7"/>
      <c r="AHM173" s="7"/>
      <c r="AHN173" s="7"/>
      <c r="AHO173" s="7"/>
      <c r="AHP173" s="7"/>
      <c r="AHQ173" s="7"/>
      <c r="AHR173" s="7"/>
      <c r="AHS173" s="7"/>
      <c r="AHT173" s="7"/>
      <c r="AHU173" s="7"/>
      <c r="AHV173" s="7"/>
      <c r="AHW173" s="7"/>
      <c r="AHX173" s="7"/>
      <c r="AHY173" s="7"/>
      <c r="AHZ173" s="7"/>
      <c r="AIA173" s="7"/>
      <c r="AIB173" s="7"/>
      <c r="AIC173" s="7"/>
      <c r="AID173" s="7"/>
      <c r="AIE173" s="7"/>
      <c r="AIF173" s="7"/>
      <c r="AIG173" s="7"/>
      <c r="AIH173" s="7"/>
      <c r="AII173" s="7"/>
      <c r="AIJ173" s="7"/>
      <c r="AIK173" s="7"/>
      <c r="AIL173" s="7"/>
      <c r="AIM173" s="7"/>
      <c r="AIN173" s="7"/>
      <c r="AIO173" s="7"/>
      <c r="AIP173" s="7"/>
      <c r="AIQ173" s="7"/>
      <c r="AIR173" s="7"/>
      <c r="AIS173" s="7"/>
      <c r="AIT173" s="7"/>
      <c r="AIU173" s="7"/>
      <c r="AIV173" s="7"/>
      <c r="AIW173" s="7"/>
      <c r="AIX173" s="7"/>
      <c r="AIY173" s="7"/>
      <c r="AIZ173" s="7"/>
      <c r="AJA173" s="7"/>
      <c r="AJB173" s="7"/>
      <c r="AJC173" s="7"/>
      <c r="AJD173" s="7"/>
      <c r="AJE173" s="7"/>
      <c r="AJF173" s="7"/>
      <c r="AJG173" s="7"/>
      <c r="AJH173" s="7"/>
      <c r="AJI173" s="7"/>
      <c r="AJJ173" s="7"/>
      <c r="AJK173" s="7"/>
      <c r="AJL173" s="7"/>
      <c r="AJM173" s="7"/>
      <c r="AJN173" s="7"/>
      <c r="AJO173" s="7"/>
      <c r="AJP173" s="7"/>
      <c r="AJQ173" s="7"/>
      <c r="AJR173" s="7"/>
      <c r="AJS173" s="7"/>
      <c r="AJT173" s="7"/>
      <c r="AJU173" s="7"/>
      <c r="AJV173" s="7"/>
      <c r="AJW173" s="7"/>
      <c r="AJX173" s="7"/>
      <c r="AJY173" s="7"/>
      <c r="AJZ173" s="7"/>
      <c r="AKA173" s="7"/>
      <c r="AKB173" s="7"/>
      <c r="AKC173" s="7"/>
      <c r="AKD173" s="7"/>
      <c r="AKE173" s="7"/>
      <c r="AKF173" s="7"/>
      <c r="AKG173" s="7"/>
      <c r="AKH173" s="7"/>
      <c r="AKI173" s="7"/>
      <c r="AKJ173" s="7"/>
      <c r="AKK173" s="7"/>
      <c r="AKL173" s="7"/>
      <c r="AKM173" s="7"/>
      <c r="AKN173" s="7"/>
      <c r="AKO173" s="7"/>
      <c r="AKP173" s="7"/>
      <c r="AKQ173" s="7"/>
      <c r="AKR173" s="7"/>
      <c r="AKS173" s="7"/>
      <c r="AKT173" s="7"/>
      <c r="AKU173" s="7"/>
      <c r="AKV173" s="7"/>
      <c r="AKW173" s="7"/>
      <c r="AKX173" s="7"/>
      <c r="AKY173" s="7"/>
      <c r="AKZ173" s="7"/>
      <c r="ALA173" s="7"/>
      <c r="ALB173" s="7"/>
      <c r="ALC173" s="7"/>
      <c r="ALD173" s="7"/>
      <c r="ALE173" s="7"/>
      <c r="ALF173" s="7"/>
      <c r="ALG173" s="7"/>
      <c r="ALH173" s="7"/>
      <c r="ALI173" s="7"/>
      <c r="ALJ173" s="7"/>
      <c r="ALK173" s="7"/>
      <c r="ALL173" s="7"/>
      <c r="ALM173" s="7"/>
      <c r="ALN173" s="7"/>
      <c r="ALO173" s="7"/>
      <c r="ALP173" s="7"/>
      <c r="ALQ173" s="7"/>
      <c r="ALR173" s="7"/>
      <c r="ALS173" s="7"/>
      <c r="ALT173" s="7"/>
      <c r="ALU173" s="7"/>
      <c r="ALV173" s="7"/>
      <c r="ALW173" s="7"/>
      <c r="ALX173" s="7"/>
      <c r="ALY173" s="7"/>
      <c r="ALZ173" s="7"/>
      <c r="AMA173" s="7"/>
      <c r="AMB173" s="7"/>
      <c r="AMC173" s="7"/>
      <c r="AMD173" s="7"/>
      <c r="AME173" s="7"/>
      <c r="AMF173" s="7"/>
      <c r="AMG173" s="7"/>
      <c r="AMH173" s="7"/>
      <c r="AMI173" s="7"/>
      <c r="AMJ173" s="7"/>
    </row>
    <row r="174" customFormat="false" ht="15.75" hidden="false" customHeight="true" outlineLevel="0" collapsed="false">
      <c r="A174" s="7"/>
      <c r="B174" s="7"/>
      <c r="C174" s="78"/>
      <c r="D174" s="287" t="n">
        <f aca="false">D173+D166</f>
        <v>1800</v>
      </c>
      <c r="E174" s="287" t="n">
        <f aca="false">E166+E173</f>
        <v>106</v>
      </c>
      <c r="F174" s="178"/>
      <c r="G174" s="10"/>
      <c r="H174" s="24"/>
      <c r="I174" s="230"/>
      <c r="J174" s="287" t="n">
        <f aca="false">D166+J173</f>
        <v>1800</v>
      </c>
      <c r="K174" s="287" t="n">
        <f aca="false">E166+K173</f>
        <v>106</v>
      </c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  <c r="KS174" s="7"/>
      <c r="KT174" s="7"/>
      <c r="KU174" s="7"/>
      <c r="KV174" s="7"/>
      <c r="KW174" s="7"/>
      <c r="KX174" s="7"/>
      <c r="KY174" s="7"/>
      <c r="KZ174" s="7"/>
      <c r="LA174" s="7"/>
      <c r="LB174" s="7"/>
      <c r="LC174" s="7"/>
      <c r="LD174" s="7"/>
      <c r="LE174" s="7"/>
      <c r="LF174" s="7"/>
      <c r="LG174" s="7"/>
      <c r="LH174" s="7"/>
      <c r="LI174" s="7"/>
      <c r="LJ174" s="7"/>
      <c r="LK174" s="7"/>
      <c r="LL174" s="7"/>
      <c r="LM174" s="7"/>
      <c r="LN174" s="7"/>
      <c r="LO174" s="7"/>
      <c r="LP174" s="7"/>
      <c r="LQ174" s="7"/>
      <c r="LR174" s="7"/>
      <c r="LS174" s="7"/>
      <c r="LT174" s="7"/>
      <c r="LU174" s="7"/>
      <c r="LV174" s="7"/>
      <c r="LW174" s="7"/>
      <c r="LX174" s="7"/>
      <c r="LY174" s="7"/>
      <c r="LZ174" s="7"/>
      <c r="MA174" s="7"/>
      <c r="MB174" s="7"/>
      <c r="MC174" s="7"/>
      <c r="MD174" s="7"/>
      <c r="ME174" s="7"/>
      <c r="MF174" s="7"/>
      <c r="MG174" s="7"/>
      <c r="MH174" s="7"/>
      <c r="MI174" s="7"/>
      <c r="MJ174" s="7"/>
      <c r="MK174" s="7"/>
      <c r="ML174" s="7"/>
      <c r="MM174" s="7"/>
      <c r="MN174" s="7"/>
      <c r="MO174" s="7"/>
      <c r="MP174" s="7"/>
      <c r="MQ174" s="7"/>
      <c r="MR174" s="7"/>
      <c r="MS174" s="7"/>
      <c r="MT174" s="7"/>
      <c r="MU174" s="7"/>
      <c r="MV174" s="7"/>
      <c r="MW174" s="7"/>
      <c r="MX174" s="7"/>
      <c r="MY174" s="7"/>
      <c r="MZ174" s="7"/>
      <c r="NA174" s="7"/>
      <c r="NB174" s="7"/>
      <c r="NC174" s="7"/>
      <c r="ND174" s="7"/>
      <c r="NE174" s="7"/>
      <c r="NF174" s="7"/>
      <c r="NG174" s="7"/>
      <c r="NH174" s="7"/>
      <c r="NI174" s="7"/>
      <c r="NJ174" s="7"/>
      <c r="NK174" s="7"/>
      <c r="NL174" s="7"/>
      <c r="NM174" s="7"/>
      <c r="NN174" s="7"/>
      <c r="NO174" s="7"/>
      <c r="NP174" s="7"/>
      <c r="NQ174" s="7"/>
      <c r="NR174" s="7"/>
      <c r="NS174" s="7"/>
      <c r="NT174" s="7"/>
      <c r="NU174" s="7"/>
      <c r="NV174" s="7"/>
      <c r="NW174" s="7"/>
      <c r="NX174" s="7"/>
      <c r="NY174" s="7"/>
      <c r="NZ174" s="7"/>
      <c r="OA174" s="7"/>
      <c r="OB174" s="7"/>
      <c r="OC174" s="7"/>
      <c r="OD174" s="7"/>
      <c r="OE174" s="7"/>
      <c r="OF174" s="7"/>
      <c r="OG174" s="7"/>
      <c r="OH174" s="7"/>
      <c r="OI174" s="7"/>
      <c r="OJ174" s="7"/>
      <c r="OK174" s="7"/>
      <c r="OL174" s="7"/>
      <c r="OM174" s="7"/>
      <c r="ON174" s="7"/>
      <c r="OO174" s="7"/>
      <c r="OP174" s="7"/>
      <c r="OQ174" s="7"/>
      <c r="OR174" s="7"/>
      <c r="OS174" s="7"/>
      <c r="OT174" s="7"/>
      <c r="OU174" s="7"/>
      <c r="OV174" s="7"/>
      <c r="OW174" s="7"/>
      <c r="OX174" s="7"/>
      <c r="OY174" s="7"/>
      <c r="OZ174" s="7"/>
      <c r="PA174" s="7"/>
      <c r="PB174" s="7"/>
      <c r="PC174" s="7"/>
      <c r="PD174" s="7"/>
      <c r="PE174" s="7"/>
      <c r="PF174" s="7"/>
      <c r="PG174" s="7"/>
      <c r="PH174" s="7"/>
      <c r="PI174" s="7"/>
      <c r="PJ174" s="7"/>
      <c r="PK174" s="7"/>
      <c r="PL174" s="7"/>
      <c r="PM174" s="7"/>
      <c r="PN174" s="7"/>
      <c r="PO174" s="7"/>
      <c r="PP174" s="7"/>
      <c r="PQ174" s="7"/>
      <c r="PR174" s="7"/>
      <c r="PS174" s="7"/>
      <c r="PT174" s="7"/>
      <c r="PU174" s="7"/>
      <c r="PV174" s="7"/>
      <c r="PW174" s="7"/>
      <c r="PX174" s="7"/>
      <c r="PY174" s="7"/>
      <c r="PZ174" s="7"/>
      <c r="QA174" s="7"/>
      <c r="QB174" s="7"/>
      <c r="QC174" s="7"/>
      <c r="QD174" s="7"/>
      <c r="QE174" s="7"/>
      <c r="QF174" s="7"/>
      <c r="QG174" s="7"/>
      <c r="QH174" s="7"/>
      <c r="QI174" s="7"/>
      <c r="QJ174" s="7"/>
      <c r="QK174" s="7"/>
      <c r="QL174" s="7"/>
      <c r="QM174" s="7"/>
      <c r="QN174" s="7"/>
      <c r="QO174" s="7"/>
      <c r="QP174" s="7"/>
      <c r="QQ174" s="7"/>
      <c r="QR174" s="7"/>
      <c r="QS174" s="7"/>
      <c r="QT174" s="7"/>
      <c r="QU174" s="7"/>
      <c r="QV174" s="7"/>
      <c r="QW174" s="7"/>
      <c r="QX174" s="7"/>
      <c r="QY174" s="7"/>
      <c r="QZ174" s="7"/>
      <c r="RA174" s="7"/>
      <c r="RB174" s="7"/>
      <c r="RC174" s="7"/>
      <c r="RD174" s="7"/>
      <c r="RE174" s="7"/>
      <c r="RF174" s="7"/>
      <c r="RG174" s="7"/>
      <c r="RH174" s="7"/>
      <c r="RI174" s="7"/>
      <c r="RJ174" s="7"/>
      <c r="RK174" s="7"/>
      <c r="RL174" s="7"/>
      <c r="RM174" s="7"/>
      <c r="RN174" s="7"/>
      <c r="RO174" s="7"/>
      <c r="RP174" s="7"/>
      <c r="RQ174" s="7"/>
      <c r="RR174" s="7"/>
      <c r="RS174" s="7"/>
      <c r="RT174" s="7"/>
      <c r="RU174" s="7"/>
      <c r="RV174" s="7"/>
      <c r="RW174" s="7"/>
      <c r="RX174" s="7"/>
      <c r="RY174" s="7"/>
      <c r="RZ174" s="7"/>
      <c r="SA174" s="7"/>
      <c r="SB174" s="7"/>
      <c r="SC174" s="7"/>
      <c r="SD174" s="7"/>
      <c r="SE174" s="7"/>
      <c r="SF174" s="7"/>
      <c r="SG174" s="7"/>
      <c r="SH174" s="7"/>
      <c r="SI174" s="7"/>
      <c r="SJ174" s="7"/>
      <c r="SK174" s="7"/>
      <c r="SL174" s="7"/>
      <c r="SM174" s="7"/>
      <c r="SN174" s="7"/>
      <c r="SO174" s="7"/>
      <c r="SP174" s="7"/>
      <c r="SQ174" s="7"/>
      <c r="SR174" s="7"/>
      <c r="SS174" s="7"/>
      <c r="ST174" s="7"/>
      <c r="SU174" s="7"/>
      <c r="SV174" s="7"/>
      <c r="SW174" s="7"/>
      <c r="SX174" s="7"/>
      <c r="SY174" s="7"/>
      <c r="SZ174" s="7"/>
      <c r="TA174" s="7"/>
      <c r="TB174" s="7"/>
      <c r="TC174" s="7"/>
      <c r="TD174" s="7"/>
      <c r="TE174" s="7"/>
      <c r="TF174" s="7"/>
      <c r="TG174" s="7"/>
      <c r="TH174" s="7"/>
      <c r="TI174" s="7"/>
      <c r="TJ174" s="7"/>
      <c r="TK174" s="7"/>
      <c r="TL174" s="7"/>
      <c r="TM174" s="7"/>
      <c r="TN174" s="7"/>
      <c r="TO174" s="7"/>
      <c r="TP174" s="7"/>
      <c r="TQ174" s="7"/>
      <c r="TR174" s="7"/>
      <c r="TS174" s="7"/>
      <c r="TT174" s="7"/>
      <c r="TU174" s="7"/>
      <c r="TV174" s="7"/>
      <c r="TW174" s="7"/>
      <c r="TX174" s="7"/>
      <c r="TY174" s="7"/>
      <c r="TZ174" s="7"/>
      <c r="UA174" s="7"/>
      <c r="UB174" s="7"/>
      <c r="UC174" s="7"/>
      <c r="UD174" s="7"/>
      <c r="UE174" s="7"/>
      <c r="UF174" s="7"/>
      <c r="UG174" s="7"/>
      <c r="UH174" s="7"/>
      <c r="UI174" s="7"/>
      <c r="UJ174" s="7"/>
      <c r="UK174" s="7"/>
      <c r="UL174" s="7"/>
      <c r="UM174" s="7"/>
      <c r="UN174" s="7"/>
      <c r="UO174" s="7"/>
      <c r="UP174" s="7"/>
      <c r="UQ174" s="7"/>
      <c r="UR174" s="7"/>
      <c r="US174" s="7"/>
      <c r="UT174" s="7"/>
      <c r="UU174" s="7"/>
      <c r="UV174" s="7"/>
      <c r="UW174" s="7"/>
      <c r="UX174" s="7"/>
      <c r="UY174" s="7"/>
      <c r="UZ174" s="7"/>
      <c r="VA174" s="7"/>
      <c r="VB174" s="7"/>
      <c r="VC174" s="7"/>
      <c r="VD174" s="7"/>
      <c r="VE174" s="7"/>
      <c r="VF174" s="7"/>
      <c r="VG174" s="7"/>
      <c r="VH174" s="7"/>
      <c r="VI174" s="7"/>
      <c r="VJ174" s="7"/>
      <c r="VK174" s="7"/>
      <c r="VL174" s="7"/>
      <c r="VM174" s="7"/>
      <c r="VN174" s="7"/>
      <c r="VO174" s="7"/>
      <c r="VP174" s="7"/>
      <c r="VQ174" s="7"/>
      <c r="VR174" s="7"/>
      <c r="VS174" s="7"/>
      <c r="VT174" s="7"/>
      <c r="VU174" s="7"/>
      <c r="VV174" s="7"/>
      <c r="VW174" s="7"/>
      <c r="VX174" s="7"/>
      <c r="VY174" s="7"/>
      <c r="VZ174" s="7"/>
      <c r="WA174" s="7"/>
      <c r="WB174" s="7"/>
      <c r="WC174" s="7"/>
      <c r="WD174" s="7"/>
      <c r="WE174" s="7"/>
      <c r="WF174" s="7"/>
      <c r="WG174" s="7"/>
      <c r="WH174" s="7"/>
      <c r="WI174" s="7"/>
      <c r="WJ174" s="7"/>
      <c r="WK174" s="7"/>
      <c r="WL174" s="7"/>
      <c r="WM174" s="7"/>
      <c r="WN174" s="7"/>
      <c r="WO174" s="7"/>
      <c r="WP174" s="7"/>
      <c r="WQ174" s="7"/>
      <c r="WR174" s="7"/>
      <c r="WS174" s="7"/>
      <c r="WT174" s="7"/>
      <c r="WU174" s="7"/>
      <c r="WV174" s="7"/>
      <c r="WW174" s="7"/>
      <c r="WX174" s="7"/>
      <c r="WY174" s="7"/>
      <c r="WZ174" s="7"/>
      <c r="XA174" s="7"/>
      <c r="XB174" s="7"/>
      <c r="XC174" s="7"/>
      <c r="XD174" s="7"/>
      <c r="XE174" s="7"/>
      <c r="XF174" s="7"/>
      <c r="XG174" s="7"/>
      <c r="XH174" s="7"/>
      <c r="XI174" s="7"/>
      <c r="XJ174" s="7"/>
      <c r="XK174" s="7"/>
      <c r="XL174" s="7"/>
      <c r="XM174" s="7"/>
      <c r="XN174" s="7"/>
      <c r="XO174" s="7"/>
      <c r="XP174" s="7"/>
      <c r="XQ174" s="7"/>
      <c r="XR174" s="7"/>
      <c r="XS174" s="7"/>
      <c r="XT174" s="7"/>
      <c r="XU174" s="7"/>
      <c r="XV174" s="7"/>
      <c r="XW174" s="7"/>
      <c r="XX174" s="7"/>
      <c r="XY174" s="7"/>
      <c r="XZ174" s="7"/>
      <c r="YA174" s="7"/>
      <c r="YB174" s="7"/>
      <c r="YC174" s="7"/>
      <c r="YD174" s="7"/>
      <c r="YE174" s="7"/>
      <c r="YF174" s="7"/>
      <c r="YG174" s="7"/>
      <c r="YH174" s="7"/>
      <c r="YI174" s="7"/>
      <c r="YJ174" s="7"/>
      <c r="YK174" s="7"/>
      <c r="YL174" s="7"/>
      <c r="YM174" s="7"/>
      <c r="YN174" s="7"/>
      <c r="YO174" s="7"/>
      <c r="YP174" s="7"/>
      <c r="YQ174" s="7"/>
      <c r="YR174" s="7"/>
      <c r="YS174" s="7"/>
      <c r="YT174" s="7"/>
      <c r="YU174" s="7"/>
      <c r="YV174" s="7"/>
      <c r="YW174" s="7"/>
      <c r="YX174" s="7"/>
      <c r="YY174" s="7"/>
      <c r="YZ174" s="7"/>
      <c r="ZA174" s="7"/>
      <c r="ZB174" s="7"/>
      <c r="ZC174" s="7"/>
      <c r="ZD174" s="7"/>
      <c r="ZE174" s="7"/>
      <c r="ZF174" s="7"/>
      <c r="ZG174" s="7"/>
      <c r="ZH174" s="7"/>
      <c r="ZI174" s="7"/>
      <c r="ZJ174" s="7"/>
      <c r="ZK174" s="7"/>
      <c r="ZL174" s="7"/>
      <c r="ZM174" s="7"/>
      <c r="ZN174" s="7"/>
      <c r="ZO174" s="7"/>
      <c r="ZP174" s="7"/>
      <c r="ZQ174" s="7"/>
      <c r="ZR174" s="7"/>
      <c r="ZS174" s="7"/>
      <c r="ZT174" s="7"/>
      <c r="ZU174" s="7"/>
      <c r="ZV174" s="7"/>
      <c r="ZW174" s="7"/>
      <c r="ZX174" s="7"/>
      <c r="ZY174" s="7"/>
      <c r="ZZ174" s="7"/>
      <c r="AAA174" s="7"/>
      <c r="AAB174" s="7"/>
      <c r="AAC174" s="7"/>
      <c r="AAD174" s="7"/>
      <c r="AAE174" s="7"/>
      <c r="AAF174" s="7"/>
      <c r="AAG174" s="7"/>
      <c r="AAH174" s="7"/>
      <c r="AAI174" s="7"/>
      <c r="AAJ174" s="7"/>
      <c r="AAK174" s="7"/>
      <c r="AAL174" s="7"/>
      <c r="AAM174" s="7"/>
      <c r="AAN174" s="7"/>
      <c r="AAO174" s="7"/>
      <c r="AAP174" s="7"/>
      <c r="AAQ174" s="7"/>
      <c r="AAR174" s="7"/>
      <c r="AAS174" s="7"/>
      <c r="AAT174" s="7"/>
      <c r="AAU174" s="7"/>
      <c r="AAV174" s="7"/>
      <c r="AAW174" s="7"/>
      <c r="AAX174" s="7"/>
      <c r="AAY174" s="7"/>
      <c r="AAZ174" s="7"/>
      <c r="ABA174" s="7"/>
      <c r="ABB174" s="7"/>
      <c r="ABC174" s="7"/>
      <c r="ABD174" s="7"/>
      <c r="ABE174" s="7"/>
      <c r="ABF174" s="7"/>
      <c r="ABG174" s="7"/>
      <c r="ABH174" s="7"/>
      <c r="ABI174" s="7"/>
      <c r="ABJ174" s="7"/>
      <c r="ABK174" s="7"/>
      <c r="ABL174" s="7"/>
      <c r="ABM174" s="7"/>
      <c r="ABN174" s="7"/>
      <c r="ABO174" s="7"/>
      <c r="ABP174" s="7"/>
      <c r="ABQ174" s="7"/>
      <c r="ABR174" s="7"/>
      <c r="ABS174" s="7"/>
      <c r="ABT174" s="7"/>
      <c r="ABU174" s="7"/>
      <c r="ABV174" s="7"/>
      <c r="ABW174" s="7"/>
      <c r="ABX174" s="7"/>
      <c r="ABY174" s="7"/>
      <c r="ABZ174" s="7"/>
      <c r="ACA174" s="7"/>
      <c r="ACB174" s="7"/>
      <c r="ACC174" s="7"/>
      <c r="ACD174" s="7"/>
      <c r="ACE174" s="7"/>
      <c r="ACF174" s="7"/>
      <c r="ACG174" s="7"/>
      <c r="ACH174" s="7"/>
      <c r="ACI174" s="7"/>
      <c r="ACJ174" s="7"/>
      <c r="ACK174" s="7"/>
      <c r="ACL174" s="7"/>
      <c r="ACM174" s="7"/>
      <c r="ACN174" s="7"/>
      <c r="ACO174" s="7"/>
      <c r="ACP174" s="7"/>
      <c r="ACQ174" s="7"/>
      <c r="ACR174" s="7"/>
      <c r="ACS174" s="7"/>
      <c r="ACT174" s="7"/>
      <c r="ACU174" s="7"/>
      <c r="ACV174" s="7"/>
      <c r="ACW174" s="7"/>
      <c r="ACX174" s="7"/>
      <c r="ACY174" s="7"/>
      <c r="ACZ174" s="7"/>
      <c r="ADA174" s="7"/>
      <c r="ADB174" s="7"/>
      <c r="ADC174" s="7"/>
      <c r="ADD174" s="7"/>
      <c r="ADE174" s="7"/>
      <c r="ADF174" s="7"/>
      <c r="ADG174" s="7"/>
      <c r="ADH174" s="7"/>
      <c r="ADI174" s="7"/>
      <c r="ADJ174" s="7"/>
      <c r="ADK174" s="7"/>
      <c r="ADL174" s="7"/>
      <c r="ADM174" s="7"/>
      <c r="ADN174" s="7"/>
      <c r="ADO174" s="7"/>
      <c r="ADP174" s="7"/>
      <c r="ADQ174" s="7"/>
      <c r="ADR174" s="7"/>
      <c r="ADS174" s="7"/>
      <c r="ADT174" s="7"/>
      <c r="ADU174" s="7"/>
      <c r="ADV174" s="7"/>
      <c r="ADW174" s="7"/>
      <c r="ADX174" s="7"/>
      <c r="ADY174" s="7"/>
      <c r="ADZ174" s="7"/>
      <c r="AEA174" s="7"/>
      <c r="AEB174" s="7"/>
      <c r="AEC174" s="7"/>
      <c r="AED174" s="7"/>
      <c r="AEE174" s="7"/>
      <c r="AEF174" s="7"/>
      <c r="AEG174" s="7"/>
      <c r="AEH174" s="7"/>
      <c r="AEI174" s="7"/>
      <c r="AEJ174" s="7"/>
      <c r="AEK174" s="7"/>
      <c r="AEL174" s="7"/>
      <c r="AEM174" s="7"/>
      <c r="AEN174" s="7"/>
      <c r="AEO174" s="7"/>
      <c r="AEP174" s="7"/>
      <c r="AEQ174" s="7"/>
      <c r="AER174" s="7"/>
      <c r="AES174" s="7"/>
      <c r="AET174" s="7"/>
      <c r="AEU174" s="7"/>
      <c r="AEV174" s="7"/>
      <c r="AEW174" s="7"/>
      <c r="AEX174" s="7"/>
      <c r="AEY174" s="7"/>
      <c r="AEZ174" s="7"/>
      <c r="AFA174" s="7"/>
      <c r="AFB174" s="7"/>
      <c r="AFC174" s="7"/>
      <c r="AFD174" s="7"/>
      <c r="AFE174" s="7"/>
      <c r="AFF174" s="7"/>
      <c r="AFG174" s="7"/>
      <c r="AFH174" s="7"/>
      <c r="AFI174" s="7"/>
      <c r="AFJ174" s="7"/>
      <c r="AFK174" s="7"/>
      <c r="AFL174" s="7"/>
      <c r="AFM174" s="7"/>
      <c r="AFN174" s="7"/>
      <c r="AFO174" s="7"/>
      <c r="AFP174" s="7"/>
      <c r="AFQ174" s="7"/>
      <c r="AFR174" s="7"/>
      <c r="AFS174" s="7"/>
      <c r="AFT174" s="7"/>
      <c r="AFU174" s="7"/>
      <c r="AFV174" s="7"/>
      <c r="AFW174" s="7"/>
      <c r="AFX174" s="7"/>
      <c r="AFY174" s="7"/>
      <c r="AFZ174" s="7"/>
      <c r="AGA174" s="7"/>
      <c r="AGB174" s="7"/>
      <c r="AGC174" s="7"/>
      <c r="AGD174" s="7"/>
      <c r="AGE174" s="7"/>
      <c r="AGF174" s="7"/>
      <c r="AGG174" s="7"/>
      <c r="AGH174" s="7"/>
      <c r="AGI174" s="7"/>
      <c r="AGJ174" s="7"/>
      <c r="AGK174" s="7"/>
      <c r="AGL174" s="7"/>
      <c r="AGM174" s="7"/>
      <c r="AGN174" s="7"/>
      <c r="AGO174" s="7"/>
      <c r="AGP174" s="7"/>
      <c r="AGQ174" s="7"/>
      <c r="AGR174" s="7"/>
      <c r="AGS174" s="7"/>
      <c r="AGT174" s="7"/>
      <c r="AGU174" s="7"/>
      <c r="AGV174" s="7"/>
      <c r="AGW174" s="7"/>
      <c r="AGX174" s="7"/>
      <c r="AGY174" s="7"/>
      <c r="AGZ174" s="7"/>
      <c r="AHA174" s="7"/>
      <c r="AHB174" s="7"/>
      <c r="AHC174" s="7"/>
      <c r="AHD174" s="7"/>
      <c r="AHE174" s="7"/>
      <c r="AHF174" s="7"/>
      <c r="AHG174" s="7"/>
      <c r="AHH174" s="7"/>
      <c r="AHI174" s="7"/>
      <c r="AHJ174" s="7"/>
      <c r="AHK174" s="7"/>
      <c r="AHL174" s="7"/>
      <c r="AHM174" s="7"/>
      <c r="AHN174" s="7"/>
      <c r="AHO174" s="7"/>
      <c r="AHP174" s="7"/>
      <c r="AHQ174" s="7"/>
      <c r="AHR174" s="7"/>
      <c r="AHS174" s="7"/>
      <c r="AHT174" s="7"/>
      <c r="AHU174" s="7"/>
      <c r="AHV174" s="7"/>
      <c r="AHW174" s="7"/>
      <c r="AHX174" s="7"/>
      <c r="AHY174" s="7"/>
      <c r="AHZ174" s="7"/>
      <c r="AIA174" s="7"/>
      <c r="AIB174" s="7"/>
      <c r="AIC174" s="7"/>
      <c r="AID174" s="7"/>
      <c r="AIE174" s="7"/>
      <c r="AIF174" s="7"/>
      <c r="AIG174" s="7"/>
      <c r="AIH174" s="7"/>
      <c r="AII174" s="7"/>
      <c r="AIJ174" s="7"/>
      <c r="AIK174" s="7"/>
      <c r="AIL174" s="7"/>
      <c r="AIM174" s="7"/>
      <c r="AIN174" s="7"/>
      <c r="AIO174" s="7"/>
      <c r="AIP174" s="7"/>
      <c r="AIQ174" s="7"/>
      <c r="AIR174" s="7"/>
      <c r="AIS174" s="7"/>
      <c r="AIT174" s="7"/>
      <c r="AIU174" s="7"/>
      <c r="AIV174" s="7"/>
      <c r="AIW174" s="7"/>
      <c r="AIX174" s="7"/>
      <c r="AIY174" s="7"/>
      <c r="AIZ174" s="7"/>
      <c r="AJA174" s="7"/>
      <c r="AJB174" s="7"/>
      <c r="AJC174" s="7"/>
      <c r="AJD174" s="7"/>
      <c r="AJE174" s="7"/>
      <c r="AJF174" s="7"/>
      <c r="AJG174" s="7"/>
      <c r="AJH174" s="7"/>
      <c r="AJI174" s="7"/>
      <c r="AJJ174" s="7"/>
      <c r="AJK174" s="7"/>
      <c r="AJL174" s="7"/>
      <c r="AJM174" s="7"/>
      <c r="AJN174" s="7"/>
      <c r="AJO174" s="7"/>
      <c r="AJP174" s="7"/>
      <c r="AJQ174" s="7"/>
      <c r="AJR174" s="7"/>
      <c r="AJS174" s="7"/>
      <c r="AJT174" s="7"/>
      <c r="AJU174" s="7"/>
      <c r="AJV174" s="7"/>
      <c r="AJW174" s="7"/>
      <c r="AJX174" s="7"/>
      <c r="AJY174" s="7"/>
      <c r="AJZ174" s="7"/>
      <c r="AKA174" s="7"/>
      <c r="AKB174" s="7"/>
      <c r="AKC174" s="7"/>
      <c r="AKD174" s="7"/>
      <c r="AKE174" s="7"/>
      <c r="AKF174" s="7"/>
      <c r="AKG174" s="7"/>
      <c r="AKH174" s="7"/>
      <c r="AKI174" s="7"/>
      <c r="AKJ174" s="7"/>
      <c r="AKK174" s="7"/>
      <c r="AKL174" s="7"/>
      <c r="AKM174" s="7"/>
      <c r="AKN174" s="7"/>
      <c r="AKO174" s="7"/>
      <c r="AKP174" s="7"/>
      <c r="AKQ174" s="7"/>
      <c r="AKR174" s="7"/>
      <c r="AKS174" s="7"/>
      <c r="AKT174" s="7"/>
      <c r="AKU174" s="7"/>
      <c r="AKV174" s="7"/>
      <c r="AKW174" s="7"/>
      <c r="AKX174" s="7"/>
      <c r="AKY174" s="7"/>
      <c r="AKZ174" s="7"/>
      <c r="ALA174" s="7"/>
      <c r="ALB174" s="7"/>
      <c r="ALC174" s="7"/>
      <c r="ALD174" s="7"/>
      <c r="ALE174" s="7"/>
      <c r="ALF174" s="7"/>
      <c r="ALG174" s="7"/>
      <c r="ALH174" s="7"/>
      <c r="ALI174" s="7"/>
      <c r="ALJ174" s="7"/>
      <c r="ALK174" s="7"/>
      <c r="ALL174" s="7"/>
      <c r="ALM174" s="7"/>
      <c r="ALN174" s="7"/>
      <c r="ALO174" s="7"/>
      <c r="ALP174" s="7"/>
      <c r="ALQ174" s="7"/>
      <c r="ALR174" s="7"/>
      <c r="ALS174" s="7"/>
      <c r="ALT174" s="7"/>
      <c r="ALU174" s="7"/>
      <c r="ALV174" s="7"/>
      <c r="ALW174" s="7"/>
      <c r="ALX174" s="7"/>
      <c r="ALY174" s="7"/>
      <c r="ALZ174" s="7"/>
      <c r="AMA174" s="7"/>
      <c r="AMB174" s="7"/>
      <c r="AMC174" s="7"/>
      <c r="AMD174" s="7"/>
      <c r="AME174" s="7"/>
      <c r="AMF174" s="7"/>
      <c r="AMG174" s="7"/>
      <c r="AMH174" s="7"/>
      <c r="AMI174" s="7"/>
      <c r="AMJ174" s="7"/>
    </row>
    <row r="175" customFormat="false" ht="15.75" hidden="false" customHeight="true" outlineLevel="0" collapsed="false">
      <c r="A175" s="7"/>
      <c r="B175" s="7"/>
      <c r="C175" s="288" t="s">
        <v>194</v>
      </c>
      <c r="D175" s="289" t="s">
        <v>189</v>
      </c>
      <c r="E175" s="290" t="s">
        <v>4</v>
      </c>
      <c r="F175" s="78"/>
      <c r="G175" s="10"/>
      <c r="H175" s="24"/>
      <c r="I175" s="268"/>
      <c r="J175" s="8"/>
      <c r="K175" s="8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  <c r="KS175" s="7"/>
      <c r="KT175" s="7"/>
      <c r="KU175" s="7"/>
      <c r="KV175" s="7"/>
      <c r="KW175" s="7"/>
      <c r="KX175" s="7"/>
      <c r="KY175" s="7"/>
      <c r="KZ175" s="7"/>
      <c r="LA175" s="7"/>
      <c r="LB175" s="7"/>
      <c r="LC175" s="7"/>
      <c r="LD175" s="7"/>
      <c r="LE175" s="7"/>
      <c r="LF175" s="7"/>
      <c r="LG175" s="7"/>
      <c r="LH175" s="7"/>
      <c r="LI175" s="7"/>
      <c r="LJ175" s="7"/>
      <c r="LK175" s="7"/>
      <c r="LL175" s="7"/>
      <c r="LM175" s="7"/>
      <c r="LN175" s="7"/>
      <c r="LO175" s="7"/>
      <c r="LP175" s="7"/>
      <c r="LQ175" s="7"/>
      <c r="LR175" s="7"/>
      <c r="LS175" s="7"/>
      <c r="LT175" s="7"/>
      <c r="LU175" s="7"/>
      <c r="LV175" s="7"/>
      <c r="LW175" s="7"/>
      <c r="LX175" s="7"/>
      <c r="LY175" s="7"/>
      <c r="LZ175" s="7"/>
      <c r="MA175" s="7"/>
      <c r="MB175" s="7"/>
      <c r="MC175" s="7"/>
      <c r="MD175" s="7"/>
      <c r="ME175" s="7"/>
      <c r="MF175" s="7"/>
      <c r="MG175" s="7"/>
      <c r="MH175" s="7"/>
      <c r="MI175" s="7"/>
      <c r="MJ175" s="7"/>
      <c r="MK175" s="7"/>
      <c r="ML175" s="7"/>
      <c r="MM175" s="7"/>
      <c r="MN175" s="7"/>
      <c r="MO175" s="7"/>
      <c r="MP175" s="7"/>
      <c r="MQ175" s="7"/>
      <c r="MR175" s="7"/>
      <c r="MS175" s="7"/>
      <c r="MT175" s="7"/>
      <c r="MU175" s="7"/>
      <c r="MV175" s="7"/>
      <c r="MW175" s="7"/>
      <c r="MX175" s="7"/>
      <c r="MY175" s="7"/>
      <c r="MZ175" s="7"/>
      <c r="NA175" s="7"/>
      <c r="NB175" s="7"/>
      <c r="NC175" s="7"/>
      <c r="ND175" s="7"/>
      <c r="NE175" s="7"/>
      <c r="NF175" s="7"/>
      <c r="NG175" s="7"/>
      <c r="NH175" s="7"/>
      <c r="NI175" s="7"/>
      <c r="NJ175" s="7"/>
      <c r="NK175" s="7"/>
      <c r="NL175" s="7"/>
      <c r="NM175" s="7"/>
      <c r="NN175" s="7"/>
      <c r="NO175" s="7"/>
      <c r="NP175" s="7"/>
      <c r="NQ175" s="7"/>
      <c r="NR175" s="7"/>
      <c r="NS175" s="7"/>
      <c r="NT175" s="7"/>
      <c r="NU175" s="7"/>
      <c r="NV175" s="7"/>
      <c r="NW175" s="7"/>
      <c r="NX175" s="7"/>
      <c r="NY175" s="7"/>
      <c r="NZ175" s="7"/>
      <c r="OA175" s="7"/>
      <c r="OB175" s="7"/>
      <c r="OC175" s="7"/>
      <c r="OD175" s="7"/>
      <c r="OE175" s="7"/>
      <c r="OF175" s="7"/>
      <c r="OG175" s="7"/>
      <c r="OH175" s="7"/>
      <c r="OI175" s="7"/>
      <c r="OJ175" s="7"/>
      <c r="OK175" s="7"/>
      <c r="OL175" s="7"/>
      <c r="OM175" s="7"/>
      <c r="ON175" s="7"/>
      <c r="OO175" s="7"/>
      <c r="OP175" s="7"/>
      <c r="OQ175" s="7"/>
      <c r="OR175" s="7"/>
      <c r="OS175" s="7"/>
      <c r="OT175" s="7"/>
      <c r="OU175" s="7"/>
      <c r="OV175" s="7"/>
      <c r="OW175" s="7"/>
      <c r="OX175" s="7"/>
      <c r="OY175" s="7"/>
      <c r="OZ175" s="7"/>
      <c r="PA175" s="7"/>
      <c r="PB175" s="7"/>
      <c r="PC175" s="7"/>
      <c r="PD175" s="7"/>
      <c r="PE175" s="7"/>
      <c r="PF175" s="7"/>
      <c r="PG175" s="7"/>
      <c r="PH175" s="7"/>
      <c r="PI175" s="7"/>
      <c r="PJ175" s="7"/>
      <c r="PK175" s="7"/>
      <c r="PL175" s="7"/>
      <c r="PM175" s="7"/>
      <c r="PN175" s="7"/>
      <c r="PO175" s="7"/>
      <c r="PP175" s="7"/>
      <c r="PQ175" s="7"/>
      <c r="PR175" s="7"/>
      <c r="PS175" s="7"/>
      <c r="PT175" s="7"/>
      <c r="PU175" s="7"/>
      <c r="PV175" s="7"/>
      <c r="PW175" s="7"/>
      <c r="PX175" s="7"/>
      <c r="PY175" s="7"/>
      <c r="PZ175" s="7"/>
      <c r="QA175" s="7"/>
      <c r="QB175" s="7"/>
      <c r="QC175" s="7"/>
      <c r="QD175" s="7"/>
      <c r="QE175" s="7"/>
      <c r="QF175" s="7"/>
      <c r="QG175" s="7"/>
      <c r="QH175" s="7"/>
      <c r="QI175" s="7"/>
      <c r="QJ175" s="7"/>
      <c r="QK175" s="7"/>
      <c r="QL175" s="7"/>
      <c r="QM175" s="7"/>
      <c r="QN175" s="7"/>
      <c r="QO175" s="7"/>
      <c r="QP175" s="7"/>
      <c r="QQ175" s="7"/>
      <c r="QR175" s="7"/>
      <c r="QS175" s="7"/>
      <c r="QT175" s="7"/>
      <c r="QU175" s="7"/>
      <c r="QV175" s="7"/>
      <c r="QW175" s="7"/>
      <c r="QX175" s="7"/>
      <c r="QY175" s="7"/>
      <c r="QZ175" s="7"/>
      <c r="RA175" s="7"/>
      <c r="RB175" s="7"/>
      <c r="RC175" s="7"/>
      <c r="RD175" s="7"/>
      <c r="RE175" s="7"/>
      <c r="RF175" s="7"/>
      <c r="RG175" s="7"/>
      <c r="RH175" s="7"/>
      <c r="RI175" s="7"/>
      <c r="RJ175" s="7"/>
      <c r="RK175" s="7"/>
      <c r="RL175" s="7"/>
      <c r="RM175" s="7"/>
      <c r="RN175" s="7"/>
      <c r="RO175" s="7"/>
      <c r="RP175" s="7"/>
      <c r="RQ175" s="7"/>
      <c r="RR175" s="7"/>
      <c r="RS175" s="7"/>
      <c r="RT175" s="7"/>
      <c r="RU175" s="7"/>
      <c r="RV175" s="7"/>
      <c r="RW175" s="7"/>
      <c r="RX175" s="7"/>
      <c r="RY175" s="7"/>
      <c r="RZ175" s="7"/>
      <c r="SA175" s="7"/>
      <c r="SB175" s="7"/>
      <c r="SC175" s="7"/>
      <c r="SD175" s="7"/>
      <c r="SE175" s="7"/>
      <c r="SF175" s="7"/>
      <c r="SG175" s="7"/>
      <c r="SH175" s="7"/>
      <c r="SI175" s="7"/>
      <c r="SJ175" s="7"/>
      <c r="SK175" s="7"/>
      <c r="SL175" s="7"/>
      <c r="SM175" s="7"/>
      <c r="SN175" s="7"/>
      <c r="SO175" s="7"/>
      <c r="SP175" s="7"/>
      <c r="SQ175" s="7"/>
      <c r="SR175" s="7"/>
      <c r="SS175" s="7"/>
      <c r="ST175" s="7"/>
      <c r="SU175" s="7"/>
      <c r="SV175" s="7"/>
      <c r="SW175" s="7"/>
      <c r="SX175" s="7"/>
      <c r="SY175" s="7"/>
      <c r="SZ175" s="7"/>
      <c r="TA175" s="7"/>
      <c r="TB175" s="7"/>
      <c r="TC175" s="7"/>
      <c r="TD175" s="7"/>
      <c r="TE175" s="7"/>
      <c r="TF175" s="7"/>
      <c r="TG175" s="7"/>
      <c r="TH175" s="7"/>
      <c r="TI175" s="7"/>
      <c r="TJ175" s="7"/>
      <c r="TK175" s="7"/>
      <c r="TL175" s="7"/>
      <c r="TM175" s="7"/>
      <c r="TN175" s="7"/>
      <c r="TO175" s="7"/>
      <c r="TP175" s="7"/>
      <c r="TQ175" s="7"/>
      <c r="TR175" s="7"/>
      <c r="TS175" s="7"/>
      <c r="TT175" s="7"/>
      <c r="TU175" s="7"/>
      <c r="TV175" s="7"/>
      <c r="TW175" s="7"/>
      <c r="TX175" s="7"/>
      <c r="TY175" s="7"/>
      <c r="TZ175" s="7"/>
      <c r="UA175" s="7"/>
      <c r="UB175" s="7"/>
      <c r="UC175" s="7"/>
      <c r="UD175" s="7"/>
      <c r="UE175" s="7"/>
      <c r="UF175" s="7"/>
      <c r="UG175" s="7"/>
      <c r="UH175" s="7"/>
      <c r="UI175" s="7"/>
      <c r="UJ175" s="7"/>
      <c r="UK175" s="7"/>
      <c r="UL175" s="7"/>
      <c r="UM175" s="7"/>
      <c r="UN175" s="7"/>
      <c r="UO175" s="7"/>
      <c r="UP175" s="7"/>
      <c r="UQ175" s="7"/>
      <c r="UR175" s="7"/>
      <c r="US175" s="7"/>
      <c r="UT175" s="7"/>
      <c r="UU175" s="7"/>
      <c r="UV175" s="7"/>
      <c r="UW175" s="7"/>
      <c r="UX175" s="7"/>
      <c r="UY175" s="7"/>
      <c r="UZ175" s="7"/>
      <c r="VA175" s="7"/>
      <c r="VB175" s="7"/>
      <c r="VC175" s="7"/>
      <c r="VD175" s="7"/>
      <c r="VE175" s="7"/>
      <c r="VF175" s="7"/>
      <c r="VG175" s="7"/>
      <c r="VH175" s="7"/>
      <c r="VI175" s="7"/>
      <c r="VJ175" s="7"/>
      <c r="VK175" s="7"/>
      <c r="VL175" s="7"/>
      <c r="VM175" s="7"/>
      <c r="VN175" s="7"/>
      <c r="VO175" s="7"/>
      <c r="VP175" s="7"/>
      <c r="VQ175" s="7"/>
      <c r="VR175" s="7"/>
      <c r="VS175" s="7"/>
      <c r="VT175" s="7"/>
      <c r="VU175" s="7"/>
      <c r="VV175" s="7"/>
      <c r="VW175" s="7"/>
      <c r="VX175" s="7"/>
      <c r="VY175" s="7"/>
      <c r="VZ175" s="7"/>
      <c r="WA175" s="7"/>
      <c r="WB175" s="7"/>
      <c r="WC175" s="7"/>
      <c r="WD175" s="7"/>
      <c r="WE175" s="7"/>
      <c r="WF175" s="7"/>
      <c r="WG175" s="7"/>
      <c r="WH175" s="7"/>
      <c r="WI175" s="7"/>
      <c r="WJ175" s="7"/>
      <c r="WK175" s="7"/>
      <c r="WL175" s="7"/>
      <c r="WM175" s="7"/>
      <c r="WN175" s="7"/>
      <c r="WO175" s="7"/>
      <c r="WP175" s="7"/>
      <c r="WQ175" s="7"/>
      <c r="WR175" s="7"/>
      <c r="WS175" s="7"/>
      <c r="WT175" s="7"/>
      <c r="WU175" s="7"/>
      <c r="WV175" s="7"/>
      <c r="WW175" s="7"/>
      <c r="WX175" s="7"/>
      <c r="WY175" s="7"/>
      <c r="WZ175" s="7"/>
      <c r="XA175" s="7"/>
      <c r="XB175" s="7"/>
      <c r="XC175" s="7"/>
      <c r="XD175" s="7"/>
      <c r="XE175" s="7"/>
      <c r="XF175" s="7"/>
      <c r="XG175" s="7"/>
      <c r="XH175" s="7"/>
      <c r="XI175" s="7"/>
      <c r="XJ175" s="7"/>
      <c r="XK175" s="7"/>
      <c r="XL175" s="7"/>
      <c r="XM175" s="7"/>
      <c r="XN175" s="7"/>
      <c r="XO175" s="7"/>
      <c r="XP175" s="7"/>
      <c r="XQ175" s="7"/>
      <c r="XR175" s="7"/>
      <c r="XS175" s="7"/>
      <c r="XT175" s="7"/>
      <c r="XU175" s="7"/>
      <c r="XV175" s="7"/>
      <c r="XW175" s="7"/>
      <c r="XX175" s="7"/>
      <c r="XY175" s="7"/>
      <c r="XZ175" s="7"/>
      <c r="YA175" s="7"/>
      <c r="YB175" s="7"/>
      <c r="YC175" s="7"/>
      <c r="YD175" s="7"/>
      <c r="YE175" s="7"/>
      <c r="YF175" s="7"/>
      <c r="YG175" s="7"/>
      <c r="YH175" s="7"/>
      <c r="YI175" s="7"/>
      <c r="YJ175" s="7"/>
      <c r="YK175" s="7"/>
      <c r="YL175" s="7"/>
      <c r="YM175" s="7"/>
      <c r="YN175" s="7"/>
      <c r="YO175" s="7"/>
      <c r="YP175" s="7"/>
      <c r="YQ175" s="7"/>
      <c r="YR175" s="7"/>
      <c r="YS175" s="7"/>
      <c r="YT175" s="7"/>
      <c r="YU175" s="7"/>
      <c r="YV175" s="7"/>
      <c r="YW175" s="7"/>
      <c r="YX175" s="7"/>
      <c r="YY175" s="7"/>
      <c r="YZ175" s="7"/>
      <c r="ZA175" s="7"/>
      <c r="ZB175" s="7"/>
      <c r="ZC175" s="7"/>
      <c r="ZD175" s="7"/>
      <c r="ZE175" s="7"/>
      <c r="ZF175" s="7"/>
      <c r="ZG175" s="7"/>
      <c r="ZH175" s="7"/>
      <c r="ZI175" s="7"/>
      <c r="ZJ175" s="7"/>
      <c r="ZK175" s="7"/>
      <c r="ZL175" s="7"/>
      <c r="ZM175" s="7"/>
      <c r="ZN175" s="7"/>
      <c r="ZO175" s="7"/>
      <c r="ZP175" s="7"/>
      <c r="ZQ175" s="7"/>
      <c r="ZR175" s="7"/>
      <c r="ZS175" s="7"/>
      <c r="ZT175" s="7"/>
      <c r="ZU175" s="7"/>
      <c r="ZV175" s="7"/>
      <c r="ZW175" s="7"/>
      <c r="ZX175" s="7"/>
      <c r="ZY175" s="7"/>
      <c r="ZZ175" s="7"/>
      <c r="AAA175" s="7"/>
      <c r="AAB175" s="7"/>
      <c r="AAC175" s="7"/>
      <c r="AAD175" s="7"/>
      <c r="AAE175" s="7"/>
      <c r="AAF175" s="7"/>
      <c r="AAG175" s="7"/>
      <c r="AAH175" s="7"/>
      <c r="AAI175" s="7"/>
      <c r="AAJ175" s="7"/>
      <c r="AAK175" s="7"/>
      <c r="AAL175" s="7"/>
      <c r="AAM175" s="7"/>
      <c r="AAN175" s="7"/>
      <c r="AAO175" s="7"/>
      <c r="AAP175" s="7"/>
      <c r="AAQ175" s="7"/>
      <c r="AAR175" s="7"/>
      <c r="AAS175" s="7"/>
      <c r="AAT175" s="7"/>
      <c r="AAU175" s="7"/>
      <c r="AAV175" s="7"/>
      <c r="AAW175" s="7"/>
      <c r="AAX175" s="7"/>
      <c r="AAY175" s="7"/>
      <c r="AAZ175" s="7"/>
      <c r="ABA175" s="7"/>
      <c r="ABB175" s="7"/>
      <c r="ABC175" s="7"/>
      <c r="ABD175" s="7"/>
      <c r="ABE175" s="7"/>
      <c r="ABF175" s="7"/>
      <c r="ABG175" s="7"/>
      <c r="ABH175" s="7"/>
      <c r="ABI175" s="7"/>
      <c r="ABJ175" s="7"/>
      <c r="ABK175" s="7"/>
      <c r="ABL175" s="7"/>
      <c r="ABM175" s="7"/>
      <c r="ABN175" s="7"/>
      <c r="ABO175" s="7"/>
      <c r="ABP175" s="7"/>
      <c r="ABQ175" s="7"/>
      <c r="ABR175" s="7"/>
      <c r="ABS175" s="7"/>
      <c r="ABT175" s="7"/>
      <c r="ABU175" s="7"/>
      <c r="ABV175" s="7"/>
      <c r="ABW175" s="7"/>
      <c r="ABX175" s="7"/>
      <c r="ABY175" s="7"/>
      <c r="ABZ175" s="7"/>
      <c r="ACA175" s="7"/>
      <c r="ACB175" s="7"/>
      <c r="ACC175" s="7"/>
      <c r="ACD175" s="7"/>
      <c r="ACE175" s="7"/>
      <c r="ACF175" s="7"/>
      <c r="ACG175" s="7"/>
      <c r="ACH175" s="7"/>
      <c r="ACI175" s="7"/>
      <c r="ACJ175" s="7"/>
      <c r="ACK175" s="7"/>
      <c r="ACL175" s="7"/>
      <c r="ACM175" s="7"/>
      <c r="ACN175" s="7"/>
      <c r="ACO175" s="7"/>
      <c r="ACP175" s="7"/>
      <c r="ACQ175" s="7"/>
      <c r="ACR175" s="7"/>
      <c r="ACS175" s="7"/>
      <c r="ACT175" s="7"/>
      <c r="ACU175" s="7"/>
      <c r="ACV175" s="7"/>
      <c r="ACW175" s="7"/>
      <c r="ACX175" s="7"/>
      <c r="ACY175" s="7"/>
      <c r="ACZ175" s="7"/>
      <c r="ADA175" s="7"/>
      <c r="ADB175" s="7"/>
      <c r="ADC175" s="7"/>
      <c r="ADD175" s="7"/>
      <c r="ADE175" s="7"/>
      <c r="ADF175" s="7"/>
      <c r="ADG175" s="7"/>
      <c r="ADH175" s="7"/>
      <c r="ADI175" s="7"/>
      <c r="ADJ175" s="7"/>
      <c r="ADK175" s="7"/>
      <c r="ADL175" s="7"/>
      <c r="ADM175" s="7"/>
      <c r="ADN175" s="7"/>
      <c r="ADO175" s="7"/>
      <c r="ADP175" s="7"/>
      <c r="ADQ175" s="7"/>
      <c r="ADR175" s="7"/>
      <c r="ADS175" s="7"/>
      <c r="ADT175" s="7"/>
      <c r="ADU175" s="7"/>
      <c r="ADV175" s="7"/>
      <c r="ADW175" s="7"/>
      <c r="ADX175" s="7"/>
      <c r="ADY175" s="7"/>
      <c r="ADZ175" s="7"/>
      <c r="AEA175" s="7"/>
      <c r="AEB175" s="7"/>
      <c r="AEC175" s="7"/>
      <c r="AED175" s="7"/>
      <c r="AEE175" s="7"/>
      <c r="AEF175" s="7"/>
      <c r="AEG175" s="7"/>
      <c r="AEH175" s="7"/>
      <c r="AEI175" s="7"/>
      <c r="AEJ175" s="7"/>
      <c r="AEK175" s="7"/>
      <c r="AEL175" s="7"/>
      <c r="AEM175" s="7"/>
      <c r="AEN175" s="7"/>
      <c r="AEO175" s="7"/>
      <c r="AEP175" s="7"/>
      <c r="AEQ175" s="7"/>
      <c r="AER175" s="7"/>
      <c r="AES175" s="7"/>
      <c r="AET175" s="7"/>
      <c r="AEU175" s="7"/>
      <c r="AEV175" s="7"/>
      <c r="AEW175" s="7"/>
      <c r="AEX175" s="7"/>
      <c r="AEY175" s="7"/>
      <c r="AEZ175" s="7"/>
      <c r="AFA175" s="7"/>
      <c r="AFB175" s="7"/>
      <c r="AFC175" s="7"/>
      <c r="AFD175" s="7"/>
      <c r="AFE175" s="7"/>
      <c r="AFF175" s="7"/>
      <c r="AFG175" s="7"/>
      <c r="AFH175" s="7"/>
      <c r="AFI175" s="7"/>
      <c r="AFJ175" s="7"/>
      <c r="AFK175" s="7"/>
      <c r="AFL175" s="7"/>
      <c r="AFM175" s="7"/>
      <c r="AFN175" s="7"/>
      <c r="AFO175" s="7"/>
      <c r="AFP175" s="7"/>
      <c r="AFQ175" s="7"/>
      <c r="AFR175" s="7"/>
      <c r="AFS175" s="7"/>
      <c r="AFT175" s="7"/>
      <c r="AFU175" s="7"/>
      <c r="AFV175" s="7"/>
      <c r="AFW175" s="7"/>
      <c r="AFX175" s="7"/>
      <c r="AFY175" s="7"/>
      <c r="AFZ175" s="7"/>
      <c r="AGA175" s="7"/>
      <c r="AGB175" s="7"/>
      <c r="AGC175" s="7"/>
      <c r="AGD175" s="7"/>
      <c r="AGE175" s="7"/>
      <c r="AGF175" s="7"/>
      <c r="AGG175" s="7"/>
      <c r="AGH175" s="7"/>
      <c r="AGI175" s="7"/>
      <c r="AGJ175" s="7"/>
      <c r="AGK175" s="7"/>
      <c r="AGL175" s="7"/>
      <c r="AGM175" s="7"/>
      <c r="AGN175" s="7"/>
      <c r="AGO175" s="7"/>
      <c r="AGP175" s="7"/>
      <c r="AGQ175" s="7"/>
      <c r="AGR175" s="7"/>
      <c r="AGS175" s="7"/>
      <c r="AGT175" s="7"/>
      <c r="AGU175" s="7"/>
      <c r="AGV175" s="7"/>
      <c r="AGW175" s="7"/>
      <c r="AGX175" s="7"/>
      <c r="AGY175" s="7"/>
      <c r="AGZ175" s="7"/>
      <c r="AHA175" s="7"/>
      <c r="AHB175" s="7"/>
      <c r="AHC175" s="7"/>
      <c r="AHD175" s="7"/>
      <c r="AHE175" s="7"/>
      <c r="AHF175" s="7"/>
      <c r="AHG175" s="7"/>
      <c r="AHH175" s="7"/>
      <c r="AHI175" s="7"/>
      <c r="AHJ175" s="7"/>
      <c r="AHK175" s="7"/>
      <c r="AHL175" s="7"/>
      <c r="AHM175" s="7"/>
      <c r="AHN175" s="7"/>
      <c r="AHO175" s="7"/>
      <c r="AHP175" s="7"/>
      <c r="AHQ175" s="7"/>
      <c r="AHR175" s="7"/>
      <c r="AHS175" s="7"/>
      <c r="AHT175" s="7"/>
      <c r="AHU175" s="7"/>
      <c r="AHV175" s="7"/>
      <c r="AHW175" s="7"/>
      <c r="AHX175" s="7"/>
      <c r="AHY175" s="7"/>
      <c r="AHZ175" s="7"/>
      <c r="AIA175" s="7"/>
      <c r="AIB175" s="7"/>
      <c r="AIC175" s="7"/>
      <c r="AID175" s="7"/>
      <c r="AIE175" s="7"/>
      <c r="AIF175" s="7"/>
      <c r="AIG175" s="7"/>
      <c r="AIH175" s="7"/>
      <c r="AII175" s="7"/>
      <c r="AIJ175" s="7"/>
      <c r="AIK175" s="7"/>
      <c r="AIL175" s="7"/>
      <c r="AIM175" s="7"/>
      <c r="AIN175" s="7"/>
      <c r="AIO175" s="7"/>
      <c r="AIP175" s="7"/>
      <c r="AIQ175" s="7"/>
      <c r="AIR175" s="7"/>
      <c r="AIS175" s="7"/>
      <c r="AIT175" s="7"/>
      <c r="AIU175" s="7"/>
      <c r="AIV175" s="7"/>
      <c r="AIW175" s="7"/>
      <c r="AIX175" s="7"/>
      <c r="AIY175" s="7"/>
      <c r="AIZ175" s="7"/>
      <c r="AJA175" s="7"/>
      <c r="AJB175" s="7"/>
      <c r="AJC175" s="7"/>
      <c r="AJD175" s="7"/>
      <c r="AJE175" s="7"/>
      <c r="AJF175" s="7"/>
      <c r="AJG175" s="7"/>
      <c r="AJH175" s="7"/>
      <c r="AJI175" s="7"/>
      <c r="AJJ175" s="7"/>
      <c r="AJK175" s="7"/>
      <c r="AJL175" s="7"/>
      <c r="AJM175" s="7"/>
      <c r="AJN175" s="7"/>
      <c r="AJO175" s="7"/>
      <c r="AJP175" s="7"/>
      <c r="AJQ175" s="7"/>
      <c r="AJR175" s="7"/>
      <c r="AJS175" s="7"/>
      <c r="AJT175" s="7"/>
      <c r="AJU175" s="7"/>
      <c r="AJV175" s="7"/>
      <c r="AJW175" s="7"/>
      <c r="AJX175" s="7"/>
      <c r="AJY175" s="7"/>
      <c r="AJZ175" s="7"/>
      <c r="AKA175" s="7"/>
      <c r="AKB175" s="7"/>
      <c r="AKC175" s="7"/>
      <c r="AKD175" s="7"/>
      <c r="AKE175" s="7"/>
      <c r="AKF175" s="7"/>
      <c r="AKG175" s="7"/>
      <c r="AKH175" s="7"/>
      <c r="AKI175" s="7"/>
      <c r="AKJ175" s="7"/>
      <c r="AKK175" s="7"/>
      <c r="AKL175" s="7"/>
      <c r="AKM175" s="7"/>
      <c r="AKN175" s="7"/>
      <c r="AKO175" s="7"/>
      <c r="AKP175" s="7"/>
      <c r="AKQ175" s="7"/>
      <c r="AKR175" s="7"/>
      <c r="AKS175" s="7"/>
      <c r="AKT175" s="7"/>
      <c r="AKU175" s="7"/>
      <c r="AKV175" s="7"/>
      <c r="AKW175" s="7"/>
      <c r="AKX175" s="7"/>
      <c r="AKY175" s="7"/>
      <c r="AKZ175" s="7"/>
      <c r="ALA175" s="7"/>
      <c r="ALB175" s="7"/>
      <c r="ALC175" s="7"/>
      <c r="ALD175" s="7"/>
      <c r="ALE175" s="7"/>
      <c r="ALF175" s="7"/>
      <c r="ALG175" s="7"/>
      <c r="ALH175" s="7"/>
      <c r="ALI175" s="7"/>
      <c r="ALJ175" s="7"/>
      <c r="ALK175" s="7"/>
      <c r="ALL175" s="7"/>
      <c r="ALM175" s="7"/>
      <c r="ALN175" s="7"/>
      <c r="ALO175" s="7"/>
      <c r="ALP175" s="7"/>
      <c r="ALQ175" s="7"/>
      <c r="ALR175" s="7"/>
      <c r="ALS175" s="7"/>
      <c r="ALT175" s="7"/>
      <c r="ALU175" s="7"/>
      <c r="ALV175" s="7"/>
      <c r="ALW175" s="7"/>
      <c r="ALX175" s="7"/>
      <c r="ALY175" s="7"/>
      <c r="ALZ175" s="7"/>
      <c r="AMA175" s="7"/>
      <c r="AMB175" s="7"/>
      <c r="AMC175" s="7"/>
      <c r="AMD175" s="7"/>
      <c r="AME175" s="7"/>
      <c r="AMF175" s="7"/>
      <c r="AMG175" s="7"/>
      <c r="AMH175" s="7"/>
      <c r="AMI175" s="7"/>
      <c r="AMJ175" s="7"/>
    </row>
    <row r="176" customFormat="false" ht="15.75" hidden="false" customHeight="true" outlineLevel="0" collapsed="false">
      <c r="A176" s="7"/>
      <c r="B176" s="7"/>
      <c r="C176" s="291" t="s">
        <v>40</v>
      </c>
      <c r="D176" s="292" t="n">
        <f aca="false">D35+D63</f>
        <v>945</v>
      </c>
      <c r="E176" s="293" t="n">
        <f aca="false">F35+F63</f>
        <v>20</v>
      </c>
      <c r="F176" s="78"/>
      <c r="G176" s="10"/>
      <c r="H176" s="24"/>
      <c r="I176" s="322"/>
      <c r="J176" s="8"/>
      <c r="K176" s="8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  <c r="KS176" s="7"/>
      <c r="KT176" s="7"/>
      <c r="KU176" s="7"/>
      <c r="KV176" s="7"/>
      <c r="KW176" s="7"/>
      <c r="KX176" s="7"/>
      <c r="KY176" s="7"/>
      <c r="KZ176" s="7"/>
      <c r="LA176" s="7"/>
      <c r="LB176" s="7"/>
      <c r="LC176" s="7"/>
      <c r="LD176" s="7"/>
      <c r="LE176" s="7"/>
      <c r="LF176" s="7"/>
      <c r="LG176" s="7"/>
      <c r="LH176" s="7"/>
      <c r="LI176" s="7"/>
      <c r="LJ176" s="7"/>
      <c r="LK176" s="7"/>
      <c r="LL176" s="7"/>
      <c r="LM176" s="7"/>
      <c r="LN176" s="7"/>
      <c r="LO176" s="7"/>
      <c r="LP176" s="7"/>
      <c r="LQ176" s="7"/>
      <c r="LR176" s="7"/>
      <c r="LS176" s="7"/>
      <c r="LT176" s="7"/>
      <c r="LU176" s="7"/>
      <c r="LV176" s="7"/>
      <c r="LW176" s="7"/>
      <c r="LX176" s="7"/>
      <c r="LY176" s="7"/>
      <c r="LZ176" s="7"/>
      <c r="MA176" s="7"/>
      <c r="MB176" s="7"/>
      <c r="MC176" s="7"/>
      <c r="MD176" s="7"/>
      <c r="ME176" s="7"/>
      <c r="MF176" s="7"/>
      <c r="MG176" s="7"/>
      <c r="MH176" s="7"/>
      <c r="MI176" s="7"/>
      <c r="MJ176" s="7"/>
      <c r="MK176" s="7"/>
      <c r="ML176" s="7"/>
      <c r="MM176" s="7"/>
      <c r="MN176" s="7"/>
      <c r="MO176" s="7"/>
      <c r="MP176" s="7"/>
      <c r="MQ176" s="7"/>
      <c r="MR176" s="7"/>
      <c r="MS176" s="7"/>
      <c r="MT176" s="7"/>
      <c r="MU176" s="7"/>
      <c r="MV176" s="7"/>
      <c r="MW176" s="7"/>
      <c r="MX176" s="7"/>
      <c r="MY176" s="7"/>
      <c r="MZ176" s="7"/>
      <c r="NA176" s="7"/>
      <c r="NB176" s="7"/>
      <c r="NC176" s="7"/>
      <c r="ND176" s="7"/>
      <c r="NE176" s="7"/>
      <c r="NF176" s="7"/>
      <c r="NG176" s="7"/>
      <c r="NH176" s="7"/>
      <c r="NI176" s="7"/>
      <c r="NJ176" s="7"/>
      <c r="NK176" s="7"/>
      <c r="NL176" s="7"/>
      <c r="NM176" s="7"/>
      <c r="NN176" s="7"/>
      <c r="NO176" s="7"/>
      <c r="NP176" s="7"/>
      <c r="NQ176" s="7"/>
      <c r="NR176" s="7"/>
      <c r="NS176" s="7"/>
      <c r="NT176" s="7"/>
      <c r="NU176" s="7"/>
      <c r="NV176" s="7"/>
      <c r="NW176" s="7"/>
      <c r="NX176" s="7"/>
      <c r="NY176" s="7"/>
      <c r="NZ176" s="7"/>
      <c r="OA176" s="7"/>
      <c r="OB176" s="7"/>
      <c r="OC176" s="7"/>
      <c r="OD176" s="7"/>
      <c r="OE176" s="7"/>
      <c r="OF176" s="7"/>
      <c r="OG176" s="7"/>
      <c r="OH176" s="7"/>
      <c r="OI176" s="7"/>
      <c r="OJ176" s="7"/>
      <c r="OK176" s="7"/>
      <c r="OL176" s="7"/>
      <c r="OM176" s="7"/>
      <c r="ON176" s="7"/>
      <c r="OO176" s="7"/>
      <c r="OP176" s="7"/>
      <c r="OQ176" s="7"/>
      <c r="OR176" s="7"/>
      <c r="OS176" s="7"/>
      <c r="OT176" s="7"/>
      <c r="OU176" s="7"/>
      <c r="OV176" s="7"/>
      <c r="OW176" s="7"/>
      <c r="OX176" s="7"/>
      <c r="OY176" s="7"/>
      <c r="OZ176" s="7"/>
      <c r="PA176" s="7"/>
      <c r="PB176" s="7"/>
      <c r="PC176" s="7"/>
      <c r="PD176" s="7"/>
      <c r="PE176" s="7"/>
      <c r="PF176" s="7"/>
      <c r="PG176" s="7"/>
      <c r="PH176" s="7"/>
      <c r="PI176" s="7"/>
      <c r="PJ176" s="7"/>
      <c r="PK176" s="7"/>
      <c r="PL176" s="7"/>
      <c r="PM176" s="7"/>
      <c r="PN176" s="7"/>
      <c r="PO176" s="7"/>
      <c r="PP176" s="7"/>
      <c r="PQ176" s="7"/>
      <c r="PR176" s="7"/>
      <c r="PS176" s="7"/>
      <c r="PT176" s="7"/>
      <c r="PU176" s="7"/>
      <c r="PV176" s="7"/>
      <c r="PW176" s="7"/>
      <c r="PX176" s="7"/>
      <c r="PY176" s="7"/>
      <c r="PZ176" s="7"/>
      <c r="QA176" s="7"/>
      <c r="QB176" s="7"/>
      <c r="QC176" s="7"/>
      <c r="QD176" s="7"/>
      <c r="QE176" s="7"/>
      <c r="QF176" s="7"/>
      <c r="QG176" s="7"/>
      <c r="QH176" s="7"/>
      <c r="QI176" s="7"/>
      <c r="QJ176" s="7"/>
      <c r="QK176" s="7"/>
      <c r="QL176" s="7"/>
      <c r="QM176" s="7"/>
      <c r="QN176" s="7"/>
      <c r="QO176" s="7"/>
      <c r="QP176" s="7"/>
      <c r="QQ176" s="7"/>
      <c r="QR176" s="7"/>
      <c r="QS176" s="7"/>
      <c r="QT176" s="7"/>
      <c r="QU176" s="7"/>
      <c r="QV176" s="7"/>
      <c r="QW176" s="7"/>
      <c r="QX176" s="7"/>
      <c r="QY176" s="7"/>
      <c r="QZ176" s="7"/>
      <c r="RA176" s="7"/>
      <c r="RB176" s="7"/>
      <c r="RC176" s="7"/>
      <c r="RD176" s="7"/>
      <c r="RE176" s="7"/>
      <c r="RF176" s="7"/>
      <c r="RG176" s="7"/>
      <c r="RH176" s="7"/>
      <c r="RI176" s="7"/>
      <c r="RJ176" s="7"/>
      <c r="RK176" s="7"/>
      <c r="RL176" s="7"/>
      <c r="RM176" s="7"/>
      <c r="RN176" s="7"/>
      <c r="RO176" s="7"/>
      <c r="RP176" s="7"/>
      <c r="RQ176" s="7"/>
      <c r="RR176" s="7"/>
      <c r="RS176" s="7"/>
      <c r="RT176" s="7"/>
      <c r="RU176" s="7"/>
      <c r="RV176" s="7"/>
      <c r="RW176" s="7"/>
      <c r="RX176" s="7"/>
      <c r="RY176" s="7"/>
      <c r="RZ176" s="7"/>
      <c r="SA176" s="7"/>
      <c r="SB176" s="7"/>
      <c r="SC176" s="7"/>
      <c r="SD176" s="7"/>
      <c r="SE176" s="7"/>
      <c r="SF176" s="7"/>
      <c r="SG176" s="7"/>
      <c r="SH176" s="7"/>
      <c r="SI176" s="7"/>
      <c r="SJ176" s="7"/>
      <c r="SK176" s="7"/>
      <c r="SL176" s="7"/>
      <c r="SM176" s="7"/>
      <c r="SN176" s="7"/>
      <c r="SO176" s="7"/>
      <c r="SP176" s="7"/>
      <c r="SQ176" s="7"/>
      <c r="SR176" s="7"/>
      <c r="SS176" s="7"/>
      <c r="ST176" s="7"/>
      <c r="SU176" s="7"/>
      <c r="SV176" s="7"/>
      <c r="SW176" s="7"/>
      <c r="SX176" s="7"/>
      <c r="SY176" s="7"/>
      <c r="SZ176" s="7"/>
      <c r="TA176" s="7"/>
      <c r="TB176" s="7"/>
      <c r="TC176" s="7"/>
      <c r="TD176" s="7"/>
      <c r="TE176" s="7"/>
      <c r="TF176" s="7"/>
      <c r="TG176" s="7"/>
      <c r="TH176" s="7"/>
      <c r="TI176" s="7"/>
      <c r="TJ176" s="7"/>
      <c r="TK176" s="7"/>
      <c r="TL176" s="7"/>
      <c r="TM176" s="7"/>
      <c r="TN176" s="7"/>
      <c r="TO176" s="7"/>
      <c r="TP176" s="7"/>
      <c r="TQ176" s="7"/>
      <c r="TR176" s="7"/>
      <c r="TS176" s="7"/>
      <c r="TT176" s="7"/>
      <c r="TU176" s="7"/>
      <c r="TV176" s="7"/>
      <c r="TW176" s="7"/>
      <c r="TX176" s="7"/>
      <c r="TY176" s="7"/>
      <c r="TZ176" s="7"/>
      <c r="UA176" s="7"/>
      <c r="UB176" s="7"/>
      <c r="UC176" s="7"/>
      <c r="UD176" s="7"/>
      <c r="UE176" s="7"/>
      <c r="UF176" s="7"/>
      <c r="UG176" s="7"/>
      <c r="UH176" s="7"/>
      <c r="UI176" s="7"/>
      <c r="UJ176" s="7"/>
      <c r="UK176" s="7"/>
      <c r="UL176" s="7"/>
      <c r="UM176" s="7"/>
      <c r="UN176" s="7"/>
      <c r="UO176" s="7"/>
      <c r="UP176" s="7"/>
      <c r="UQ176" s="7"/>
      <c r="UR176" s="7"/>
      <c r="US176" s="7"/>
      <c r="UT176" s="7"/>
      <c r="UU176" s="7"/>
      <c r="UV176" s="7"/>
      <c r="UW176" s="7"/>
      <c r="UX176" s="7"/>
      <c r="UY176" s="7"/>
      <c r="UZ176" s="7"/>
      <c r="VA176" s="7"/>
      <c r="VB176" s="7"/>
      <c r="VC176" s="7"/>
      <c r="VD176" s="7"/>
      <c r="VE176" s="7"/>
      <c r="VF176" s="7"/>
      <c r="VG176" s="7"/>
      <c r="VH176" s="7"/>
      <c r="VI176" s="7"/>
      <c r="VJ176" s="7"/>
      <c r="VK176" s="7"/>
      <c r="VL176" s="7"/>
      <c r="VM176" s="7"/>
      <c r="VN176" s="7"/>
      <c r="VO176" s="7"/>
      <c r="VP176" s="7"/>
      <c r="VQ176" s="7"/>
      <c r="VR176" s="7"/>
      <c r="VS176" s="7"/>
      <c r="VT176" s="7"/>
      <c r="VU176" s="7"/>
      <c r="VV176" s="7"/>
      <c r="VW176" s="7"/>
      <c r="VX176" s="7"/>
      <c r="VY176" s="7"/>
      <c r="VZ176" s="7"/>
      <c r="WA176" s="7"/>
      <c r="WB176" s="7"/>
      <c r="WC176" s="7"/>
      <c r="WD176" s="7"/>
      <c r="WE176" s="7"/>
      <c r="WF176" s="7"/>
      <c r="WG176" s="7"/>
      <c r="WH176" s="7"/>
      <c r="WI176" s="7"/>
      <c r="WJ176" s="7"/>
      <c r="WK176" s="7"/>
      <c r="WL176" s="7"/>
      <c r="WM176" s="7"/>
      <c r="WN176" s="7"/>
      <c r="WO176" s="7"/>
      <c r="WP176" s="7"/>
      <c r="WQ176" s="7"/>
      <c r="WR176" s="7"/>
      <c r="WS176" s="7"/>
      <c r="WT176" s="7"/>
      <c r="WU176" s="7"/>
      <c r="WV176" s="7"/>
      <c r="WW176" s="7"/>
      <c r="WX176" s="7"/>
      <c r="WY176" s="7"/>
      <c r="WZ176" s="7"/>
      <c r="XA176" s="7"/>
      <c r="XB176" s="7"/>
      <c r="XC176" s="7"/>
      <c r="XD176" s="7"/>
      <c r="XE176" s="7"/>
      <c r="XF176" s="7"/>
      <c r="XG176" s="7"/>
      <c r="XH176" s="7"/>
      <c r="XI176" s="7"/>
      <c r="XJ176" s="7"/>
      <c r="XK176" s="7"/>
      <c r="XL176" s="7"/>
      <c r="XM176" s="7"/>
      <c r="XN176" s="7"/>
      <c r="XO176" s="7"/>
      <c r="XP176" s="7"/>
      <c r="XQ176" s="7"/>
      <c r="XR176" s="7"/>
      <c r="XS176" s="7"/>
      <c r="XT176" s="7"/>
      <c r="XU176" s="7"/>
      <c r="XV176" s="7"/>
      <c r="XW176" s="7"/>
      <c r="XX176" s="7"/>
      <c r="XY176" s="7"/>
      <c r="XZ176" s="7"/>
      <c r="YA176" s="7"/>
      <c r="YB176" s="7"/>
      <c r="YC176" s="7"/>
      <c r="YD176" s="7"/>
      <c r="YE176" s="7"/>
      <c r="YF176" s="7"/>
      <c r="YG176" s="7"/>
      <c r="YH176" s="7"/>
      <c r="YI176" s="7"/>
      <c r="YJ176" s="7"/>
      <c r="YK176" s="7"/>
      <c r="YL176" s="7"/>
      <c r="YM176" s="7"/>
      <c r="YN176" s="7"/>
      <c r="YO176" s="7"/>
      <c r="YP176" s="7"/>
      <c r="YQ176" s="7"/>
      <c r="YR176" s="7"/>
      <c r="YS176" s="7"/>
      <c r="YT176" s="7"/>
      <c r="YU176" s="7"/>
      <c r="YV176" s="7"/>
      <c r="YW176" s="7"/>
      <c r="YX176" s="7"/>
      <c r="YY176" s="7"/>
      <c r="YZ176" s="7"/>
      <c r="ZA176" s="7"/>
      <c r="ZB176" s="7"/>
      <c r="ZC176" s="7"/>
      <c r="ZD176" s="7"/>
      <c r="ZE176" s="7"/>
      <c r="ZF176" s="7"/>
      <c r="ZG176" s="7"/>
      <c r="ZH176" s="7"/>
      <c r="ZI176" s="7"/>
      <c r="ZJ176" s="7"/>
      <c r="ZK176" s="7"/>
      <c r="ZL176" s="7"/>
      <c r="ZM176" s="7"/>
      <c r="ZN176" s="7"/>
      <c r="ZO176" s="7"/>
      <c r="ZP176" s="7"/>
      <c r="ZQ176" s="7"/>
      <c r="ZR176" s="7"/>
      <c r="ZS176" s="7"/>
      <c r="ZT176" s="7"/>
      <c r="ZU176" s="7"/>
      <c r="ZV176" s="7"/>
      <c r="ZW176" s="7"/>
      <c r="ZX176" s="7"/>
      <c r="ZY176" s="7"/>
      <c r="ZZ176" s="7"/>
      <c r="AAA176" s="7"/>
      <c r="AAB176" s="7"/>
      <c r="AAC176" s="7"/>
      <c r="AAD176" s="7"/>
      <c r="AAE176" s="7"/>
      <c r="AAF176" s="7"/>
      <c r="AAG176" s="7"/>
      <c r="AAH176" s="7"/>
      <c r="AAI176" s="7"/>
      <c r="AAJ176" s="7"/>
      <c r="AAK176" s="7"/>
      <c r="AAL176" s="7"/>
      <c r="AAM176" s="7"/>
      <c r="AAN176" s="7"/>
      <c r="AAO176" s="7"/>
      <c r="AAP176" s="7"/>
      <c r="AAQ176" s="7"/>
      <c r="AAR176" s="7"/>
      <c r="AAS176" s="7"/>
      <c r="AAT176" s="7"/>
      <c r="AAU176" s="7"/>
      <c r="AAV176" s="7"/>
      <c r="AAW176" s="7"/>
      <c r="AAX176" s="7"/>
      <c r="AAY176" s="7"/>
      <c r="AAZ176" s="7"/>
      <c r="ABA176" s="7"/>
      <c r="ABB176" s="7"/>
      <c r="ABC176" s="7"/>
      <c r="ABD176" s="7"/>
      <c r="ABE176" s="7"/>
      <c r="ABF176" s="7"/>
      <c r="ABG176" s="7"/>
      <c r="ABH176" s="7"/>
      <c r="ABI176" s="7"/>
      <c r="ABJ176" s="7"/>
      <c r="ABK176" s="7"/>
      <c r="ABL176" s="7"/>
      <c r="ABM176" s="7"/>
      <c r="ABN176" s="7"/>
      <c r="ABO176" s="7"/>
      <c r="ABP176" s="7"/>
      <c r="ABQ176" s="7"/>
      <c r="ABR176" s="7"/>
      <c r="ABS176" s="7"/>
      <c r="ABT176" s="7"/>
      <c r="ABU176" s="7"/>
      <c r="ABV176" s="7"/>
      <c r="ABW176" s="7"/>
      <c r="ABX176" s="7"/>
      <c r="ABY176" s="7"/>
      <c r="ABZ176" s="7"/>
      <c r="ACA176" s="7"/>
      <c r="ACB176" s="7"/>
      <c r="ACC176" s="7"/>
      <c r="ACD176" s="7"/>
      <c r="ACE176" s="7"/>
      <c r="ACF176" s="7"/>
      <c r="ACG176" s="7"/>
      <c r="ACH176" s="7"/>
      <c r="ACI176" s="7"/>
      <c r="ACJ176" s="7"/>
      <c r="ACK176" s="7"/>
      <c r="ACL176" s="7"/>
      <c r="ACM176" s="7"/>
      <c r="ACN176" s="7"/>
      <c r="ACO176" s="7"/>
      <c r="ACP176" s="7"/>
      <c r="ACQ176" s="7"/>
      <c r="ACR176" s="7"/>
      <c r="ACS176" s="7"/>
      <c r="ACT176" s="7"/>
      <c r="ACU176" s="7"/>
      <c r="ACV176" s="7"/>
      <c r="ACW176" s="7"/>
      <c r="ACX176" s="7"/>
      <c r="ACY176" s="7"/>
      <c r="ACZ176" s="7"/>
      <c r="ADA176" s="7"/>
      <c r="ADB176" s="7"/>
      <c r="ADC176" s="7"/>
      <c r="ADD176" s="7"/>
      <c r="ADE176" s="7"/>
      <c r="ADF176" s="7"/>
      <c r="ADG176" s="7"/>
      <c r="ADH176" s="7"/>
      <c r="ADI176" s="7"/>
      <c r="ADJ176" s="7"/>
      <c r="ADK176" s="7"/>
      <c r="ADL176" s="7"/>
      <c r="ADM176" s="7"/>
      <c r="ADN176" s="7"/>
      <c r="ADO176" s="7"/>
      <c r="ADP176" s="7"/>
      <c r="ADQ176" s="7"/>
      <c r="ADR176" s="7"/>
      <c r="ADS176" s="7"/>
      <c r="ADT176" s="7"/>
      <c r="ADU176" s="7"/>
      <c r="ADV176" s="7"/>
      <c r="ADW176" s="7"/>
      <c r="ADX176" s="7"/>
      <c r="ADY176" s="7"/>
      <c r="ADZ176" s="7"/>
      <c r="AEA176" s="7"/>
      <c r="AEB176" s="7"/>
      <c r="AEC176" s="7"/>
      <c r="AED176" s="7"/>
      <c r="AEE176" s="7"/>
      <c r="AEF176" s="7"/>
      <c r="AEG176" s="7"/>
      <c r="AEH176" s="7"/>
      <c r="AEI176" s="7"/>
      <c r="AEJ176" s="7"/>
      <c r="AEK176" s="7"/>
      <c r="AEL176" s="7"/>
      <c r="AEM176" s="7"/>
      <c r="AEN176" s="7"/>
      <c r="AEO176" s="7"/>
      <c r="AEP176" s="7"/>
      <c r="AEQ176" s="7"/>
      <c r="AER176" s="7"/>
      <c r="AES176" s="7"/>
      <c r="AET176" s="7"/>
      <c r="AEU176" s="7"/>
      <c r="AEV176" s="7"/>
      <c r="AEW176" s="7"/>
      <c r="AEX176" s="7"/>
      <c r="AEY176" s="7"/>
      <c r="AEZ176" s="7"/>
      <c r="AFA176" s="7"/>
      <c r="AFB176" s="7"/>
      <c r="AFC176" s="7"/>
      <c r="AFD176" s="7"/>
      <c r="AFE176" s="7"/>
      <c r="AFF176" s="7"/>
      <c r="AFG176" s="7"/>
      <c r="AFH176" s="7"/>
      <c r="AFI176" s="7"/>
      <c r="AFJ176" s="7"/>
      <c r="AFK176" s="7"/>
      <c r="AFL176" s="7"/>
      <c r="AFM176" s="7"/>
      <c r="AFN176" s="7"/>
      <c r="AFO176" s="7"/>
      <c r="AFP176" s="7"/>
      <c r="AFQ176" s="7"/>
      <c r="AFR176" s="7"/>
      <c r="AFS176" s="7"/>
      <c r="AFT176" s="7"/>
      <c r="AFU176" s="7"/>
      <c r="AFV176" s="7"/>
      <c r="AFW176" s="7"/>
      <c r="AFX176" s="7"/>
      <c r="AFY176" s="7"/>
      <c r="AFZ176" s="7"/>
      <c r="AGA176" s="7"/>
      <c r="AGB176" s="7"/>
      <c r="AGC176" s="7"/>
      <c r="AGD176" s="7"/>
      <c r="AGE176" s="7"/>
      <c r="AGF176" s="7"/>
      <c r="AGG176" s="7"/>
      <c r="AGH176" s="7"/>
      <c r="AGI176" s="7"/>
      <c r="AGJ176" s="7"/>
      <c r="AGK176" s="7"/>
      <c r="AGL176" s="7"/>
      <c r="AGM176" s="7"/>
      <c r="AGN176" s="7"/>
      <c r="AGO176" s="7"/>
      <c r="AGP176" s="7"/>
      <c r="AGQ176" s="7"/>
      <c r="AGR176" s="7"/>
      <c r="AGS176" s="7"/>
      <c r="AGT176" s="7"/>
      <c r="AGU176" s="7"/>
      <c r="AGV176" s="7"/>
      <c r="AGW176" s="7"/>
      <c r="AGX176" s="7"/>
      <c r="AGY176" s="7"/>
      <c r="AGZ176" s="7"/>
      <c r="AHA176" s="7"/>
      <c r="AHB176" s="7"/>
      <c r="AHC176" s="7"/>
      <c r="AHD176" s="7"/>
      <c r="AHE176" s="7"/>
      <c r="AHF176" s="7"/>
      <c r="AHG176" s="7"/>
      <c r="AHH176" s="7"/>
      <c r="AHI176" s="7"/>
      <c r="AHJ176" s="7"/>
      <c r="AHK176" s="7"/>
      <c r="AHL176" s="7"/>
      <c r="AHM176" s="7"/>
      <c r="AHN176" s="7"/>
      <c r="AHO176" s="7"/>
      <c r="AHP176" s="7"/>
      <c r="AHQ176" s="7"/>
      <c r="AHR176" s="7"/>
      <c r="AHS176" s="7"/>
      <c r="AHT176" s="7"/>
      <c r="AHU176" s="7"/>
      <c r="AHV176" s="7"/>
      <c r="AHW176" s="7"/>
      <c r="AHX176" s="7"/>
      <c r="AHY176" s="7"/>
      <c r="AHZ176" s="7"/>
      <c r="AIA176" s="7"/>
      <c r="AIB176" s="7"/>
      <c r="AIC176" s="7"/>
      <c r="AID176" s="7"/>
      <c r="AIE176" s="7"/>
      <c r="AIF176" s="7"/>
      <c r="AIG176" s="7"/>
      <c r="AIH176" s="7"/>
      <c r="AII176" s="7"/>
      <c r="AIJ176" s="7"/>
      <c r="AIK176" s="7"/>
      <c r="AIL176" s="7"/>
      <c r="AIM176" s="7"/>
      <c r="AIN176" s="7"/>
      <c r="AIO176" s="7"/>
      <c r="AIP176" s="7"/>
      <c r="AIQ176" s="7"/>
      <c r="AIR176" s="7"/>
      <c r="AIS176" s="7"/>
      <c r="AIT176" s="7"/>
      <c r="AIU176" s="7"/>
      <c r="AIV176" s="7"/>
      <c r="AIW176" s="7"/>
      <c r="AIX176" s="7"/>
      <c r="AIY176" s="7"/>
      <c r="AIZ176" s="7"/>
      <c r="AJA176" s="7"/>
      <c r="AJB176" s="7"/>
      <c r="AJC176" s="7"/>
      <c r="AJD176" s="7"/>
      <c r="AJE176" s="7"/>
      <c r="AJF176" s="7"/>
      <c r="AJG176" s="7"/>
      <c r="AJH176" s="7"/>
      <c r="AJI176" s="7"/>
      <c r="AJJ176" s="7"/>
      <c r="AJK176" s="7"/>
      <c r="AJL176" s="7"/>
      <c r="AJM176" s="7"/>
      <c r="AJN176" s="7"/>
      <c r="AJO176" s="7"/>
      <c r="AJP176" s="7"/>
      <c r="AJQ176" s="7"/>
      <c r="AJR176" s="7"/>
      <c r="AJS176" s="7"/>
      <c r="AJT176" s="7"/>
      <c r="AJU176" s="7"/>
      <c r="AJV176" s="7"/>
      <c r="AJW176" s="7"/>
      <c r="AJX176" s="7"/>
      <c r="AJY176" s="7"/>
      <c r="AJZ176" s="7"/>
      <c r="AKA176" s="7"/>
      <c r="AKB176" s="7"/>
      <c r="AKC176" s="7"/>
      <c r="AKD176" s="7"/>
      <c r="AKE176" s="7"/>
      <c r="AKF176" s="7"/>
      <c r="AKG176" s="7"/>
      <c r="AKH176" s="7"/>
      <c r="AKI176" s="7"/>
      <c r="AKJ176" s="7"/>
      <c r="AKK176" s="7"/>
      <c r="AKL176" s="7"/>
      <c r="AKM176" s="7"/>
      <c r="AKN176" s="7"/>
      <c r="AKO176" s="7"/>
      <c r="AKP176" s="7"/>
      <c r="AKQ176" s="7"/>
      <c r="AKR176" s="7"/>
      <c r="AKS176" s="7"/>
      <c r="AKT176" s="7"/>
      <c r="AKU176" s="7"/>
      <c r="AKV176" s="7"/>
      <c r="AKW176" s="7"/>
      <c r="AKX176" s="7"/>
      <c r="AKY176" s="7"/>
      <c r="AKZ176" s="7"/>
      <c r="ALA176" s="7"/>
      <c r="ALB176" s="7"/>
      <c r="ALC176" s="7"/>
      <c r="ALD176" s="7"/>
      <c r="ALE176" s="7"/>
      <c r="ALF176" s="7"/>
      <c r="ALG176" s="7"/>
      <c r="ALH176" s="7"/>
      <c r="ALI176" s="7"/>
      <c r="ALJ176" s="7"/>
      <c r="ALK176" s="7"/>
      <c r="ALL176" s="7"/>
      <c r="ALM176" s="7"/>
      <c r="ALN176" s="7"/>
      <c r="ALO176" s="7"/>
      <c r="ALP176" s="7"/>
      <c r="ALQ176" s="7"/>
      <c r="ALR176" s="7"/>
      <c r="ALS176" s="7"/>
      <c r="ALT176" s="7"/>
      <c r="ALU176" s="7"/>
      <c r="ALV176" s="7"/>
      <c r="ALW176" s="7"/>
      <c r="ALX176" s="7"/>
      <c r="ALY176" s="7"/>
      <c r="ALZ176" s="7"/>
      <c r="AMA176" s="7"/>
      <c r="AMB176" s="7"/>
      <c r="AMC176" s="7"/>
      <c r="AMD176" s="7"/>
      <c r="AME176" s="7"/>
      <c r="AMF176" s="7"/>
      <c r="AMG176" s="7"/>
      <c r="AMH176" s="7"/>
      <c r="AMI176" s="7"/>
      <c r="AMJ176" s="7"/>
    </row>
    <row r="177" customFormat="false" ht="15.75" hidden="false" customHeight="true" outlineLevel="0" collapsed="false">
      <c r="A177" s="7"/>
      <c r="B177" s="7"/>
      <c r="C177" s="291" t="s">
        <v>88</v>
      </c>
      <c r="D177" s="292" t="n">
        <f aca="false">D91+D118</f>
        <v>1085</v>
      </c>
      <c r="E177" s="293" t="n">
        <f aca="false">F91+F118</f>
        <v>24</v>
      </c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  <c r="KS177" s="7"/>
      <c r="KT177" s="7"/>
      <c r="KU177" s="7"/>
      <c r="KV177" s="7"/>
      <c r="KW177" s="7"/>
      <c r="KX177" s="7"/>
      <c r="KY177" s="7"/>
      <c r="KZ177" s="7"/>
      <c r="LA177" s="7"/>
      <c r="LB177" s="7"/>
      <c r="LC177" s="7"/>
      <c r="LD177" s="7"/>
      <c r="LE177" s="7"/>
      <c r="LF177" s="7"/>
      <c r="LG177" s="7"/>
      <c r="LH177" s="7"/>
      <c r="LI177" s="7"/>
      <c r="LJ177" s="7"/>
      <c r="LK177" s="7"/>
      <c r="LL177" s="7"/>
      <c r="LM177" s="7"/>
      <c r="LN177" s="7"/>
      <c r="LO177" s="7"/>
      <c r="LP177" s="7"/>
      <c r="LQ177" s="7"/>
      <c r="LR177" s="7"/>
      <c r="LS177" s="7"/>
      <c r="LT177" s="7"/>
      <c r="LU177" s="7"/>
      <c r="LV177" s="7"/>
      <c r="LW177" s="7"/>
      <c r="LX177" s="7"/>
      <c r="LY177" s="7"/>
      <c r="LZ177" s="7"/>
      <c r="MA177" s="7"/>
      <c r="MB177" s="7"/>
      <c r="MC177" s="7"/>
      <c r="MD177" s="7"/>
      <c r="ME177" s="7"/>
      <c r="MF177" s="7"/>
      <c r="MG177" s="7"/>
      <c r="MH177" s="7"/>
      <c r="MI177" s="7"/>
      <c r="MJ177" s="7"/>
      <c r="MK177" s="7"/>
      <c r="ML177" s="7"/>
      <c r="MM177" s="7"/>
      <c r="MN177" s="7"/>
      <c r="MO177" s="7"/>
      <c r="MP177" s="7"/>
      <c r="MQ177" s="7"/>
      <c r="MR177" s="7"/>
      <c r="MS177" s="7"/>
      <c r="MT177" s="7"/>
      <c r="MU177" s="7"/>
      <c r="MV177" s="7"/>
      <c r="MW177" s="7"/>
      <c r="MX177" s="7"/>
      <c r="MY177" s="7"/>
      <c r="MZ177" s="7"/>
      <c r="NA177" s="7"/>
      <c r="NB177" s="7"/>
      <c r="NC177" s="7"/>
      <c r="ND177" s="7"/>
      <c r="NE177" s="7"/>
      <c r="NF177" s="7"/>
      <c r="NG177" s="7"/>
      <c r="NH177" s="7"/>
      <c r="NI177" s="7"/>
      <c r="NJ177" s="7"/>
      <c r="NK177" s="7"/>
      <c r="NL177" s="7"/>
      <c r="NM177" s="7"/>
      <c r="NN177" s="7"/>
      <c r="NO177" s="7"/>
      <c r="NP177" s="7"/>
      <c r="NQ177" s="7"/>
      <c r="NR177" s="7"/>
      <c r="NS177" s="7"/>
      <c r="NT177" s="7"/>
      <c r="NU177" s="7"/>
      <c r="NV177" s="7"/>
      <c r="NW177" s="7"/>
      <c r="NX177" s="7"/>
      <c r="NY177" s="7"/>
      <c r="NZ177" s="7"/>
      <c r="OA177" s="7"/>
      <c r="OB177" s="7"/>
      <c r="OC177" s="7"/>
      <c r="OD177" s="7"/>
      <c r="OE177" s="7"/>
      <c r="OF177" s="7"/>
      <c r="OG177" s="7"/>
      <c r="OH177" s="7"/>
      <c r="OI177" s="7"/>
      <c r="OJ177" s="7"/>
      <c r="OK177" s="7"/>
      <c r="OL177" s="7"/>
      <c r="OM177" s="7"/>
      <c r="ON177" s="7"/>
      <c r="OO177" s="7"/>
      <c r="OP177" s="7"/>
      <c r="OQ177" s="7"/>
      <c r="OR177" s="7"/>
      <c r="OS177" s="7"/>
      <c r="OT177" s="7"/>
      <c r="OU177" s="7"/>
      <c r="OV177" s="7"/>
      <c r="OW177" s="7"/>
      <c r="OX177" s="7"/>
      <c r="OY177" s="7"/>
      <c r="OZ177" s="7"/>
      <c r="PA177" s="7"/>
      <c r="PB177" s="7"/>
      <c r="PC177" s="7"/>
      <c r="PD177" s="7"/>
      <c r="PE177" s="7"/>
      <c r="PF177" s="7"/>
      <c r="PG177" s="7"/>
      <c r="PH177" s="7"/>
      <c r="PI177" s="7"/>
      <c r="PJ177" s="7"/>
      <c r="PK177" s="7"/>
      <c r="PL177" s="7"/>
      <c r="PM177" s="7"/>
      <c r="PN177" s="7"/>
      <c r="PO177" s="7"/>
      <c r="PP177" s="7"/>
      <c r="PQ177" s="7"/>
      <c r="PR177" s="7"/>
      <c r="PS177" s="7"/>
      <c r="PT177" s="7"/>
      <c r="PU177" s="7"/>
      <c r="PV177" s="7"/>
      <c r="PW177" s="7"/>
      <c r="PX177" s="7"/>
      <c r="PY177" s="7"/>
      <c r="PZ177" s="7"/>
      <c r="QA177" s="7"/>
      <c r="QB177" s="7"/>
      <c r="QC177" s="7"/>
      <c r="QD177" s="7"/>
      <c r="QE177" s="7"/>
      <c r="QF177" s="7"/>
      <c r="QG177" s="7"/>
      <c r="QH177" s="7"/>
      <c r="QI177" s="7"/>
      <c r="QJ177" s="7"/>
      <c r="QK177" s="7"/>
      <c r="QL177" s="7"/>
      <c r="QM177" s="7"/>
      <c r="QN177" s="7"/>
      <c r="QO177" s="7"/>
      <c r="QP177" s="7"/>
      <c r="QQ177" s="7"/>
      <c r="QR177" s="7"/>
      <c r="QS177" s="7"/>
      <c r="QT177" s="7"/>
      <c r="QU177" s="7"/>
      <c r="QV177" s="7"/>
      <c r="QW177" s="7"/>
      <c r="QX177" s="7"/>
      <c r="QY177" s="7"/>
      <c r="QZ177" s="7"/>
      <c r="RA177" s="7"/>
      <c r="RB177" s="7"/>
      <c r="RC177" s="7"/>
      <c r="RD177" s="7"/>
      <c r="RE177" s="7"/>
      <c r="RF177" s="7"/>
      <c r="RG177" s="7"/>
      <c r="RH177" s="7"/>
      <c r="RI177" s="7"/>
      <c r="RJ177" s="7"/>
      <c r="RK177" s="7"/>
      <c r="RL177" s="7"/>
      <c r="RM177" s="7"/>
      <c r="RN177" s="7"/>
      <c r="RO177" s="7"/>
      <c r="RP177" s="7"/>
      <c r="RQ177" s="7"/>
      <c r="RR177" s="7"/>
      <c r="RS177" s="7"/>
      <c r="RT177" s="7"/>
      <c r="RU177" s="7"/>
      <c r="RV177" s="7"/>
      <c r="RW177" s="7"/>
      <c r="RX177" s="7"/>
      <c r="RY177" s="7"/>
      <c r="RZ177" s="7"/>
      <c r="SA177" s="7"/>
      <c r="SB177" s="7"/>
      <c r="SC177" s="7"/>
      <c r="SD177" s="7"/>
      <c r="SE177" s="7"/>
      <c r="SF177" s="7"/>
      <c r="SG177" s="7"/>
      <c r="SH177" s="7"/>
      <c r="SI177" s="7"/>
      <c r="SJ177" s="7"/>
      <c r="SK177" s="7"/>
      <c r="SL177" s="7"/>
      <c r="SM177" s="7"/>
      <c r="SN177" s="7"/>
      <c r="SO177" s="7"/>
      <c r="SP177" s="7"/>
      <c r="SQ177" s="7"/>
      <c r="SR177" s="7"/>
      <c r="SS177" s="7"/>
      <c r="ST177" s="7"/>
      <c r="SU177" s="7"/>
      <c r="SV177" s="7"/>
      <c r="SW177" s="7"/>
      <c r="SX177" s="7"/>
      <c r="SY177" s="7"/>
      <c r="SZ177" s="7"/>
      <c r="TA177" s="7"/>
      <c r="TB177" s="7"/>
      <c r="TC177" s="7"/>
      <c r="TD177" s="7"/>
      <c r="TE177" s="7"/>
      <c r="TF177" s="7"/>
      <c r="TG177" s="7"/>
      <c r="TH177" s="7"/>
      <c r="TI177" s="7"/>
      <c r="TJ177" s="7"/>
      <c r="TK177" s="7"/>
      <c r="TL177" s="7"/>
      <c r="TM177" s="7"/>
      <c r="TN177" s="7"/>
      <c r="TO177" s="7"/>
      <c r="TP177" s="7"/>
      <c r="TQ177" s="7"/>
      <c r="TR177" s="7"/>
      <c r="TS177" s="7"/>
      <c r="TT177" s="7"/>
      <c r="TU177" s="7"/>
      <c r="TV177" s="7"/>
      <c r="TW177" s="7"/>
      <c r="TX177" s="7"/>
      <c r="TY177" s="7"/>
      <c r="TZ177" s="7"/>
      <c r="UA177" s="7"/>
      <c r="UB177" s="7"/>
      <c r="UC177" s="7"/>
      <c r="UD177" s="7"/>
      <c r="UE177" s="7"/>
      <c r="UF177" s="7"/>
      <c r="UG177" s="7"/>
      <c r="UH177" s="7"/>
      <c r="UI177" s="7"/>
      <c r="UJ177" s="7"/>
      <c r="UK177" s="7"/>
      <c r="UL177" s="7"/>
      <c r="UM177" s="7"/>
      <c r="UN177" s="7"/>
      <c r="UO177" s="7"/>
      <c r="UP177" s="7"/>
      <c r="UQ177" s="7"/>
      <c r="UR177" s="7"/>
      <c r="US177" s="7"/>
      <c r="UT177" s="7"/>
      <c r="UU177" s="7"/>
      <c r="UV177" s="7"/>
      <c r="UW177" s="7"/>
      <c r="UX177" s="7"/>
      <c r="UY177" s="7"/>
      <c r="UZ177" s="7"/>
      <c r="VA177" s="7"/>
      <c r="VB177" s="7"/>
      <c r="VC177" s="7"/>
      <c r="VD177" s="7"/>
      <c r="VE177" s="7"/>
      <c r="VF177" s="7"/>
      <c r="VG177" s="7"/>
      <c r="VH177" s="7"/>
      <c r="VI177" s="7"/>
      <c r="VJ177" s="7"/>
      <c r="VK177" s="7"/>
      <c r="VL177" s="7"/>
      <c r="VM177" s="7"/>
      <c r="VN177" s="7"/>
      <c r="VO177" s="7"/>
      <c r="VP177" s="7"/>
      <c r="VQ177" s="7"/>
      <c r="VR177" s="7"/>
      <c r="VS177" s="7"/>
      <c r="VT177" s="7"/>
      <c r="VU177" s="7"/>
      <c r="VV177" s="7"/>
      <c r="VW177" s="7"/>
      <c r="VX177" s="7"/>
      <c r="VY177" s="7"/>
      <c r="VZ177" s="7"/>
      <c r="WA177" s="7"/>
      <c r="WB177" s="7"/>
      <c r="WC177" s="7"/>
      <c r="WD177" s="7"/>
      <c r="WE177" s="7"/>
      <c r="WF177" s="7"/>
      <c r="WG177" s="7"/>
      <c r="WH177" s="7"/>
      <c r="WI177" s="7"/>
      <c r="WJ177" s="7"/>
      <c r="WK177" s="7"/>
      <c r="WL177" s="7"/>
      <c r="WM177" s="7"/>
      <c r="WN177" s="7"/>
      <c r="WO177" s="7"/>
      <c r="WP177" s="7"/>
      <c r="WQ177" s="7"/>
      <c r="WR177" s="7"/>
      <c r="WS177" s="7"/>
      <c r="WT177" s="7"/>
      <c r="WU177" s="7"/>
      <c r="WV177" s="7"/>
      <c r="WW177" s="7"/>
      <c r="WX177" s="7"/>
      <c r="WY177" s="7"/>
      <c r="WZ177" s="7"/>
      <c r="XA177" s="7"/>
      <c r="XB177" s="7"/>
      <c r="XC177" s="7"/>
      <c r="XD177" s="7"/>
      <c r="XE177" s="7"/>
      <c r="XF177" s="7"/>
      <c r="XG177" s="7"/>
      <c r="XH177" s="7"/>
      <c r="XI177" s="7"/>
      <c r="XJ177" s="7"/>
      <c r="XK177" s="7"/>
      <c r="XL177" s="7"/>
      <c r="XM177" s="7"/>
      <c r="XN177" s="7"/>
      <c r="XO177" s="7"/>
      <c r="XP177" s="7"/>
      <c r="XQ177" s="7"/>
      <c r="XR177" s="7"/>
      <c r="XS177" s="7"/>
      <c r="XT177" s="7"/>
      <c r="XU177" s="7"/>
      <c r="XV177" s="7"/>
      <c r="XW177" s="7"/>
      <c r="XX177" s="7"/>
      <c r="XY177" s="7"/>
      <c r="XZ177" s="7"/>
      <c r="YA177" s="7"/>
      <c r="YB177" s="7"/>
      <c r="YC177" s="7"/>
      <c r="YD177" s="7"/>
      <c r="YE177" s="7"/>
      <c r="YF177" s="7"/>
      <c r="YG177" s="7"/>
      <c r="YH177" s="7"/>
      <c r="YI177" s="7"/>
      <c r="YJ177" s="7"/>
      <c r="YK177" s="7"/>
      <c r="YL177" s="7"/>
      <c r="YM177" s="7"/>
      <c r="YN177" s="7"/>
      <c r="YO177" s="7"/>
      <c r="YP177" s="7"/>
      <c r="YQ177" s="7"/>
      <c r="YR177" s="7"/>
      <c r="YS177" s="7"/>
      <c r="YT177" s="7"/>
      <c r="YU177" s="7"/>
      <c r="YV177" s="7"/>
      <c r="YW177" s="7"/>
      <c r="YX177" s="7"/>
      <c r="YY177" s="7"/>
      <c r="YZ177" s="7"/>
      <c r="ZA177" s="7"/>
      <c r="ZB177" s="7"/>
      <c r="ZC177" s="7"/>
      <c r="ZD177" s="7"/>
      <c r="ZE177" s="7"/>
      <c r="ZF177" s="7"/>
      <c r="ZG177" s="7"/>
      <c r="ZH177" s="7"/>
      <c r="ZI177" s="7"/>
      <c r="ZJ177" s="7"/>
      <c r="ZK177" s="7"/>
      <c r="ZL177" s="7"/>
      <c r="ZM177" s="7"/>
      <c r="ZN177" s="7"/>
      <c r="ZO177" s="7"/>
      <c r="ZP177" s="7"/>
      <c r="ZQ177" s="7"/>
      <c r="ZR177" s="7"/>
      <c r="ZS177" s="7"/>
      <c r="ZT177" s="7"/>
      <c r="ZU177" s="7"/>
      <c r="ZV177" s="7"/>
      <c r="ZW177" s="7"/>
      <c r="ZX177" s="7"/>
      <c r="ZY177" s="7"/>
      <c r="ZZ177" s="7"/>
      <c r="AAA177" s="7"/>
      <c r="AAB177" s="7"/>
      <c r="AAC177" s="7"/>
      <c r="AAD177" s="7"/>
      <c r="AAE177" s="7"/>
      <c r="AAF177" s="7"/>
      <c r="AAG177" s="7"/>
      <c r="AAH177" s="7"/>
      <c r="AAI177" s="7"/>
      <c r="AAJ177" s="7"/>
      <c r="AAK177" s="7"/>
      <c r="AAL177" s="7"/>
      <c r="AAM177" s="7"/>
      <c r="AAN177" s="7"/>
      <c r="AAO177" s="7"/>
      <c r="AAP177" s="7"/>
      <c r="AAQ177" s="7"/>
      <c r="AAR177" s="7"/>
      <c r="AAS177" s="7"/>
      <c r="AAT177" s="7"/>
      <c r="AAU177" s="7"/>
      <c r="AAV177" s="7"/>
      <c r="AAW177" s="7"/>
      <c r="AAX177" s="7"/>
      <c r="AAY177" s="7"/>
      <c r="AAZ177" s="7"/>
      <c r="ABA177" s="7"/>
      <c r="ABB177" s="7"/>
      <c r="ABC177" s="7"/>
      <c r="ABD177" s="7"/>
      <c r="ABE177" s="7"/>
      <c r="ABF177" s="7"/>
      <c r="ABG177" s="7"/>
      <c r="ABH177" s="7"/>
      <c r="ABI177" s="7"/>
      <c r="ABJ177" s="7"/>
      <c r="ABK177" s="7"/>
      <c r="ABL177" s="7"/>
      <c r="ABM177" s="7"/>
      <c r="ABN177" s="7"/>
      <c r="ABO177" s="7"/>
      <c r="ABP177" s="7"/>
      <c r="ABQ177" s="7"/>
      <c r="ABR177" s="7"/>
      <c r="ABS177" s="7"/>
      <c r="ABT177" s="7"/>
      <c r="ABU177" s="7"/>
      <c r="ABV177" s="7"/>
      <c r="ABW177" s="7"/>
      <c r="ABX177" s="7"/>
      <c r="ABY177" s="7"/>
      <c r="ABZ177" s="7"/>
      <c r="ACA177" s="7"/>
      <c r="ACB177" s="7"/>
      <c r="ACC177" s="7"/>
      <c r="ACD177" s="7"/>
      <c r="ACE177" s="7"/>
      <c r="ACF177" s="7"/>
      <c r="ACG177" s="7"/>
      <c r="ACH177" s="7"/>
      <c r="ACI177" s="7"/>
      <c r="ACJ177" s="7"/>
      <c r="ACK177" s="7"/>
      <c r="ACL177" s="7"/>
      <c r="ACM177" s="7"/>
      <c r="ACN177" s="7"/>
      <c r="ACO177" s="7"/>
      <c r="ACP177" s="7"/>
      <c r="ACQ177" s="7"/>
      <c r="ACR177" s="7"/>
      <c r="ACS177" s="7"/>
      <c r="ACT177" s="7"/>
      <c r="ACU177" s="7"/>
      <c r="ACV177" s="7"/>
      <c r="ACW177" s="7"/>
      <c r="ACX177" s="7"/>
      <c r="ACY177" s="7"/>
      <c r="ACZ177" s="7"/>
      <c r="ADA177" s="7"/>
      <c r="ADB177" s="7"/>
      <c r="ADC177" s="7"/>
      <c r="ADD177" s="7"/>
      <c r="ADE177" s="7"/>
      <c r="ADF177" s="7"/>
      <c r="ADG177" s="7"/>
      <c r="ADH177" s="7"/>
      <c r="ADI177" s="7"/>
      <c r="ADJ177" s="7"/>
      <c r="ADK177" s="7"/>
      <c r="ADL177" s="7"/>
      <c r="ADM177" s="7"/>
      <c r="ADN177" s="7"/>
      <c r="ADO177" s="7"/>
      <c r="ADP177" s="7"/>
      <c r="ADQ177" s="7"/>
      <c r="ADR177" s="7"/>
      <c r="ADS177" s="7"/>
      <c r="ADT177" s="7"/>
      <c r="ADU177" s="7"/>
      <c r="ADV177" s="7"/>
      <c r="ADW177" s="7"/>
      <c r="ADX177" s="7"/>
      <c r="ADY177" s="7"/>
      <c r="ADZ177" s="7"/>
      <c r="AEA177" s="7"/>
      <c r="AEB177" s="7"/>
      <c r="AEC177" s="7"/>
      <c r="AED177" s="7"/>
      <c r="AEE177" s="7"/>
      <c r="AEF177" s="7"/>
      <c r="AEG177" s="7"/>
      <c r="AEH177" s="7"/>
      <c r="AEI177" s="7"/>
      <c r="AEJ177" s="7"/>
      <c r="AEK177" s="7"/>
      <c r="AEL177" s="7"/>
      <c r="AEM177" s="7"/>
      <c r="AEN177" s="7"/>
      <c r="AEO177" s="7"/>
      <c r="AEP177" s="7"/>
      <c r="AEQ177" s="7"/>
      <c r="AER177" s="7"/>
      <c r="AES177" s="7"/>
      <c r="AET177" s="7"/>
      <c r="AEU177" s="7"/>
      <c r="AEV177" s="7"/>
      <c r="AEW177" s="7"/>
      <c r="AEX177" s="7"/>
      <c r="AEY177" s="7"/>
      <c r="AEZ177" s="7"/>
      <c r="AFA177" s="7"/>
      <c r="AFB177" s="7"/>
      <c r="AFC177" s="7"/>
      <c r="AFD177" s="7"/>
      <c r="AFE177" s="7"/>
      <c r="AFF177" s="7"/>
      <c r="AFG177" s="7"/>
      <c r="AFH177" s="7"/>
      <c r="AFI177" s="7"/>
      <c r="AFJ177" s="7"/>
      <c r="AFK177" s="7"/>
      <c r="AFL177" s="7"/>
      <c r="AFM177" s="7"/>
      <c r="AFN177" s="7"/>
      <c r="AFO177" s="7"/>
      <c r="AFP177" s="7"/>
      <c r="AFQ177" s="7"/>
      <c r="AFR177" s="7"/>
      <c r="AFS177" s="7"/>
      <c r="AFT177" s="7"/>
      <c r="AFU177" s="7"/>
      <c r="AFV177" s="7"/>
      <c r="AFW177" s="7"/>
      <c r="AFX177" s="7"/>
      <c r="AFY177" s="7"/>
      <c r="AFZ177" s="7"/>
      <c r="AGA177" s="7"/>
      <c r="AGB177" s="7"/>
      <c r="AGC177" s="7"/>
      <c r="AGD177" s="7"/>
      <c r="AGE177" s="7"/>
      <c r="AGF177" s="7"/>
      <c r="AGG177" s="7"/>
      <c r="AGH177" s="7"/>
      <c r="AGI177" s="7"/>
      <c r="AGJ177" s="7"/>
      <c r="AGK177" s="7"/>
      <c r="AGL177" s="7"/>
      <c r="AGM177" s="7"/>
      <c r="AGN177" s="7"/>
      <c r="AGO177" s="7"/>
      <c r="AGP177" s="7"/>
      <c r="AGQ177" s="7"/>
      <c r="AGR177" s="7"/>
      <c r="AGS177" s="7"/>
      <c r="AGT177" s="7"/>
      <c r="AGU177" s="7"/>
      <c r="AGV177" s="7"/>
      <c r="AGW177" s="7"/>
      <c r="AGX177" s="7"/>
      <c r="AGY177" s="7"/>
      <c r="AGZ177" s="7"/>
      <c r="AHA177" s="7"/>
      <c r="AHB177" s="7"/>
      <c r="AHC177" s="7"/>
      <c r="AHD177" s="7"/>
      <c r="AHE177" s="7"/>
      <c r="AHF177" s="7"/>
      <c r="AHG177" s="7"/>
      <c r="AHH177" s="7"/>
      <c r="AHI177" s="7"/>
      <c r="AHJ177" s="7"/>
      <c r="AHK177" s="7"/>
      <c r="AHL177" s="7"/>
      <c r="AHM177" s="7"/>
      <c r="AHN177" s="7"/>
      <c r="AHO177" s="7"/>
      <c r="AHP177" s="7"/>
      <c r="AHQ177" s="7"/>
      <c r="AHR177" s="7"/>
      <c r="AHS177" s="7"/>
      <c r="AHT177" s="7"/>
      <c r="AHU177" s="7"/>
      <c r="AHV177" s="7"/>
      <c r="AHW177" s="7"/>
      <c r="AHX177" s="7"/>
      <c r="AHY177" s="7"/>
      <c r="AHZ177" s="7"/>
      <c r="AIA177" s="7"/>
      <c r="AIB177" s="7"/>
      <c r="AIC177" s="7"/>
      <c r="AID177" s="7"/>
      <c r="AIE177" s="7"/>
      <c r="AIF177" s="7"/>
      <c r="AIG177" s="7"/>
      <c r="AIH177" s="7"/>
      <c r="AII177" s="7"/>
      <c r="AIJ177" s="7"/>
      <c r="AIK177" s="7"/>
      <c r="AIL177" s="7"/>
      <c r="AIM177" s="7"/>
      <c r="AIN177" s="7"/>
      <c r="AIO177" s="7"/>
      <c r="AIP177" s="7"/>
      <c r="AIQ177" s="7"/>
      <c r="AIR177" s="7"/>
      <c r="AIS177" s="7"/>
      <c r="AIT177" s="7"/>
      <c r="AIU177" s="7"/>
      <c r="AIV177" s="7"/>
      <c r="AIW177" s="7"/>
      <c r="AIX177" s="7"/>
      <c r="AIY177" s="7"/>
      <c r="AIZ177" s="7"/>
      <c r="AJA177" s="7"/>
      <c r="AJB177" s="7"/>
      <c r="AJC177" s="7"/>
      <c r="AJD177" s="7"/>
      <c r="AJE177" s="7"/>
      <c r="AJF177" s="7"/>
      <c r="AJG177" s="7"/>
      <c r="AJH177" s="7"/>
      <c r="AJI177" s="7"/>
      <c r="AJJ177" s="7"/>
      <c r="AJK177" s="7"/>
      <c r="AJL177" s="7"/>
      <c r="AJM177" s="7"/>
      <c r="AJN177" s="7"/>
      <c r="AJO177" s="7"/>
      <c r="AJP177" s="7"/>
      <c r="AJQ177" s="7"/>
      <c r="AJR177" s="7"/>
      <c r="AJS177" s="7"/>
      <c r="AJT177" s="7"/>
      <c r="AJU177" s="7"/>
      <c r="AJV177" s="7"/>
      <c r="AJW177" s="7"/>
      <c r="AJX177" s="7"/>
      <c r="AJY177" s="7"/>
      <c r="AJZ177" s="7"/>
      <c r="AKA177" s="7"/>
      <c r="AKB177" s="7"/>
      <c r="AKC177" s="7"/>
      <c r="AKD177" s="7"/>
      <c r="AKE177" s="7"/>
      <c r="AKF177" s="7"/>
      <c r="AKG177" s="7"/>
      <c r="AKH177" s="7"/>
      <c r="AKI177" s="7"/>
      <c r="AKJ177" s="7"/>
      <c r="AKK177" s="7"/>
      <c r="AKL177" s="7"/>
      <c r="AKM177" s="7"/>
      <c r="AKN177" s="7"/>
      <c r="AKO177" s="7"/>
      <c r="AKP177" s="7"/>
      <c r="AKQ177" s="7"/>
      <c r="AKR177" s="7"/>
      <c r="AKS177" s="7"/>
      <c r="AKT177" s="7"/>
      <c r="AKU177" s="7"/>
      <c r="AKV177" s="7"/>
      <c r="AKW177" s="7"/>
      <c r="AKX177" s="7"/>
      <c r="AKY177" s="7"/>
      <c r="AKZ177" s="7"/>
      <c r="ALA177" s="7"/>
      <c r="ALB177" s="7"/>
      <c r="ALC177" s="7"/>
      <c r="ALD177" s="7"/>
      <c r="ALE177" s="7"/>
      <c r="ALF177" s="7"/>
      <c r="ALG177" s="7"/>
      <c r="ALH177" s="7"/>
      <c r="ALI177" s="7"/>
      <c r="ALJ177" s="7"/>
      <c r="ALK177" s="7"/>
      <c r="ALL177" s="7"/>
      <c r="ALM177" s="7"/>
      <c r="ALN177" s="7"/>
      <c r="ALO177" s="7"/>
      <c r="ALP177" s="7"/>
      <c r="ALQ177" s="7"/>
      <c r="ALR177" s="7"/>
      <c r="ALS177" s="7"/>
      <c r="ALT177" s="7"/>
      <c r="ALU177" s="7"/>
      <c r="ALV177" s="7"/>
      <c r="ALW177" s="7"/>
      <c r="ALX177" s="7"/>
      <c r="ALY177" s="7"/>
      <c r="ALZ177" s="7"/>
      <c r="AMA177" s="7"/>
      <c r="AMB177" s="7"/>
      <c r="AMC177" s="7"/>
      <c r="AMD177" s="7"/>
      <c r="AME177" s="7"/>
      <c r="AMF177" s="7"/>
      <c r="AMG177" s="7"/>
      <c r="AMH177" s="7"/>
      <c r="AMI177" s="7"/>
      <c r="AMJ177" s="7"/>
    </row>
    <row r="178" customFormat="false" ht="15.75" hidden="false" customHeight="true" outlineLevel="0" collapsed="false">
      <c r="A178" s="7"/>
      <c r="B178" s="7"/>
      <c r="C178" s="291" t="s">
        <v>137</v>
      </c>
      <c r="D178" s="292" t="n">
        <f aca="false">D149+D156</f>
        <v>1260</v>
      </c>
      <c r="E178" s="293" t="n">
        <f aca="false">F149+F156</f>
        <v>30</v>
      </c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  <c r="KS178" s="7"/>
      <c r="KT178" s="7"/>
      <c r="KU178" s="7"/>
      <c r="KV178" s="7"/>
      <c r="KW178" s="7"/>
      <c r="KX178" s="7"/>
      <c r="KY178" s="7"/>
      <c r="KZ178" s="7"/>
      <c r="LA178" s="7"/>
      <c r="LB178" s="7"/>
      <c r="LC178" s="7"/>
      <c r="LD178" s="7"/>
      <c r="LE178" s="7"/>
      <c r="LF178" s="7"/>
      <c r="LG178" s="7"/>
      <c r="LH178" s="7"/>
      <c r="LI178" s="7"/>
      <c r="LJ178" s="7"/>
      <c r="LK178" s="7"/>
      <c r="LL178" s="7"/>
      <c r="LM178" s="7"/>
      <c r="LN178" s="7"/>
      <c r="LO178" s="7"/>
      <c r="LP178" s="7"/>
      <c r="LQ178" s="7"/>
      <c r="LR178" s="7"/>
      <c r="LS178" s="7"/>
      <c r="LT178" s="7"/>
      <c r="LU178" s="7"/>
      <c r="LV178" s="7"/>
      <c r="LW178" s="7"/>
      <c r="LX178" s="7"/>
      <c r="LY178" s="7"/>
      <c r="LZ178" s="7"/>
      <c r="MA178" s="7"/>
      <c r="MB178" s="7"/>
      <c r="MC178" s="7"/>
      <c r="MD178" s="7"/>
      <c r="ME178" s="7"/>
      <c r="MF178" s="7"/>
      <c r="MG178" s="7"/>
      <c r="MH178" s="7"/>
      <c r="MI178" s="7"/>
      <c r="MJ178" s="7"/>
      <c r="MK178" s="7"/>
      <c r="ML178" s="7"/>
      <c r="MM178" s="7"/>
      <c r="MN178" s="7"/>
      <c r="MO178" s="7"/>
      <c r="MP178" s="7"/>
      <c r="MQ178" s="7"/>
      <c r="MR178" s="7"/>
      <c r="MS178" s="7"/>
      <c r="MT178" s="7"/>
      <c r="MU178" s="7"/>
      <c r="MV178" s="7"/>
      <c r="MW178" s="7"/>
      <c r="MX178" s="7"/>
      <c r="MY178" s="7"/>
      <c r="MZ178" s="7"/>
      <c r="NA178" s="7"/>
      <c r="NB178" s="7"/>
      <c r="NC178" s="7"/>
      <c r="ND178" s="7"/>
      <c r="NE178" s="7"/>
      <c r="NF178" s="7"/>
      <c r="NG178" s="7"/>
      <c r="NH178" s="7"/>
      <c r="NI178" s="7"/>
      <c r="NJ178" s="7"/>
      <c r="NK178" s="7"/>
      <c r="NL178" s="7"/>
      <c r="NM178" s="7"/>
      <c r="NN178" s="7"/>
      <c r="NO178" s="7"/>
      <c r="NP178" s="7"/>
      <c r="NQ178" s="7"/>
      <c r="NR178" s="7"/>
      <c r="NS178" s="7"/>
      <c r="NT178" s="7"/>
      <c r="NU178" s="7"/>
      <c r="NV178" s="7"/>
      <c r="NW178" s="7"/>
      <c r="NX178" s="7"/>
      <c r="NY178" s="7"/>
      <c r="NZ178" s="7"/>
      <c r="OA178" s="7"/>
      <c r="OB178" s="7"/>
      <c r="OC178" s="7"/>
      <c r="OD178" s="7"/>
      <c r="OE178" s="7"/>
      <c r="OF178" s="7"/>
      <c r="OG178" s="7"/>
      <c r="OH178" s="7"/>
      <c r="OI178" s="7"/>
      <c r="OJ178" s="7"/>
      <c r="OK178" s="7"/>
      <c r="OL178" s="7"/>
      <c r="OM178" s="7"/>
      <c r="ON178" s="7"/>
      <c r="OO178" s="7"/>
      <c r="OP178" s="7"/>
      <c r="OQ178" s="7"/>
      <c r="OR178" s="7"/>
      <c r="OS178" s="7"/>
      <c r="OT178" s="7"/>
      <c r="OU178" s="7"/>
      <c r="OV178" s="7"/>
      <c r="OW178" s="7"/>
      <c r="OX178" s="7"/>
      <c r="OY178" s="7"/>
      <c r="OZ178" s="7"/>
      <c r="PA178" s="7"/>
      <c r="PB178" s="7"/>
      <c r="PC178" s="7"/>
      <c r="PD178" s="7"/>
      <c r="PE178" s="7"/>
      <c r="PF178" s="7"/>
      <c r="PG178" s="7"/>
      <c r="PH178" s="7"/>
      <c r="PI178" s="7"/>
      <c r="PJ178" s="7"/>
      <c r="PK178" s="7"/>
      <c r="PL178" s="7"/>
      <c r="PM178" s="7"/>
      <c r="PN178" s="7"/>
      <c r="PO178" s="7"/>
      <c r="PP178" s="7"/>
      <c r="PQ178" s="7"/>
      <c r="PR178" s="7"/>
      <c r="PS178" s="7"/>
      <c r="PT178" s="7"/>
      <c r="PU178" s="7"/>
      <c r="PV178" s="7"/>
      <c r="PW178" s="7"/>
      <c r="PX178" s="7"/>
      <c r="PY178" s="7"/>
      <c r="PZ178" s="7"/>
      <c r="QA178" s="7"/>
      <c r="QB178" s="7"/>
      <c r="QC178" s="7"/>
      <c r="QD178" s="7"/>
      <c r="QE178" s="7"/>
      <c r="QF178" s="7"/>
      <c r="QG178" s="7"/>
      <c r="QH178" s="7"/>
      <c r="QI178" s="7"/>
      <c r="QJ178" s="7"/>
      <c r="QK178" s="7"/>
      <c r="QL178" s="7"/>
      <c r="QM178" s="7"/>
      <c r="QN178" s="7"/>
      <c r="QO178" s="7"/>
      <c r="QP178" s="7"/>
      <c r="QQ178" s="7"/>
      <c r="QR178" s="7"/>
      <c r="QS178" s="7"/>
      <c r="QT178" s="7"/>
      <c r="QU178" s="7"/>
      <c r="QV178" s="7"/>
      <c r="QW178" s="7"/>
      <c r="QX178" s="7"/>
      <c r="QY178" s="7"/>
      <c r="QZ178" s="7"/>
      <c r="RA178" s="7"/>
      <c r="RB178" s="7"/>
      <c r="RC178" s="7"/>
      <c r="RD178" s="7"/>
      <c r="RE178" s="7"/>
      <c r="RF178" s="7"/>
      <c r="RG178" s="7"/>
      <c r="RH178" s="7"/>
      <c r="RI178" s="7"/>
      <c r="RJ178" s="7"/>
      <c r="RK178" s="7"/>
      <c r="RL178" s="7"/>
      <c r="RM178" s="7"/>
      <c r="RN178" s="7"/>
      <c r="RO178" s="7"/>
      <c r="RP178" s="7"/>
      <c r="RQ178" s="7"/>
      <c r="RR178" s="7"/>
      <c r="RS178" s="7"/>
      <c r="RT178" s="7"/>
      <c r="RU178" s="7"/>
      <c r="RV178" s="7"/>
      <c r="RW178" s="7"/>
      <c r="RX178" s="7"/>
      <c r="RY178" s="7"/>
      <c r="RZ178" s="7"/>
      <c r="SA178" s="7"/>
      <c r="SB178" s="7"/>
      <c r="SC178" s="7"/>
      <c r="SD178" s="7"/>
      <c r="SE178" s="7"/>
      <c r="SF178" s="7"/>
      <c r="SG178" s="7"/>
      <c r="SH178" s="7"/>
      <c r="SI178" s="7"/>
      <c r="SJ178" s="7"/>
      <c r="SK178" s="7"/>
      <c r="SL178" s="7"/>
      <c r="SM178" s="7"/>
      <c r="SN178" s="7"/>
      <c r="SO178" s="7"/>
      <c r="SP178" s="7"/>
      <c r="SQ178" s="7"/>
      <c r="SR178" s="7"/>
      <c r="SS178" s="7"/>
      <c r="ST178" s="7"/>
      <c r="SU178" s="7"/>
      <c r="SV178" s="7"/>
      <c r="SW178" s="7"/>
      <c r="SX178" s="7"/>
      <c r="SY178" s="7"/>
      <c r="SZ178" s="7"/>
      <c r="TA178" s="7"/>
      <c r="TB178" s="7"/>
      <c r="TC178" s="7"/>
      <c r="TD178" s="7"/>
      <c r="TE178" s="7"/>
      <c r="TF178" s="7"/>
      <c r="TG178" s="7"/>
      <c r="TH178" s="7"/>
      <c r="TI178" s="7"/>
      <c r="TJ178" s="7"/>
      <c r="TK178" s="7"/>
      <c r="TL178" s="7"/>
      <c r="TM178" s="7"/>
      <c r="TN178" s="7"/>
      <c r="TO178" s="7"/>
      <c r="TP178" s="7"/>
      <c r="TQ178" s="7"/>
      <c r="TR178" s="7"/>
      <c r="TS178" s="7"/>
      <c r="TT178" s="7"/>
      <c r="TU178" s="7"/>
      <c r="TV178" s="7"/>
      <c r="TW178" s="7"/>
      <c r="TX178" s="7"/>
      <c r="TY178" s="7"/>
      <c r="TZ178" s="7"/>
      <c r="UA178" s="7"/>
      <c r="UB178" s="7"/>
      <c r="UC178" s="7"/>
      <c r="UD178" s="7"/>
      <c r="UE178" s="7"/>
      <c r="UF178" s="7"/>
      <c r="UG178" s="7"/>
      <c r="UH178" s="7"/>
      <c r="UI178" s="7"/>
      <c r="UJ178" s="7"/>
      <c r="UK178" s="7"/>
      <c r="UL178" s="7"/>
      <c r="UM178" s="7"/>
      <c r="UN178" s="7"/>
      <c r="UO178" s="7"/>
      <c r="UP178" s="7"/>
      <c r="UQ178" s="7"/>
      <c r="UR178" s="7"/>
      <c r="US178" s="7"/>
      <c r="UT178" s="7"/>
      <c r="UU178" s="7"/>
      <c r="UV178" s="7"/>
      <c r="UW178" s="7"/>
      <c r="UX178" s="7"/>
      <c r="UY178" s="7"/>
      <c r="UZ178" s="7"/>
      <c r="VA178" s="7"/>
      <c r="VB178" s="7"/>
      <c r="VC178" s="7"/>
      <c r="VD178" s="7"/>
      <c r="VE178" s="7"/>
      <c r="VF178" s="7"/>
      <c r="VG178" s="7"/>
      <c r="VH178" s="7"/>
      <c r="VI178" s="7"/>
      <c r="VJ178" s="7"/>
      <c r="VK178" s="7"/>
      <c r="VL178" s="7"/>
      <c r="VM178" s="7"/>
      <c r="VN178" s="7"/>
      <c r="VO178" s="7"/>
      <c r="VP178" s="7"/>
      <c r="VQ178" s="7"/>
      <c r="VR178" s="7"/>
      <c r="VS178" s="7"/>
      <c r="VT178" s="7"/>
      <c r="VU178" s="7"/>
      <c r="VV178" s="7"/>
      <c r="VW178" s="7"/>
      <c r="VX178" s="7"/>
      <c r="VY178" s="7"/>
      <c r="VZ178" s="7"/>
      <c r="WA178" s="7"/>
      <c r="WB178" s="7"/>
      <c r="WC178" s="7"/>
      <c r="WD178" s="7"/>
      <c r="WE178" s="7"/>
      <c r="WF178" s="7"/>
      <c r="WG178" s="7"/>
      <c r="WH178" s="7"/>
      <c r="WI178" s="7"/>
      <c r="WJ178" s="7"/>
      <c r="WK178" s="7"/>
      <c r="WL178" s="7"/>
      <c r="WM178" s="7"/>
      <c r="WN178" s="7"/>
      <c r="WO178" s="7"/>
      <c r="WP178" s="7"/>
      <c r="WQ178" s="7"/>
      <c r="WR178" s="7"/>
      <c r="WS178" s="7"/>
      <c r="WT178" s="7"/>
      <c r="WU178" s="7"/>
      <c r="WV178" s="7"/>
      <c r="WW178" s="7"/>
      <c r="WX178" s="7"/>
      <c r="WY178" s="7"/>
      <c r="WZ178" s="7"/>
      <c r="XA178" s="7"/>
      <c r="XB178" s="7"/>
      <c r="XC178" s="7"/>
      <c r="XD178" s="7"/>
      <c r="XE178" s="7"/>
      <c r="XF178" s="7"/>
      <c r="XG178" s="7"/>
      <c r="XH178" s="7"/>
      <c r="XI178" s="7"/>
      <c r="XJ178" s="7"/>
      <c r="XK178" s="7"/>
      <c r="XL178" s="7"/>
      <c r="XM178" s="7"/>
      <c r="XN178" s="7"/>
      <c r="XO178" s="7"/>
      <c r="XP178" s="7"/>
      <c r="XQ178" s="7"/>
      <c r="XR178" s="7"/>
      <c r="XS178" s="7"/>
      <c r="XT178" s="7"/>
      <c r="XU178" s="7"/>
      <c r="XV178" s="7"/>
      <c r="XW178" s="7"/>
      <c r="XX178" s="7"/>
      <c r="XY178" s="7"/>
      <c r="XZ178" s="7"/>
      <c r="YA178" s="7"/>
      <c r="YB178" s="7"/>
      <c r="YC178" s="7"/>
      <c r="YD178" s="7"/>
      <c r="YE178" s="7"/>
      <c r="YF178" s="7"/>
      <c r="YG178" s="7"/>
      <c r="YH178" s="7"/>
      <c r="YI178" s="7"/>
      <c r="YJ178" s="7"/>
      <c r="YK178" s="7"/>
      <c r="YL178" s="7"/>
      <c r="YM178" s="7"/>
      <c r="YN178" s="7"/>
      <c r="YO178" s="7"/>
      <c r="YP178" s="7"/>
      <c r="YQ178" s="7"/>
      <c r="YR178" s="7"/>
      <c r="YS178" s="7"/>
      <c r="YT178" s="7"/>
      <c r="YU178" s="7"/>
      <c r="YV178" s="7"/>
      <c r="YW178" s="7"/>
      <c r="YX178" s="7"/>
      <c r="YY178" s="7"/>
      <c r="YZ178" s="7"/>
      <c r="ZA178" s="7"/>
      <c r="ZB178" s="7"/>
      <c r="ZC178" s="7"/>
      <c r="ZD178" s="7"/>
      <c r="ZE178" s="7"/>
      <c r="ZF178" s="7"/>
      <c r="ZG178" s="7"/>
      <c r="ZH178" s="7"/>
      <c r="ZI178" s="7"/>
      <c r="ZJ178" s="7"/>
      <c r="ZK178" s="7"/>
      <c r="ZL178" s="7"/>
      <c r="ZM178" s="7"/>
      <c r="ZN178" s="7"/>
      <c r="ZO178" s="7"/>
      <c r="ZP178" s="7"/>
      <c r="ZQ178" s="7"/>
      <c r="ZR178" s="7"/>
      <c r="ZS178" s="7"/>
      <c r="ZT178" s="7"/>
      <c r="ZU178" s="7"/>
      <c r="ZV178" s="7"/>
      <c r="ZW178" s="7"/>
      <c r="ZX178" s="7"/>
      <c r="ZY178" s="7"/>
      <c r="ZZ178" s="7"/>
      <c r="AAA178" s="7"/>
      <c r="AAB178" s="7"/>
      <c r="AAC178" s="7"/>
      <c r="AAD178" s="7"/>
      <c r="AAE178" s="7"/>
      <c r="AAF178" s="7"/>
      <c r="AAG178" s="7"/>
      <c r="AAH178" s="7"/>
      <c r="AAI178" s="7"/>
      <c r="AAJ178" s="7"/>
      <c r="AAK178" s="7"/>
      <c r="AAL178" s="7"/>
      <c r="AAM178" s="7"/>
      <c r="AAN178" s="7"/>
      <c r="AAO178" s="7"/>
      <c r="AAP178" s="7"/>
      <c r="AAQ178" s="7"/>
      <c r="AAR178" s="7"/>
      <c r="AAS178" s="7"/>
      <c r="AAT178" s="7"/>
      <c r="AAU178" s="7"/>
      <c r="AAV178" s="7"/>
      <c r="AAW178" s="7"/>
      <c r="AAX178" s="7"/>
      <c r="AAY178" s="7"/>
      <c r="AAZ178" s="7"/>
      <c r="ABA178" s="7"/>
      <c r="ABB178" s="7"/>
      <c r="ABC178" s="7"/>
      <c r="ABD178" s="7"/>
      <c r="ABE178" s="7"/>
      <c r="ABF178" s="7"/>
      <c r="ABG178" s="7"/>
      <c r="ABH178" s="7"/>
      <c r="ABI178" s="7"/>
      <c r="ABJ178" s="7"/>
      <c r="ABK178" s="7"/>
      <c r="ABL178" s="7"/>
      <c r="ABM178" s="7"/>
      <c r="ABN178" s="7"/>
      <c r="ABO178" s="7"/>
      <c r="ABP178" s="7"/>
      <c r="ABQ178" s="7"/>
      <c r="ABR178" s="7"/>
      <c r="ABS178" s="7"/>
      <c r="ABT178" s="7"/>
      <c r="ABU178" s="7"/>
      <c r="ABV178" s="7"/>
      <c r="ABW178" s="7"/>
      <c r="ABX178" s="7"/>
      <c r="ABY178" s="7"/>
      <c r="ABZ178" s="7"/>
      <c r="ACA178" s="7"/>
      <c r="ACB178" s="7"/>
      <c r="ACC178" s="7"/>
      <c r="ACD178" s="7"/>
      <c r="ACE178" s="7"/>
      <c r="ACF178" s="7"/>
      <c r="ACG178" s="7"/>
      <c r="ACH178" s="7"/>
      <c r="ACI178" s="7"/>
      <c r="ACJ178" s="7"/>
      <c r="ACK178" s="7"/>
      <c r="ACL178" s="7"/>
      <c r="ACM178" s="7"/>
      <c r="ACN178" s="7"/>
      <c r="ACO178" s="7"/>
      <c r="ACP178" s="7"/>
      <c r="ACQ178" s="7"/>
      <c r="ACR178" s="7"/>
      <c r="ACS178" s="7"/>
      <c r="ACT178" s="7"/>
      <c r="ACU178" s="7"/>
      <c r="ACV178" s="7"/>
      <c r="ACW178" s="7"/>
      <c r="ACX178" s="7"/>
      <c r="ACY178" s="7"/>
      <c r="ACZ178" s="7"/>
      <c r="ADA178" s="7"/>
      <c r="ADB178" s="7"/>
      <c r="ADC178" s="7"/>
      <c r="ADD178" s="7"/>
      <c r="ADE178" s="7"/>
      <c r="ADF178" s="7"/>
      <c r="ADG178" s="7"/>
      <c r="ADH178" s="7"/>
      <c r="ADI178" s="7"/>
      <c r="ADJ178" s="7"/>
      <c r="ADK178" s="7"/>
      <c r="ADL178" s="7"/>
      <c r="ADM178" s="7"/>
      <c r="ADN178" s="7"/>
      <c r="ADO178" s="7"/>
      <c r="ADP178" s="7"/>
      <c r="ADQ178" s="7"/>
      <c r="ADR178" s="7"/>
      <c r="ADS178" s="7"/>
      <c r="ADT178" s="7"/>
      <c r="ADU178" s="7"/>
      <c r="ADV178" s="7"/>
      <c r="ADW178" s="7"/>
      <c r="ADX178" s="7"/>
      <c r="ADY178" s="7"/>
      <c r="ADZ178" s="7"/>
      <c r="AEA178" s="7"/>
      <c r="AEB178" s="7"/>
      <c r="AEC178" s="7"/>
      <c r="AED178" s="7"/>
      <c r="AEE178" s="7"/>
      <c r="AEF178" s="7"/>
      <c r="AEG178" s="7"/>
      <c r="AEH178" s="7"/>
      <c r="AEI178" s="7"/>
      <c r="AEJ178" s="7"/>
      <c r="AEK178" s="7"/>
      <c r="AEL178" s="7"/>
      <c r="AEM178" s="7"/>
      <c r="AEN178" s="7"/>
      <c r="AEO178" s="7"/>
      <c r="AEP178" s="7"/>
      <c r="AEQ178" s="7"/>
      <c r="AER178" s="7"/>
      <c r="AES178" s="7"/>
      <c r="AET178" s="7"/>
      <c r="AEU178" s="7"/>
      <c r="AEV178" s="7"/>
      <c r="AEW178" s="7"/>
      <c r="AEX178" s="7"/>
      <c r="AEY178" s="7"/>
      <c r="AEZ178" s="7"/>
      <c r="AFA178" s="7"/>
      <c r="AFB178" s="7"/>
      <c r="AFC178" s="7"/>
      <c r="AFD178" s="7"/>
      <c r="AFE178" s="7"/>
      <c r="AFF178" s="7"/>
      <c r="AFG178" s="7"/>
      <c r="AFH178" s="7"/>
      <c r="AFI178" s="7"/>
      <c r="AFJ178" s="7"/>
      <c r="AFK178" s="7"/>
      <c r="AFL178" s="7"/>
      <c r="AFM178" s="7"/>
      <c r="AFN178" s="7"/>
      <c r="AFO178" s="7"/>
      <c r="AFP178" s="7"/>
      <c r="AFQ178" s="7"/>
      <c r="AFR178" s="7"/>
      <c r="AFS178" s="7"/>
      <c r="AFT178" s="7"/>
      <c r="AFU178" s="7"/>
      <c r="AFV178" s="7"/>
      <c r="AFW178" s="7"/>
      <c r="AFX178" s="7"/>
      <c r="AFY178" s="7"/>
      <c r="AFZ178" s="7"/>
      <c r="AGA178" s="7"/>
      <c r="AGB178" s="7"/>
      <c r="AGC178" s="7"/>
      <c r="AGD178" s="7"/>
      <c r="AGE178" s="7"/>
      <c r="AGF178" s="7"/>
      <c r="AGG178" s="7"/>
      <c r="AGH178" s="7"/>
      <c r="AGI178" s="7"/>
      <c r="AGJ178" s="7"/>
      <c r="AGK178" s="7"/>
      <c r="AGL178" s="7"/>
      <c r="AGM178" s="7"/>
      <c r="AGN178" s="7"/>
      <c r="AGO178" s="7"/>
      <c r="AGP178" s="7"/>
      <c r="AGQ178" s="7"/>
      <c r="AGR178" s="7"/>
      <c r="AGS178" s="7"/>
      <c r="AGT178" s="7"/>
      <c r="AGU178" s="7"/>
      <c r="AGV178" s="7"/>
      <c r="AGW178" s="7"/>
      <c r="AGX178" s="7"/>
      <c r="AGY178" s="7"/>
      <c r="AGZ178" s="7"/>
      <c r="AHA178" s="7"/>
      <c r="AHB178" s="7"/>
      <c r="AHC178" s="7"/>
      <c r="AHD178" s="7"/>
      <c r="AHE178" s="7"/>
      <c r="AHF178" s="7"/>
      <c r="AHG178" s="7"/>
      <c r="AHH178" s="7"/>
      <c r="AHI178" s="7"/>
      <c r="AHJ178" s="7"/>
      <c r="AHK178" s="7"/>
      <c r="AHL178" s="7"/>
      <c r="AHM178" s="7"/>
      <c r="AHN178" s="7"/>
      <c r="AHO178" s="7"/>
      <c r="AHP178" s="7"/>
      <c r="AHQ178" s="7"/>
      <c r="AHR178" s="7"/>
      <c r="AHS178" s="7"/>
      <c r="AHT178" s="7"/>
      <c r="AHU178" s="7"/>
      <c r="AHV178" s="7"/>
      <c r="AHW178" s="7"/>
      <c r="AHX178" s="7"/>
      <c r="AHY178" s="7"/>
      <c r="AHZ178" s="7"/>
      <c r="AIA178" s="7"/>
      <c r="AIB178" s="7"/>
      <c r="AIC178" s="7"/>
      <c r="AID178" s="7"/>
      <c r="AIE178" s="7"/>
      <c r="AIF178" s="7"/>
      <c r="AIG178" s="7"/>
      <c r="AIH178" s="7"/>
      <c r="AII178" s="7"/>
      <c r="AIJ178" s="7"/>
      <c r="AIK178" s="7"/>
      <c r="AIL178" s="7"/>
      <c r="AIM178" s="7"/>
      <c r="AIN178" s="7"/>
      <c r="AIO178" s="7"/>
      <c r="AIP178" s="7"/>
      <c r="AIQ178" s="7"/>
      <c r="AIR178" s="7"/>
      <c r="AIS178" s="7"/>
      <c r="AIT178" s="7"/>
      <c r="AIU178" s="7"/>
      <c r="AIV178" s="7"/>
      <c r="AIW178" s="7"/>
      <c r="AIX178" s="7"/>
      <c r="AIY178" s="7"/>
      <c r="AIZ178" s="7"/>
      <c r="AJA178" s="7"/>
      <c r="AJB178" s="7"/>
      <c r="AJC178" s="7"/>
      <c r="AJD178" s="7"/>
      <c r="AJE178" s="7"/>
      <c r="AJF178" s="7"/>
      <c r="AJG178" s="7"/>
      <c r="AJH178" s="7"/>
      <c r="AJI178" s="7"/>
      <c r="AJJ178" s="7"/>
      <c r="AJK178" s="7"/>
      <c r="AJL178" s="7"/>
      <c r="AJM178" s="7"/>
      <c r="AJN178" s="7"/>
      <c r="AJO178" s="7"/>
      <c r="AJP178" s="7"/>
      <c r="AJQ178" s="7"/>
      <c r="AJR178" s="7"/>
      <c r="AJS178" s="7"/>
      <c r="AJT178" s="7"/>
      <c r="AJU178" s="7"/>
      <c r="AJV178" s="7"/>
      <c r="AJW178" s="7"/>
      <c r="AJX178" s="7"/>
      <c r="AJY178" s="7"/>
      <c r="AJZ178" s="7"/>
      <c r="AKA178" s="7"/>
      <c r="AKB178" s="7"/>
      <c r="AKC178" s="7"/>
      <c r="AKD178" s="7"/>
      <c r="AKE178" s="7"/>
      <c r="AKF178" s="7"/>
      <c r="AKG178" s="7"/>
      <c r="AKH178" s="7"/>
      <c r="AKI178" s="7"/>
      <c r="AKJ178" s="7"/>
      <c r="AKK178" s="7"/>
      <c r="AKL178" s="7"/>
      <c r="AKM178" s="7"/>
      <c r="AKN178" s="7"/>
      <c r="AKO178" s="7"/>
      <c r="AKP178" s="7"/>
      <c r="AKQ178" s="7"/>
      <c r="AKR178" s="7"/>
      <c r="AKS178" s="7"/>
      <c r="AKT178" s="7"/>
      <c r="AKU178" s="7"/>
      <c r="AKV178" s="7"/>
      <c r="AKW178" s="7"/>
      <c r="AKX178" s="7"/>
      <c r="AKY178" s="7"/>
      <c r="AKZ178" s="7"/>
      <c r="ALA178" s="7"/>
      <c r="ALB178" s="7"/>
      <c r="ALC178" s="7"/>
      <c r="ALD178" s="7"/>
      <c r="ALE178" s="7"/>
      <c r="ALF178" s="7"/>
      <c r="ALG178" s="7"/>
      <c r="ALH178" s="7"/>
      <c r="ALI178" s="7"/>
      <c r="ALJ178" s="7"/>
      <c r="ALK178" s="7"/>
      <c r="ALL178" s="7"/>
      <c r="ALM178" s="7"/>
      <c r="ALN178" s="7"/>
      <c r="ALO178" s="7"/>
      <c r="ALP178" s="7"/>
      <c r="ALQ178" s="7"/>
      <c r="ALR178" s="7"/>
      <c r="ALS178" s="7"/>
      <c r="ALT178" s="7"/>
      <c r="ALU178" s="7"/>
      <c r="ALV178" s="7"/>
      <c r="ALW178" s="7"/>
      <c r="ALX178" s="7"/>
      <c r="ALY178" s="7"/>
      <c r="ALZ178" s="7"/>
      <c r="AMA178" s="7"/>
      <c r="AMB178" s="7"/>
      <c r="AMC178" s="7"/>
      <c r="AMD178" s="7"/>
      <c r="AME178" s="7"/>
      <c r="AMF178" s="7"/>
      <c r="AMG178" s="7"/>
      <c r="AMH178" s="7"/>
      <c r="AMI178" s="7"/>
      <c r="AMJ178" s="7"/>
    </row>
    <row r="179" customFormat="false" ht="15.75" hidden="false" customHeight="true" outlineLevel="0" collapsed="false">
      <c r="A179" s="7"/>
      <c r="B179" s="7"/>
      <c r="C179" s="294" t="s">
        <v>195</v>
      </c>
      <c r="D179" s="295" t="n">
        <f aca="false">D176+D177+D178</f>
        <v>3290</v>
      </c>
      <c r="E179" s="296" t="n">
        <f aca="false">E176+E177+E178</f>
        <v>74</v>
      </c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  <c r="KS179" s="7"/>
      <c r="KT179" s="7"/>
      <c r="KU179" s="7"/>
      <c r="KV179" s="7"/>
      <c r="KW179" s="7"/>
      <c r="KX179" s="7"/>
      <c r="KY179" s="7"/>
      <c r="KZ179" s="7"/>
      <c r="LA179" s="7"/>
      <c r="LB179" s="7"/>
      <c r="LC179" s="7"/>
      <c r="LD179" s="7"/>
      <c r="LE179" s="7"/>
      <c r="LF179" s="7"/>
      <c r="LG179" s="7"/>
      <c r="LH179" s="7"/>
      <c r="LI179" s="7"/>
      <c r="LJ179" s="7"/>
      <c r="LK179" s="7"/>
      <c r="LL179" s="7"/>
      <c r="LM179" s="7"/>
      <c r="LN179" s="7"/>
      <c r="LO179" s="7"/>
      <c r="LP179" s="7"/>
      <c r="LQ179" s="7"/>
      <c r="LR179" s="7"/>
      <c r="LS179" s="7"/>
      <c r="LT179" s="7"/>
      <c r="LU179" s="7"/>
      <c r="LV179" s="7"/>
      <c r="LW179" s="7"/>
      <c r="LX179" s="7"/>
      <c r="LY179" s="7"/>
      <c r="LZ179" s="7"/>
      <c r="MA179" s="7"/>
      <c r="MB179" s="7"/>
      <c r="MC179" s="7"/>
      <c r="MD179" s="7"/>
      <c r="ME179" s="7"/>
      <c r="MF179" s="7"/>
      <c r="MG179" s="7"/>
      <c r="MH179" s="7"/>
      <c r="MI179" s="7"/>
      <c r="MJ179" s="7"/>
      <c r="MK179" s="7"/>
      <c r="ML179" s="7"/>
      <c r="MM179" s="7"/>
      <c r="MN179" s="7"/>
      <c r="MO179" s="7"/>
      <c r="MP179" s="7"/>
      <c r="MQ179" s="7"/>
      <c r="MR179" s="7"/>
      <c r="MS179" s="7"/>
      <c r="MT179" s="7"/>
      <c r="MU179" s="7"/>
      <c r="MV179" s="7"/>
      <c r="MW179" s="7"/>
      <c r="MX179" s="7"/>
      <c r="MY179" s="7"/>
      <c r="MZ179" s="7"/>
      <c r="NA179" s="7"/>
      <c r="NB179" s="7"/>
      <c r="NC179" s="7"/>
      <c r="ND179" s="7"/>
      <c r="NE179" s="7"/>
      <c r="NF179" s="7"/>
      <c r="NG179" s="7"/>
      <c r="NH179" s="7"/>
      <c r="NI179" s="7"/>
      <c r="NJ179" s="7"/>
      <c r="NK179" s="7"/>
      <c r="NL179" s="7"/>
      <c r="NM179" s="7"/>
      <c r="NN179" s="7"/>
      <c r="NO179" s="7"/>
      <c r="NP179" s="7"/>
      <c r="NQ179" s="7"/>
      <c r="NR179" s="7"/>
      <c r="NS179" s="7"/>
      <c r="NT179" s="7"/>
      <c r="NU179" s="7"/>
      <c r="NV179" s="7"/>
      <c r="NW179" s="7"/>
      <c r="NX179" s="7"/>
      <c r="NY179" s="7"/>
      <c r="NZ179" s="7"/>
      <c r="OA179" s="7"/>
      <c r="OB179" s="7"/>
      <c r="OC179" s="7"/>
      <c r="OD179" s="7"/>
      <c r="OE179" s="7"/>
      <c r="OF179" s="7"/>
      <c r="OG179" s="7"/>
      <c r="OH179" s="7"/>
      <c r="OI179" s="7"/>
      <c r="OJ179" s="7"/>
      <c r="OK179" s="7"/>
      <c r="OL179" s="7"/>
      <c r="OM179" s="7"/>
      <c r="ON179" s="7"/>
      <c r="OO179" s="7"/>
      <c r="OP179" s="7"/>
      <c r="OQ179" s="7"/>
      <c r="OR179" s="7"/>
      <c r="OS179" s="7"/>
      <c r="OT179" s="7"/>
      <c r="OU179" s="7"/>
      <c r="OV179" s="7"/>
      <c r="OW179" s="7"/>
      <c r="OX179" s="7"/>
      <c r="OY179" s="7"/>
      <c r="OZ179" s="7"/>
      <c r="PA179" s="7"/>
      <c r="PB179" s="7"/>
      <c r="PC179" s="7"/>
      <c r="PD179" s="7"/>
      <c r="PE179" s="7"/>
      <c r="PF179" s="7"/>
      <c r="PG179" s="7"/>
      <c r="PH179" s="7"/>
      <c r="PI179" s="7"/>
      <c r="PJ179" s="7"/>
      <c r="PK179" s="7"/>
      <c r="PL179" s="7"/>
      <c r="PM179" s="7"/>
      <c r="PN179" s="7"/>
      <c r="PO179" s="7"/>
      <c r="PP179" s="7"/>
      <c r="PQ179" s="7"/>
      <c r="PR179" s="7"/>
      <c r="PS179" s="7"/>
      <c r="PT179" s="7"/>
      <c r="PU179" s="7"/>
      <c r="PV179" s="7"/>
      <c r="PW179" s="7"/>
      <c r="PX179" s="7"/>
      <c r="PY179" s="7"/>
      <c r="PZ179" s="7"/>
      <c r="QA179" s="7"/>
      <c r="QB179" s="7"/>
      <c r="QC179" s="7"/>
      <c r="QD179" s="7"/>
      <c r="QE179" s="7"/>
      <c r="QF179" s="7"/>
      <c r="QG179" s="7"/>
      <c r="QH179" s="7"/>
      <c r="QI179" s="7"/>
      <c r="QJ179" s="7"/>
      <c r="QK179" s="7"/>
      <c r="QL179" s="7"/>
      <c r="QM179" s="7"/>
      <c r="QN179" s="7"/>
      <c r="QO179" s="7"/>
      <c r="QP179" s="7"/>
      <c r="QQ179" s="7"/>
      <c r="QR179" s="7"/>
      <c r="QS179" s="7"/>
      <c r="QT179" s="7"/>
      <c r="QU179" s="7"/>
      <c r="QV179" s="7"/>
      <c r="QW179" s="7"/>
      <c r="QX179" s="7"/>
      <c r="QY179" s="7"/>
      <c r="QZ179" s="7"/>
      <c r="RA179" s="7"/>
      <c r="RB179" s="7"/>
      <c r="RC179" s="7"/>
      <c r="RD179" s="7"/>
      <c r="RE179" s="7"/>
      <c r="RF179" s="7"/>
      <c r="RG179" s="7"/>
      <c r="RH179" s="7"/>
      <c r="RI179" s="7"/>
      <c r="RJ179" s="7"/>
      <c r="RK179" s="7"/>
      <c r="RL179" s="7"/>
      <c r="RM179" s="7"/>
      <c r="RN179" s="7"/>
      <c r="RO179" s="7"/>
      <c r="RP179" s="7"/>
      <c r="RQ179" s="7"/>
      <c r="RR179" s="7"/>
      <c r="RS179" s="7"/>
      <c r="RT179" s="7"/>
      <c r="RU179" s="7"/>
      <c r="RV179" s="7"/>
      <c r="RW179" s="7"/>
      <c r="RX179" s="7"/>
      <c r="RY179" s="7"/>
      <c r="RZ179" s="7"/>
      <c r="SA179" s="7"/>
      <c r="SB179" s="7"/>
      <c r="SC179" s="7"/>
      <c r="SD179" s="7"/>
      <c r="SE179" s="7"/>
      <c r="SF179" s="7"/>
      <c r="SG179" s="7"/>
      <c r="SH179" s="7"/>
      <c r="SI179" s="7"/>
      <c r="SJ179" s="7"/>
      <c r="SK179" s="7"/>
      <c r="SL179" s="7"/>
      <c r="SM179" s="7"/>
      <c r="SN179" s="7"/>
      <c r="SO179" s="7"/>
      <c r="SP179" s="7"/>
      <c r="SQ179" s="7"/>
      <c r="SR179" s="7"/>
      <c r="SS179" s="7"/>
      <c r="ST179" s="7"/>
      <c r="SU179" s="7"/>
      <c r="SV179" s="7"/>
      <c r="SW179" s="7"/>
      <c r="SX179" s="7"/>
      <c r="SY179" s="7"/>
      <c r="SZ179" s="7"/>
      <c r="TA179" s="7"/>
      <c r="TB179" s="7"/>
      <c r="TC179" s="7"/>
      <c r="TD179" s="7"/>
      <c r="TE179" s="7"/>
      <c r="TF179" s="7"/>
      <c r="TG179" s="7"/>
      <c r="TH179" s="7"/>
      <c r="TI179" s="7"/>
      <c r="TJ179" s="7"/>
      <c r="TK179" s="7"/>
      <c r="TL179" s="7"/>
      <c r="TM179" s="7"/>
      <c r="TN179" s="7"/>
      <c r="TO179" s="7"/>
      <c r="TP179" s="7"/>
      <c r="TQ179" s="7"/>
      <c r="TR179" s="7"/>
      <c r="TS179" s="7"/>
      <c r="TT179" s="7"/>
      <c r="TU179" s="7"/>
      <c r="TV179" s="7"/>
      <c r="TW179" s="7"/>
      <c r="TX179" s="7"/>
      <c r="TY179" s="7"/>
      <c r="TZ179" s="7"/>
      <c r="UA179" s="7"/>
      <c r="UB179" s="7"/>
      <c r="UC179" s="7"/>
      <c r="UD179" s="7"/>
      <c r="UE179" s="7"/>
      <c r="UF179" s="7"/>
      <c r="UG179" s="7"/>
      <c r="UH179" s="7"/>
      <c r="UI179" s="7"/>
      <c r="UJ179" s="7"/>
      <c r="UK179" s="7"/>
      <c r="UL179" s="7"/>
      <c r="UM179" s="7"/>
      <c r="UN179" s="7"/>
      <c r="UO179" s="7"/>
      <c r="UP179" s="7"/>
      <c r="UQ179" s="7"/>
      <c r="UR179" s="7"/>
      <c r="US179" s="7"/>
      <c r="UT179" s="7"/>
      <c r="UU179" s="7"/>
      <c r="UV179" s="7"/>
      <c r="UW179" s="7"/>
      <c r="UX179" s="7"/>
      <c r="UY179" s="7"/>
      <c r="UZ179" s="7"/>
      <c r="VA179" s="7"/>
      <c r="VB179" s="7"/>
      <c r="VC179" s="7"/>
      <c r="VD179" s="7"/>
      <c r="VE179" s="7"/>
      <c r="VF179" s="7"/>
      <c r="VG179" s="7"/>
      <c r="VH179" s="7"/>
      <c r="VI179" s="7"/>
      <c r="VJ179" s="7"/>
      <c r="VK179" s="7"/>
      <c r="VL179" s="7"/>
      <c r="VM179" s="7"/>
      <c r="VN179" s="7"/>
      <c r="VO179" s="7"/>
      <c r="VP179" s="7"/>
      <c r="VQ179" s="7"/>
      <c r="VR179" s="7"/>
      <c r="VS179" s="7"/>
      <c r="VT179" s="7"/>
      <c r="VU179" s="7"/>
      <c r="VV179" s="7"/>
      <c r="VW179" s="7"/>
      <c r="VX179" s="7"/>
      <c r="VY179" s="7"/>
      <c r="VZ179" s="7"/>
      <c r="WA179" s="7"/>
      <c r="WB179" s="7"/>
      <c r="WC179" s="7"/>
      <c r="WD179" s="7"/>
      <c r="WE179" s="7"/>
      <c r="WF179" s="7"/>
      <c r="WG179" s="7"/>
      <c r="WH179" s="7"/>
      <c r="WI179" s="7"/>
      <c r="WJ179" s="7"/>
      <c r="WK179" s="7"/>
      <c r="WL179" s="7"/>
      <c r="WM179" s="7"/>
      <c r="WN179" s="7"/>
      <c r="WO179" s="7"/>
      <c r="WP179" s="7"/>
      <c r="WQ179" s="7"/>
      <c r="WR179" s="7"/>
      <c r="WS179" s="7"/>
      <c r="WT179" s="7"/>
      <c r="WU179" s="7"/>
      <c r="WV179" s="7"/>
      <c r="WW179" s="7"/>
      <c r="WX179" s="7"/>
      <c r="WY179" s="7"/>
      <c r="WZ179" s="7"/>
      <c r="XA179" s="7"/>
      <c r="XB179" s="7"/>
      <c r="XC179" s="7"/>
      <c r="XD179" s="7"/>
      <c r="XE179" s="7"/>
      <c r="XF179" s="7"/>
      <c r="XG179" s="7"/>
      <c r="XH179" s="7"/>
      <c r="XI179" s="7"/>
      <c r="XJ179" s="7"/>
      <c r="XK179" s="7"/>
      <c r="XL179" s="7"/>
      <c r="XM179" s="7"/>
      <c r="XN179" s="7"/>
      <c r="XO179" s="7"/>
      <c r="XP179" s="7"/>
      <c r="XQ179" s="7"/>
      <c r="XR179" s="7"/>
      <c r="XS179" s="7"/>
      <c r="XT179" s="7"/>
      <c r="XU179" s="7"/>
      <c r="XV179" s="7"/>
      <c r="XW179" s="7"/>
      <c r="XX179" s="7"/>
      <c r="XY179" s="7"/>
      <c r="XZ179" s="7"/>
      <c r="YA179" s="7"/>
      <c r="YB179" s="7"/>
      <c r="YC179" s="7"/>
      <c r="YD179" s="7"/>
      <c r="YE179" s="7"/>
      <c r="YF179" s="7"/>
      <c r="YG179" s="7"/>
      <c r="YH179" s="7"/>
      <c r="YI179" s="7"/>
      <c r="YJ179" s="7"/>
      <c r="YK179" s="7"/>
      <c r="YL179" s="7"/>
      <c r="YM179" s="7"/>
      <c r="YN179" s="7"/>
      <c r="YO179" s="7"/>
      <c r="YP179" s="7"/>
      <c r="YQ179" s="7"/>
      <c r="YR179" s="7"/>
      <c r="YS179" s="7"/>
      <c r="YT179" s="7"/>
      <c r="YU179" s="7"/>
      <c r="YV179" s="7"/>
      <c r="YW179" s="7"/>
      <c r="YX179" s="7"/>
      <c r="YY179" s="7"/>
      <c r="YZ179" s="7"/>
      <c r="ZA179" s="7"/>
      <c r="ZB179" s="7"/>
      <c r="ZC179" s="7"/>
      <c r="ZD179" s="7"/>
      <c r="ZE179" s="7"/>
      <c r="ZF179" s="7"/>
      <c r="ZG179" s="7"/>
      <c r="ZH179" s="7"/>
      <c r="ZI179" s="7"/>
      <c r="ZJ179" s="7"/>
      <c r="ZK179" s="7"/>
      <c r="ZL179" s="7"/>
      <c r="ZM179" s="7"/>
      <c r="ZN179" s="7"/>
      <c r="ZO179" s="7"/>
      <c r="ZP179" s="7"/>
      <c r="ZQ179" s="7"/>
      <c r="ZR179" s="7"/>
      <c r="ZS179" s="7"/>
      <c r="ZT179" s="7"/>
      <c r="ZU179" s="7"/>
      <c r="ZV179" s="7"/>
      <c r="ZW179" s="7"/>
      <c r="ZX179" s="7"/>
      <c r="ZY179" s="7"/>
      <c r="ZZ179" s="7"/>
      <c r="AAA179" s="7"/>
      <c r="AAB179" s="7"/>
      <c r="AAC179" s="7"/>
      <c r="AAD179" s="7"/>
      <c r="AAE179" s="7"/>
      <c r="AAF179" s="7"/>
      <c r="AAG179" s="7"/>
      <c r="AAH179" s="7"/>
      <c r="AAI179" s="7"/>
      <c r="AAJ179" s="7"/>
      <c r="AAK179" s="7"/>
      <c r="AAL179" s="7"/>
      <c r="AAM179" s="7"/>
      <c r="AAN179" s="7"/>
      <c r="AAO179" s="7"/>
      <c r="AAP179" s="7"/>
      <c r="AAQ179" s="7"/>
      <c r="AAR179" s="7"/>
      <c r="AAS179" s="7"/>
      <c r="AAT179" s="7"/>
      <c r="AAU179" s="7"/>
      <c r="AAV179" s="7"/>
      <c r="AAW179" s="7"/>
      <c r="AAX179" s="7"/>
      <c r="AAY179" s="7"/>
      <c r="AAZ179" s="7"/>
      <c r="ABA179" s="7"/>
      <c r="ABB179" s="7"/>
      <c r="ABC179" s="7"/>
      <c r="ABD179" s="7"/>
      <c r="ABE179" s="7"/>
      <c r="ABF179" s="7"/>
      <c r="ABG179" s="7"/>
      <c r="ABH179" s="7"/>
      <c r="ABI179" s="7"/>
      <c r="ABJ179" s="7"/>
      <c r="ABK179" s="7"/>
      <c r="ABL179" s="7"/>
      <c r="ABM179" s="7"/>
      <c r="ABN179" s="7"/>
      <c r="ABO179" s="7"/>
      <c r="ABP179" s="7"/>
      <c r="ABQ179" s="7"/>
      <c r="ABR179" s="7"/>
      <c r="ABS179" s="7"/>
      <c r="ABT179" s="7"/>
      <c r="ABU179" s="7"/>
      <c r="ABV179" s="7"/>
      <c r="ABW179" s="7"/>
      <c r="ABX179" s="7"/>
      <c r="ABY179" s="7"/>
      <c r="ABZ179" s="7"/>
      <c r="ACA179" s="7"/>
      <c r="ACB179" s="7"/>
      <c r="ACC179" s="7"/>
      <c r="ACD179" s="7"/>
      <c r="ACE179" s="7"/>
      <c r="ACF179" s="7"/>
      <c r="ACG179" s="7"/>
      <c r="ACH179" s="7"/>
      <c r="ACI179" s="7"/>
      <c r="ACJ179" s="7"/>
      <c r="ACK179" s="7"/>
      <c r="ACL179" s="7"/>
      <c r="ACM179" s="7"/>
      <c r="ACN179" s="7"/>
      <c r="ACO179" s="7"/>
      <c r="ACP179" s="7"/>
      <c r="ACQ179" s="7"/>
      <c r="ACR179" s="7"/>
      <c r="ACS179" s="7"/>
      <c r="ACT179" s="7"/>
      <c r="ACU179" s="7"/>
      <c r="ACV179" s="7"/>
      <c r="ACW179" s="7"/>
      <c r="ACX179" s="7"/>
      <c r="ACY179" s="7"/>
      <c r="ACZ179" s="7"/>
      <c r="ADA179" s="7"/>
      <c r="ADB179" s="7"/>
      <c r="ADC179" s="7"/>
      <c r="ADD179" s="7"/>
      <c r="ADE179" s="7"/>
      <c r="ADF179" s="7"/>
      <c r="ADG179" s="7"/>
      <c r="ADH179" s="7"/>
      <c r="ADI179" s="7"/>
      <c r="ADJ179" s="7"/>
      <c r="ADK179" s="7"/>
      <c r="ADL179" s="7"/>
      <c r="ADM179" s="7"/>
      <c r="ADN179" s="7"/>
      <c r="ADO179" s="7"/>
      <c r="ADP179" s="7"/>
      <c r="ADQ179" s="7"/>
      <c r="ADR179" s="7"/>
      <c r="ADS179" s="7"/>
      <c r="ADT179" s="7"/>
      <c r="ADU179" s="7"/>
      <c r="ADV179" s="7"/>
      <c r="ADW179" s="7"/>
      <c r="ADX179" s="7"/>
      <c r="ADY179" s="7"/>
      <c r="ADZ179" s="7"/>
      <c r="AEA179" s="7"/>
      <c r="AEB179" s="7"/>
      <c r="AEC179" s="7"/>
      <c r="AED179" s="7"/>
      <c r="AEE179" s="7"/>
      <c r="AEF179" s="7"/>
      <c r="AEG179" s="7"/>
      <c r="AEH179" s="7"/>
      <c r="AEI179" s="7"/>
      <c r="AEJ179" s="7"/>
      <c r="AEK179" s="7"/>
      <c r="AEL179" s="7"/>
      <c r="AEM179" s="7"/>
      <c r="AEN179" s="7"/>
      <c r="AEO179" s="7"/>
      <c r="AEP179" s="7"/>
      <c r="AEQ179" s="7"/>
      <c r="AER179" s="7"/>
      <c r="AES179" s="7"/>
      <c r="AET179" s="7"/>
      <c r="AEU179" s="7"/>
      <c r="AEV179" s="7"/>
      <c r="AEW179" s="7"/>
      <c r="AEX179" s="7"/>
      <c r="AEY179" s="7"/>
      <c r="AEZ179" s="7"/>
      <c r="AFA179" s="7"/>
      <c r="AFB179" s="7"/>
      <c r="AFC179" s="7"/>
      <c r="AFD179" s="7"/>
      <c r="AFE179" s="7"/>
      <c r="AFF179" s="7"/>
      <c r="AFG179" s="7"/>
      <c r="AFH179" s="7"/>
      <c r="AFI179" s="7"/>
      <c r="AFJ179" s="7"/>
      <c r="AFK179" s="7"/>
      <c r="AFL179" s="7"/>
      <c r="AFM179" s="7"/>
      <c r="AFN179" s="7"/>
      <c r="AFO179" s="7"/>
      <c r="AFP179" s="7"/>
      <c r="AFQ179" s="7"/>
      <c r="AFR179" s="7"/>
      <c r="AFS179" s="7"/>
      <c r="AFT179" s="7"/>
      <c r="AFU179" s="7"/>
      <c r="AFV179" s="7"/>
      <c r="AFW179" s="7"/>
      <c r="AFX179" s="7"/>
      <c r="AFY179" s="7"/>
      <c r="AFZ179" s="7"/>
      <c r="AGA179" s="7"/>
      <c r="AGB179" s="7"/>
      <c r="AGC179" s="7"/>
      <c r="AGD179" s="7"/>
      <c r="AGE179" s="7"/>
      <c r="AGF179" s="7"/>
      <c r="AGG179" s="7"/>
      <c r="AGH179" s="7"/>
      <c r="AGI179" s="7"/>
      <c r="AGJ179" s="7"/>
      <c r="AGK179" s="7"/>
      <c r="AGL179" s="7"/>
      <c r="AGM179" s="7"/>
      <c r="AGN179" s="7"/>
      <c r="AGO179" s="7"/>
      <c r="AGP179" s="7"/>
      <c r="AGQ179" s="7"/>
      <c r="AGR179" s="7"/>
      <c r="AGS179" s="7"/>
      <c r="AGT179" s="7"/>
      <c r="AGU179" s="7"/>
      <c r="AGV179" s="7"/>
      <c r="AGW179" s="7"/>
      <c r="AGX179" s="7"/>
      <c r="AGY179" s="7"/>
      <c r="AGZ179" s="7"/>
      <c r="AHA179" s="7"/>
      <c r="AHB179" s="7"/>
      <c r="AHC179" s="7"/>
      <c r="AHD179" s="7"/>
      <c r="AHE179" s="7"/>
      <c r="AHF179" s="7"/>
      <c r="AHG179" s="7"/>
      <c r="AHH179" s="7"/>
      <c r="AHI179" s="7"/>
      <c r="AHJ179" s="7"/>
      <c r="AHK179" s="7"/>
      <c r="AHL179" s="7"/>
      <c r="AHM179" s="7"/>
      <c r="AHN179" s="7"/>
      <c r="AHO179" s="7"/>
      <c r="AHP179" s="7"/>
      <c r="AHQ179" s="7"/>
      <c r="AHR179" s="7"/>
      <c r="AHS179" s="7"/>
      <c r="AHT179" s="7"/>
      <c r="AHU179" s="7"/>
      <c r="AHV179" s="7"/>
      <c r="AHW179" s="7"/>
      <c r="AHX179" s="7"/>
      <c r="AHY179" s="7"/>
      <c r="AHZ179" s="7"/>
      <c r="AIA179" s="7"/>
      <c r="AIB179" s="7"/>
      <c r="AIC179" s="7"/>
      <c r="AID179" s="7"/>
      <c r="AIE179" s="7"/>
      <c r="AIF179" s="7"/>
      <c r="AIG179" s="7"/>
      <c r="AIH179" s="7"/>
      <c r="AII179" s="7"/>
      <c r="AIJ179" s="7"/>
      <c r="AIK179" s="7"/>
      <c r="AIL179" s="7"/>
      <c r="AIM179" s="7"/>
      <c r="AIN179" s="7"/>
      <c r="AIO179" s="7"/>
      <c r="AIP179" s="7"/>
      <c r="AIQ179" s="7"/>
      <c r="AIR179" s="7"/>
      <c r="AIS179" s="7"/>
      <c r="AIT179" s="7"/>
      <c r="AIU179" s="7"/>
      <c r="AIV179" s="7"/>
      <c r="AIW179" s="7"/>
      <c r="AIX179" s="7"/>
      <c r="AIY179" s="7"/>
      <c r="AIZ179" s="7"/>
      <c r="AJA179" s="7"/>
      <c r="AJB179" s="7"/>
      <c r="AJC179" s="7"/>
      <c r="AJD179" s="7"/>
      <c r="AJE179" s="7"/>
      <c r="AJF179" s="7"/>
      <c r="AJG179" s="7"/>
      <c r="AJH179" s="7"/>
      <c r="AJI179" s="7"/>
      <c r="AJJ179" s="7"/>
      <c r="AJK179" s="7"/>
      <c r="AJL179" s="7"/>
      <c r="AJM179" s="7"/>
      <c r="AJN179" s="7"/>
      <c r="AJO179" s="7"/>
      <c r="AJP179" s="7"/>
      <c r="AJQ179" s="7"/>
      <c r="AJR179" s="7"/>
      <c r="AJS179" s="7"/>
      <c r="AJT179" s="7"/>
      <c r="AJU179" s="7"/>
      <c r="AJV179" s="7"/>
      <c r="AJW179" s="7"/>
      <c r="AJX179" s="7"/>
      <c r="AJY179" s="7"/>
      <c r="AJZ179" s="7"/>
      <c r="AKA179" s="7"/>
      <c r="AKB179" s="7"/>
      <c r="AKC179" s="7"/>
      <c r="AKD179" s="7"/>
      <c r="AKE179" s="7"/>
      <c r="AKF179" s="7"/>
      <c r="AKG179" s="7"/>
      <c r="AKH179" s="7"/>
      <c r="AKI179" s="7"/>
      <c r="AKJ179" s="7"/>
      <c r="AKK179" s="7"/>
      <c r="AKL179" s="7"/>
      <c r="AKM179" s="7"/>
      <c r="AKN179" s="7"/>
      <c r="AKO179" s="7"/>
      <c r="AKP179" s="7"/>
      <c r="AKQ179" s="7"/>
      <c r="AKR179" s="7"/>
      <c r="AKS179" s="7"/>
      <c r="AKT179" s="7"/>
      <c r="AKU179" s="7"/>
      <c r="AKV179" s="7"/>
      <c r="AKW179" s="7"/>
      <c r="AKX179" s="7"/>
      <c r="AKY179" s="7"/>
      <c r="AKZ179" s="7"/>
      <c r="ALA179" s="7"/>
      <c r="ALB179" s="7"/>
      <c r="ALC179" s="7"/>
      <c r="ALD179" s="7"/>
      <c r="ALE179" s="7"/>
      <c r="ALF179" s="7"/>
      <c r="ALG179" s="7"/>
      <c r="ALH179" s="7"/>
      <c r="ALI179" s="7"/>
      <c r="ALJ179" s="7"/>
      <c r="ALK179" s="7"/>
      <c r="ALL179" s="7"/>
      <c r="ALM179" s="7"/>
      <c r="ALN179" s="7"/>
      <c r="ALO179" s="7"/>
      <c r="ALP179" s="7"/>
      <c r="ALQ179" s="7"/>
      <c r="ALR179" s="7"/>
      <c r="ALS179" s="7"/>
      <c r="ALT179" s="7"/>
      <c r="ALU179" s="7"/>
      <c r="ALV179" s="7"/>
      <c r="ALW179" s="7"/>
      <c r="ALX179" s="7"/>
      <c r="ALY179" s="7"/>
      <c r="ALZ179" s="7"/>
      <c r="AMA179" s="7"/>
      <c r="AMB179" s="7"/>
      <c r="AMC179" s="7"/>
      <c r="AMD179" s="7"/>
      <c r="AME179" s="7"/>
      <c r="AMF179" s="7"/>
      <c r="AMG179" s="7"/>
      <c r="AMH179" s="7"/>
      <c r="AMI179" s="7"/>
      <c r="AMJ179" s="7"/>
    </row>
  </sheetData>
  <mergeCells count="188">
    <mergeCell ref="B7:F7"/>
    <mergeCell ref="B9:F9"/>
    <mergeCell ref="B11:B13"/>
    <mergeCell ref="C11:E11"/>
    <mergeCell ref="F11:F13"/>
    <mergeCell ref="B14:B17"/>
    <mergeCell ref="C14:E14"/>
    <mergeCell ref="F14:F17"/>
    <mergeCell ref="B18:B20"/>
    <mergeCell ref="C18:E18"/>
    <mergeCell ref="F18:F20"/>
    <mergeCell ref="B21:B23"/>
    <mergeCell ref="C21:E21"/>
    <mergeCell ref="F21:F23"/>
    <mergeCell ref="B24:B26"/>
    <mergeCell ref="C24:E24"/>
    <mergeCell ref="F24:F26"/>
    <mergeCell ref="B27:B29"/>
    <mergeCell ref="C27:E27"/>
    <mergeCell ref="F27:F29"/>
    <mergeCell ref="B30:B31"/>
    <mergeCell ref="F30:F31"/>
    <mergeCell ref="B32:B33"/>
    <mergeCell ref="C32:E32"/>
    <mergeCell ref="F32:F33"/>
    <mergeCell ref="B38:D38"/>
    <mergeCell ref="B40:B43"/>
    <mergeCell ref="C40:E40"/>
    <mergeCell ref="F40:F43"/>
    <mergeCell ref="B44:B46"/>
    <mergeCell ref="C44:E44"/>
    <mergeCell ref="F44:F46"/>
    <mergeCell ref="B47:B49"/>
    <mergeCell ref="C47:E47"/>
    <mergeCell ref="F47:F49"/>
    <mergeCell ref="B50:B52"/>
    <mergeCell ref="C50:E50"/>
    <mergeCell ref="F50:F52"/>
    <mergeCell ref="B53:B54"/>
    <mergeCell ref="C53:E53"/>
    <mergeCell ref="F53:F54"/>
    <mergeCell ref="B55:B57"/>
    <mergeCell ref="C55:E55"/>
    <mergeCell ref="F55:F57"/>
    <mergeCell ref="B58:B59"/>
    <mergeCell ref="C58:E58"/>
    <mergeCell ref="F58:F59"/>
    <mergeCell ref="B60:B61"/>
    <mergeCell ref="C60:E60"/>
    <mergeCell ref="F60:F61"/>
    <mergeCell ref="B64:F64"/>
    <mergeCell ref="B66:F66"/>
    <mergeCell ref="H66:L66"/>
    <mergeCell ref="B68:D68"/>
    <mergeCell ref="H68:J68"/>
    <mergeCell ref="B70:B72"/>
    <mergeCell ref="C70:E70"/>
    <mergeCell ref="F70:F72"/>
    <mergeCell ref="H70:H72"/>
    <mergeCell ref="I70:K70"/>
    <mergeCell ref="L70:L72"/>
    <mergeCell ref="B73:B76"/>
    <mergeCell ref="C73:E73"/>
    <mergeCell ref="F73:F76"/>
    <mergeCell ref="H73:H76"/>
    <mergeCell ref="I73:K73"/>
    <mergeCell ref="L73:L76"/>
    <mergeCell ref="B77:B79"/>
    <mergeCell ref="F77:F79"/>
    <mergeCell ref="H77:H79"/>
    <mergeCell ref="L77:L79"/>
    <mergeCell ref="B80:B82"/>
    <mergeCell ref="F80:F82"/>
    <mergeCell ref="H80:H82"/>
    <mergeCell ref="L80:L82"/>
    <mergeCell ref="B83:B85"/>
    <mergeCell ref="C83:E83"/>
    <mergeCell ref="F83:F85"/>
    <mergeCell ref="H83:H85"/>
    <mergeCell ref="I83:K83"/>
    <mergeCell ref="L83:L85"/>
    <mergeCell ref="B86:B87"/>
    <mergeCell ref="C86:E86"/>
    <mergeCell ref="F86:F87"/>
    <mergeCell ref="H86:H87"/>
    <mergeCell ref="I86:K86"/>
    <mergeCell ref="L86:L87"/>
    <mergeCell ref="B88:B89"/>
    <mergeCell ref="C88:E88"/>
    <mergeCell ref="F88:F89"/>
    <mergeCell ref="H88:H89"/>
    <mergeCell ref="I88:K88"/>
    <mergeCell ref="L88:L89"/>
    <mergeCell ref="B95:F95"/>
    <mergeCell ref="H96:L96"/>
    <mergeCell ref="B97:B99"/>
    <mergeCell ref="C97:E97"/>
    <mergeCell ref="F97:F99"/>
    <mergeCell ref="H98:H101"/>
    <mergeCell ref="L98:L101"/>
    <mergeCell ref="B100:B102"/>
    <mergeCell ref="C100:E100"/>
    <mergeCell ref="F100:F102"/>
    <mergeCell ref="H102:H105"/>
    <mergeCell ref="L102:L105"/>
    <mergeCell ref="B103:B105"/>
    <mergeCell ref="C103:E103"/>
    <mergeCell ref="F103:F105"/>
    <mergeCell ref="B106:B109"/>
    <mergeCell ref="C106:E106"/>
    <mergeCell ref="F106:F109"/>
    <mergeCell ref="H106:H109"/>
    <mergeCell ref="I106:K106"/>
    <mergeCell ref="L106:L109"/>
    <mergeCell ref="B110:B112"/>
    <mergeCell ref="C110:E110"/>
    <mergeCell ref="F110:F112"/>
    <mergeCell ref="H110:H112"/>
    <mergeCell ref="I110:K110"/>
    <mergeCell ref="L110:L112"/>
    <mergeCell ref="B113:B114"/>
    <mergeCell ref="C113:E113"/>
    <mergeCell ref="F113:F114"/>
    <mergeCell ref="H113:H114"/>
    <mergeCell ref="I113:K113"/>
    <mergeCell ref="L113:L114"/>
    <mergeCell ref="B115:B116"/>
    <mergeCell ref="C115:E115"/>
    <mergeCell ref="F115:F116"/>
    <mergeCell ref="H115:H116"/>
    <mergeCell ref="I115:K115"/>
    <mergeCell ref="L115:L116"/>
    <mergeCell ref="B121:F121"/>
    <mergeCell ref="H121:L121"/>
    <mergeCell ref="B123:C123"/>
    <mergeCell ref="D123:F123"/>
    <mergeCell ref="H123:I123"/>
    <mergeCell ref="J123:L123"/>
    <mergeCell ref="B124:C124"/>
    <mergeCell ref="H124:I124"/>
    <mergeCell ref="B125:B128"/>
    <mergeCell ref="C125:E125"/>
    <mergeCell ref="F125:F128"/>
    <mergeCell ref="H125:H128"/>
    <mergeCell ref="I125:K125"/>
    <mergeCell ref="L125:L128"/>
    <mergeCell ref="B129:B132"/>
    <mergeCell ref="C129:E129"/>
    <mergeCell ref="F129:F132"/>
    <mergeCell ref="H129:H131"/>
    <mergeCell ref="I129:K129"/>
    <mergeCell ref="L129:L131"/>
    <mergeCell ref="H132:H134"/>
    <mergeCell ref="L132:L134"/>
    <mergeCell ref="B133:B135"/>
    <mergeCell ref="C133:E133"/>
    <mergeCell ref="F133:F135"/>
    <mergeCell ref="H135:H137"/>
    <mergeCell ref="L135:L137"/>
    <mergeCell ref="B136:B138"/>
    <mergeCell ref="C136:E136"/>
    <mergeCell ref="F136:F138"/>
    <mergeCell ref="H138:H141"/>
    <mergeCell ref="I138:K138"/>
    <mergeCell ref="L138:L141"/>
    <mergeCell ref="B139:B141"/>
    <mergeCell ref="C139:E139"/>
    <mergeCell ref="F139:F141"/>
    <mergeCell ref="B142:B145"/>
    <mergeCell ref="C142:E142"/>
    <mergeCell ref="F142:F145"/>
    <mergeCell ref="H142:H145"/>
    <mergeCell ref="I142:K142"/>
    <mergeCell ref="L142:L145"/>
    <mergeCell ref="B146:B147"/>
    <mergeCell ref="C146:E146"/>
    <mergeCell ref="F146:F147"/>
    <mergeCell ref="H146:H147"/>
    <mergeCell ref="I146:K146"/>
    <mergeCell ref="L146:L147"/>
    <mergeCell ref="B151:F151"/>
    <mergeCell ref="H151:L151"/>
    <mergeCell ref="B153:B154"/>
    <mergeCell ref="C153:E153"/>
    <mergeCell ref="F153:F154"/>
    <mergeCell ref="H153:H154"/>
    <mergeCell ref="I153:K153"/>
    <mergeCell ref="L153:L154"/>
  </mergeCell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3" manualBreakCount="3">
    <brk id="63" man="true" max="16383" min="0"/>
    <brk id="118" man="true" max="16383" min="0"/>
    <brk id="158" man="true" max="16383" min="0"/>
  </rowBreaks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1367894-f0fa-4203-bb62-f793eeb9614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7463744A9A504BBB09A0493AB417F7" ma:contentTypeVersion="15" ma:contentTypeDescription="Crée un document." ma:contentTypeScope="" ma:versionID="bc322702d7d1c6d8b540dabdcec13876">
  <xsd:schema xmlns:xsd="http://www.w3.org/2001/XMLSchema" xmlns:xs="http://www.w3.org/2001/XMLSchema" xmlns:p="http://schemas.microsoft.com/office/2006/metadata/properties" xmlns:ns3="21367894-f0fa-4203-bb62-f793eeb9614c" xmlns:ns4="51e622f2-a939-4675-9a67-fab51b3b9c69" targetNamespace="http://schemas.microsoft.com/office/2006/metadata/properties" ma:root="true" ma:fieldsID="4f0c93c2f1bf254e03d942a3fcf84343" ns3:_="" ns4:_="">
    <xsd:import namespace="21367894-f0fa-4203-bb62-f793eeb9614c"/>
    <xsd:import namespace="51e622f2-a939-4675-9a67-fab51b3b9c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67894-f0fa-4203-bb62-f793eeb961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622f2-a939-4675-9a67-fab51b3b9c6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F2DF4D-0026-4F24-ABB9-4C7BAABCE148}">
  <ds:schemaRefs>
    <ds:schemaRef ds:uri="http://schemas.microsoft.com/office/2006/metadata/properties"/>
    <ds:schemaRef ds:uri="http://schemas.microsoft.com/office/infopath/2007/PartnerControls"/>
    <ds:schemaRef ds:uri="21367894-f0fa-4203-bb62-f793eeb9614c"/>
  </ds:schemaRefs>
</ds:datastoreItem>
</file>

<file path=customXml/itemProps2.xml><?xml version="1.0" encoding="utf-8"?>
<ds:datastoreItem xmlns:ds="http://schemas.openxmlformats.org/officeDocument/2006/customXml" ds:itemID="{303ABF22-E199-45C5-94C3-7050EDBCC6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67894-f0fa-4203-bb62-f793eeb9614c"/>
    <ds:schemaRef ds:uri="51e622f2-a939-4675-9a67-fab51b3b9c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D9FA28-0B62-4270-B451-3828DE627E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2016-05-11T13:33:55Z</dcterms:created>
  <dc:creator>Cedric Testaniere</dc:creator>
  <dc:description/>
  <dc:language>fr-FR</dc:language>
  <cp:lastModifiedBy/>
  <cp:lastPrinted>2024-05-31T09:03:43Z</cp:lastPrinted>
  <dcterms:modified xsi:type="dcterms:W3CDTF">2025-06-05T11:29:07Z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0x010100CC7463744A9A504BBB09A0493AB417F7</vt:lpwstr>
  </property>
  <property fmtid="{D5CDD505-2E9C-101B-9397-08002B2CF9AE}" pid="3" name="HyperlinksChanged">
    <vt:bool>0</vt:bool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