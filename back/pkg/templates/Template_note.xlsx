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<sst xmlns="http://schemas.openxmlformats.org/spreadsheetml/2006/main" count="40" uniqueCount="40">
  <si>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IMT MINES ALÈS</t>
  </si>
  <si>
    <t xml:space="preserve">${FORMATION}
${ANNEE}</t>
  </si>
  <si>
    <t xml:space="preserve">Intervenant: </t>
  </si>
  <si>
    <t xml:space="preserve">${INTERVENANT}</t>
  </si>
  <si>
    <t xml:space="preserve">Controle: </t>
  </si>
  <si>
    <t xml:space="preserve">${CONTROLE}</t>
  </si>
  <si>
    <t xml:space="preserve">Controle id: </t>
  </si>
  <si>
    <t xml:space="preserve">${CONTROLE_ID}</t>
  </si>
  <si>
    <t xml:space="preserve">Matière : </t>
  </si>
  <si>
    <t xml:space="preserve">${MATIERE}</t>
  </si>
  <si>
    <t xml:space="preserve">Module :</t>
  </si>
  <si>
    <t xml:space="preserve">${MODULE}</t>
  </si>
  <si>
    <t xml:space="preserve">Coefficient :</t>
  </si>
  <si>
    <t xml:space="preserve">${COEFF}</t>
  </si>
  <si>
    <t xml:space="preserve">Date : </t>
  </si>
  <si>
    <t xml:space="preserve">${DATE}</t>
  </si>
  <si>
    <t xml:space="preserve">Pour communiquer les notes aux élèves :</t>
  </si>
  <si>
    <t xml:space="preserve">Il est nécessaire de remplir ce fichier Excel sans en changer la structure et de le renvoyer par email à marie.delapierre@mines-ales.fr (pas de PDF).</t>
  </si>
  <si>
    <t xml:space="preserve">Ident.</t>
  </si>
  <si>
    <t xml:space="preserve">Nom</t>
  </si>
  <si>
    <t xml:space="preserve"> Prénom</t>
  </si>
  <si>
    <t xml:space="preserve">Note</t>
  </si>
  <si>
    <t xml:space="preserve">Moyenne</t>
  </si>
  <si>
    <t xml:space="preserve">Nombre de notes</t>
  </si>
  <si>
    <t xml:space="preserve">Note min</t>
  </si>
  <si>
    <t xml:space="preserve">Note max</t>
  </si>
  <si>
    <t xml:space="preserve">Écart type</t>
  </si>
  <si>
    <t xml:space="preserve">Visa du chargé de Cours</t>
  </si>
  <si>
    <t xml:space="preserve">
(Nom, Prénom et signature)</t>
  </si>
  <si>
    <t xml:space="preserve">(nom, prénom, signature)</t>
  </si>
  <si>
    <t xml:space="preserve">Échelle fixe</t>
  </si>
  <si>
    <t xml:space="preserve">Nombre d'élève concernés</t>
  </si>
  <si>
    <t xml:space="preserve">A (Très bien)  ≥</t>
  </si>
  <si>
    <t xml:space="preserve">B (Bien)  ≥</t>
  </si>
  <si>
    <t xml:space="preserve">C (Assez bien)  ≥</t>
  </si>
  <si>
    <t xml:space="preserve">D (passable)   ≥</t>
  </si>
  <si>
    <t xml:space="preserve">E (faible)   ≥</t>
  </si>
  <si>
    <t xml:space="preserve">F (Insuffisant)  ˂</t>
  </si>
  <si>
    <t xml:space="preserve">La barre du F correspond à la barre minimale </t>
  </si>
  <si>
    <t xml:space="preserve">en deçà de laquelle le niveau est jugé insuffisant.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</si>
</sst>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0"/>
    <numFmt numFmtId="167" formatCode="General"/>
    <numFmt numFmtId="168" formatCode="0%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1"/>
      <color rgb="FF00B0F0"/>
      <name val="Arial"/>
      <family val="2"/>
      <charset val="1"/>
    </font>
    <font>
      <sz val="12"/>
      <name val="Calibri"/>
      <family val="2"/>
      <charset val="1"/>
    </font>
    <font>
      <b val="true"/>
      <i val="true"/>
      <sz val="10"/>
      <name val="Arial"/>
      <family val="2"/>
      <charset val="1"/>
    </font>
    <font>
      <b val="true"/>
      <sz val="12"/>
      <color rgb="FF000000"/>
      <name val="Verdana"/>
      <family val="2"/>
      <charset val="1"/>
    </font>
    <font>
      <b val="true"/>
      <sz val="10"/>
      <name val="Calibri"/>
      <family val="2"/>
      <charset val="1"/>
    </font>
    <font>
      <sz val="10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8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19800</xdr:colOff>
      <xdr:row>0</xdr:row>
      <xdr:rowOff>0</xdr:rowOff>
    </xdr:from>
    <xdr:to>
      <xdr:col>1</xdr:col>
      <xdr:colOff>300960</xdr:colOff>
      <xdr:row>2</xdr:row>
      <xdr:rowOff>305640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9800" y="0"/>
          <a:ext cx="1397520" cy="776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5.84"/>
    <col collapsed="false" customWidth="true" hidden="false" outlineLevel="0" max="3" min="2" style="1" width="24.3"/>
    <col collapsed="false" customWidth="true" hidden="false" outlineLevel="0" max="6" min="6" style="1" width="4.6"/>
    <col collapsed="false" customWidth="true" hidden="false" outlineLevel="0" max="7" min="7" style="1" width="27.54"/>
    <col collapsed="false" customWidth="true" hidden="false" outlineLevel="0" max="8" min="8" style="1" width="28.89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</row>
    <row r="2" customFormat="false" ht="15" hidden="false" customHeight="false" outlineLevel="0" collapsed="false">
      <c r="A2" s="5"/>
      <c r="B2" s="6"/>
      <c r="C2" s="7"/>
      <c r="D2" s="7"/>
      <c r="E2" s="7"/>
      <c r="F2" s="7"/>
      <c r="G2" s="7"/>
      <c r="H2" s="5"/>
    </row>
    <row r="3" customFormat="false" ht="41.95" hidden="false" customHeight="true" outlineLevel="0" collapsed="false">
      <c r="A3" s="8" t="s">
        <v>1</v>
      </c>
      <c r="B3" s="8"/>
      <c r="C3" s="8"/>
      <c r="D3" s="8"/>
      <c r="E3" s="8"/>
      <c r="F3" s="8"/>
      <c r="G3" s="8"/>
      <c r="H3" s="9"/>
    </row>
    <row r="4" customFormat="false" ht="15" hidden="false" customHeight="false" outlineLevel="0" collapsed="false">
      <c r="A4" s="10" t="s">
        <v>2</v>
      </c>
      <c r="B4" s="11" t="s">
        <v>3</v>
      </c>
      <c r="C4" s="12"/>
      <c r="G4" s="12"/>
      <c r="H4" s="5"/>
    </row>
    <row r="5" customFormat="false" ht="15" hidden="false" customHeight="false" outlineLevel="0" collapsed="false">
      <c r="A5" s="10" t="s">
        <v>4</v>
      </c>
      <c r="B5" s="13" t="s">
        <v>5</v>
      </c>
      <c r="C5" s="12"/>
      <c r="D5" s="12"/>
      <c r="E5" s="12"/>
      <c r="F5" s="12"/>
      <c r="G5" s="12"/>
      <c r="H5" s="5"/>
    </row>
    <row r="6" customFormat="false" ht="15" hidden="false" customHeight="false" outlineLevel="0" collapsed="false">
      <c r="A6" s="10" t="s">
        <v>6</v>
      </c>
      <c r="B6" s="13" t="s">
        <v>7</v>
      </c>
      <c r="C6" s="12"/>
      <c r="D6" s="12"/>
      <c r="E6" s="12"/>
      <c r="F6" s="12"/>
      <c r="G6" s="12"/>
      <c r="H6" s="5"/>
    </row>
    <row r="7" customFormat="false" ht="15" hidden="false" customHeight="false" outlineLevel="0" collapsed="false">
      <c r="A7" s="10" t="s">
        <v>8</v>
      </c>
      <c r="B7" s="13" t="s">
        <v>9</v>
      </c>
      <c r="C7" s="12"/>
      <c r="D7" s="12"/>
      <c r="E7" s="12"/>
      <c r="F7" s="12"/>
      <c r="G7" s="12"/>
      <c r="H7" s="5"/>
    </row>
    <row r="8" customFormat="false" ht="15" hidden="false" customHeight="false" outlineLevel="0" collapsed="false">
      <c r="A8" s="10" t="s">
        <v>10</v>
      </c>
      <c r="B8" s="13" t="s">
        <v>11</v>
      </c>
      <c r="C8" s="12"/>
      <c r="D8" s="12"/>
      <c r="E8" s="12"/>
      <c r="F8" s="12"/>
      <c r="G8" s="12"/>
      <c r="H8" s="5"/>
    </row>
    <row r="9" customFormat="false" ht="15" hidden="false" customHeight="false" outlineLevel="0" collapsed="false">
      <c r="A9" s="10" t="s">
        <v>12</v>
      </c>
      <c r="B9" s="14" t="s">
        <v>13</v>
      </c>
      <c r="C9" s="12"/>
      <c r="D9" s="12"/>
      <c r="E9" s="12"/>
      <c r="F9" s="12"/>
      <c r="G9" s="12"/>
      <c r="H9" s="5"/>
    </row>
    <row r="10" customFormat="false" ht="15" hidden="false" customHeight="false" outlineLevel="0" collapsed="false">
      <c r="A10" s="10" t="s">
        <v>14</v>
      </c>
      <c r="B10" s="15" t="s">
        <v>15</v>
      </c>
      <c r="E10" s="16"/>
      <c r="F10" s="12"/>
      <c r="G10" s="7"/>
    </row>
    <row r="11" customFormat="false" ht="12.8" hidden="false" customHeight="false" outlineLevel="0" collapsed="false">
      <c r="A11" s="17" t="s">
        <v>16</v>
      </c>
      <c r="H11" s="18"/>
    </row>
    <row r="12" customFormat="false" ht="26.85" hidden="false" customHeight="true" outlineLevel="0" collapsed="false">
      <c r="A12" s="19" t="s">
        <v>17</v>
      </c>
      <c r="B12" s="19"/>
      <c r="C12" s="19"/>
      <c r="D12" s="19"/>
      <c r="E12" s="19"/>
      <c r="F12" s="19"/>
      <c r="G12" s="19"/>
      <c r="H12" s="19"/>
      <c r="I12" s="20"/>
      <c r="J12" s="20"/>
      <c r="K12" s="20"/>
    </row>
    <row r="13" customFormat="false" ht="15" hidden="false" customHeight="false" outlineLevel="0" collapsed="false">
      <c r="A13" s="21" t="s">
        <v>18</v>
      </c>
      <c r="B13" s="22" t="s">
        <v>19</v>
      </c>
      <c r="C13" s="22" t="s">
        <v>20</v>
      </c>
      <c r="D13" s="22" t="s">
        <v>21</v>
      </c>
      <c r="E13" s="23"/>
      <c r="F13" s="23"/>
      <c r="G13" s="22" t="s">
        <v>22</v>
      </c>
      <c r="H13" s="24" t="n">
        <f aca="false">IFERROR(AVERAGE(D:D),0)</f>
        <v>0</v>
      </c>
    </row>
    <row r="14" customFormat="false" ht="17.15" hidden="false" customHeight="true" outlineLevel="0" collapsed="false">
      <c r="A14" s="25"/>
      <c r="B14" s="26"/>
      <c r="C14" s="26"/>
      <c r="D14" s="26"/>
      <c r="E14" s="27"/>
      <c r="F14" s="12"/>
      <c r="G14" s="22" t="s">
        <v>23</v>
      </c>
      <c r="H14" s="28" t="n">
        <f aca="false">COUNT(D:D)</f>
        <v>0</v>
      </c>
    </row>
    <row r="15" customFormat="false" ht="15" hidden="false" customHeight="false" outlineLevel="0" collapsed="false">
      <c r="G15" s="22" t="s">
        <v>24</v>
      </c>
      <c r="H15" s="28" t="n">
        <f aca="false">MIN(D:D)</f>
        <v>0</v>
      </c>
    </row>
    <row r="16" customFormat="false" ht="15" hidden="false" customHeight="false" outlineLevel="0" collapsed="false">
      <c r="G16" s="22" t="s">
        <v>25</v>
      </c>
      <c r="H16" s="28" t="n">
        <f aca="false">MAX(D:D)</f>
        <v>0</v>
      </c>
    </row>
    <row r="17" customFormat="false" ht="15" hidden="false" customHeight="false" outlineLevel="0" collapsed="false">
      <c r="G17" s="22" t="s">
        <v>26</v>
      </c>
      <c r="H17" s="24" t="n">
        <f aca="false">IFERROR(STDEVP(D:D),0)</f>
        <v>0</v>
      </c>
    </row>
    <row r="19" customFormat="false" ht="12.8" hidden="false" customHeight="false" outlineLevel="0" collapsed="false">
      <c r="G19" s="29" t="s">
        <v>27</v>
      </c>
      <c r="H19" s="29"/>
    </row>
    <row r="20" customFormat="false" ht="13.4" hidden="false" customHeight="true" outlineLevel="0" collapsed="false">
      <c r="G20" s="30" t="s">
        <v>28</v>
      </c>
      <c r="H20" s="31"/>
    </row>
    <row r="21" customFormat="false" ht="12.8" hidden="false" customHeight="false" outlineLevel="0" collapsed="false">
      <c r="G21" s="32"/>
      <c r="H21" s="33"/>
    </row>
    <row r="22" customFormat="false" ht="12.8" hidden="false" customHeight="false" outlineLevel="0" collapsed="false">
      <c r="G22" s="32"/>
      <c r="H22" s="33"/>
    </row>
    <row r="23" customFormat="false" ht="15" hidden="false" customHeight="false" outlineLevel="0" collapsed="false">
      <c r="G23" s="34"/>
      <c r="H23" s="35"/>
      <c r="K23" s="36"/>
    </row>
    <row r="24" customFormat="false" ht="15" hidden="false" customHeight="false" outlineLevel="0" collapsed="false">
      <c r="G24" s="37" t="s">
        <v>29</v>
      </c>
      <c r="H24" s="37"/>
      <c r="J24" s="36"/>
      <c r="K24" s="36"/>
    </row>
    <row r="25" customFormat="false" ht="15" hidden="false" customHeight="false" outlineLevel="0" collapsed="false">
      <c r="J25" s="36"/>
      <c r="K25" s="36"/>
    </row>
    <row r="26" customFormat="false" ht="15" hidden="false" customHeight="false" outlineLevel="0" collapsed="false">
      <c r="J26" s="36"/>
      <c r="K26" s="36"/>
    </row>
    <row r="27" customFormat="false" ht="15" hidden="false" customHeight="false" outlineLevel="0" collapsed="false">
      <c r="G27" s="38" t="s">
        <v>30</v>
      </c>
      <c r="J27" s="38" t="s">
        <v>31</v>
      </c>
      <c r="K27" s="36"/>
    </row>
    <row r="28" customFormat="false" ht="12.8" hidden="false" customHeight="false" outlineLevel="0" collapsed="false">
      <c r="G28" s="39" t="s">
        <v>32</v>
      </c>
      <c r="H28" s="40" t="n">
        <v>16</v>
      </c>
      <c r="J28" s="41" t="n">
        <f aca="false">COUNTIFS(D:D,"&gt;=16")</f>
        <v>0</v>
      </c>
      <c r="K28" s="42" t="n">
        <f aca="false">IFERROR(J28/$H$14,0)</f>
        <v>0</v>
      </c>
    </row>
    <row r="29" customFormat="false" ht="12.8" hidden="false" customHeight="false" outlineLevel="0" collapsed="false">
      <c r="G29" s="43" t="s">
        <v>33</v>
      </c>
      <c r="H29" s="44" t="n">
        <v>14</v>
      </c>
      <c r="J29" s="41" t="n">
        <f aca="false">COUNTIFS(D:D,"&gt;=14",D:D,"&lt;16")</f>
        <v>0</v>
      </c>
      <c r="K29" s="42" t="n">
        <f aca="false">IFERROR(J29/$H$14,0)</f>
        <v>0</v>
      </c>
    </row>
    <row r="30" customFormat="false" ht="12.8" hidden="false" customHeight="false" outlineLevel="0" collapsed="false">
      <c r="G30" s="45" t="s">
        <v>34</v>
      </c>
      <c r="H30" s="46" t="n">
        <v>12</v>
      </c>
      <c r="J30" s="41" t="n">
        <f aca="false">COUNTIFS(D:D,"&gt;=12",D:D,"&lt;14")</f>
        <v>0</v>
      </c>
      <c r="K30" s="42" t="n">
        <f aca="false">IFERROR(J30/$H$14,0)</f>
        <v>0</v>
      </c>
    </row>
    <row r="31" customFormat="false" ht="12.8" hidden="false" customHeight="false" outlineLevel="0" collapsed="false">
      <c r="G31" s="47" t="s">
        <v>35</v>
      </c>
      <c r="H31" s="48" t="n">
        <v>10</v>
      </c>
      <c r="J31" s="41" t="n">
        <f aca="false">COUNTIFS(D:D,"&gt;=10",D:D,"&lt;12")</f>
        <v>0</v>
      </c>
      <c r="K31" s="42" t="n">
        <f aca="false">IFERROR(J31/$H$14,0)</f>
        <v>0</v>
      </c>
    </row>
    <row r="32" customFormat="false" ht="12.8" hidden="false" customHeight="false" outlineLevel="0" collapsed="false">
      <c r="G32" s="49" t="s">
        <v>36</v>
      </c>
      <c r="H32" s="50" t="n">
        <v>8</v>
      </c>
      <c r="J32" s="41" t="n">
        <f aca="false">COUNTIFS(D:D,"&gt;=8",D:D,"&lt;10")</f>
        <v>0</v>
      </c>
      <c r="K32" s="42" t="n">
        <f aca="false">IFERROR(J32/$H$14,0)</f>
        <v>0</v>
      </c>
    </row>
    <row r="33" customFormat="false" ht="12.8" hidden="false" customHeight="false" outlineLevel="0" collapsed="false">
      <c r="G33" s="51" t="s">
        <v>37</v>
      </c>
      <c r="H33" s="52" t="n">
        <v>8</v>
      </c>
      <c r="J33" s="41" t="n">
        <f aca="false">COUNTIFS(D:D,"&lt;8")</f>
        <v>0</v>
      </c>
      <c r="K33" s="42" t="n">
        <f aca="false">IFERROR(J33/$H$14,0)</f>
        <v>0</v>
      </c>
    </row>
    <row r="34" customFormat="false" ht="15" hidden="false" customHeight="false" outlineLevel="0" collapsed="false">
      <c r="K34" s="53"/>
    </row>
    <row r="35" customFormat="false" ht="15" hidden="false" customHeight="false" outlineLevel="0" collapsed="false">
      <c r="G35" s="54" t="s">
        <v>38</v>
      </c>
      <c r="H35" s="54"/>
      <c r="I35" s="54"/>
      <c r="J35" s="54"/>
      <c r="K35" s="38"/>
    </row>
    <row r="36" customFormat="false" ht="15" hidden="false" customHeight="false" outlineLevel="0" collapsed="false">
      <c r="G36" s="54" t="s">
        <v>39</v>
      </c>
      <c r="I36" s="55"/>
      <c r="J36" s="55"/>
      <c r="K36" s="55"/>
    </row>
  </sheetData>
  <mergeCells count="5">
    <mergeCell ref="A1:G1"/>
    <mergeCell ref="A3:G3"/>
    <mergeCell ref="A12:H12"/>
    <mergeCell ref="G19:H19"/>
    <mergeCell ref="G24:H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2020-02-23T19:13:46Z</dcterms:created>
  <dc:creator/>
  <dc:description/>
  <dc:language>fr-FR</dc:language>
  <cp:lastModifiedBy/>
  <dcterms:modified xsi:type="dcterms:W3CDTF">2026-04-06T21:49:06Z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